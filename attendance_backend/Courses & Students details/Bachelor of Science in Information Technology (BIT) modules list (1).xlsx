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anas\Downloads\"/>
    </mc:Choice>
  </mc:AlternateContent>
  <xr:revisionPtr revIDLastSave="0" documentId="13_ncr:1_{CB8A7683-17AA-45F0-9033-BD1BE4A31C4F}" xr6:coauthVersionLast="47" xr6:coauthVersionMax="47" xr10:uidLastSave="{00000000-0000-0000-0000-000000000000}"/>
  <bookViews>
    <workbookView xWindow="-120" yWindow="-120" windowWidth="20730" windowHeight="11040" tabRatio="921" firstSheet="7" activeTab="7" xr2:uid="{00000000-000D-0000-FFFF-FFFF00000000}"/>
  </bookViews>
  <sheets>
    <sheet name="Combined-All" sheetId="1" state="hidden" r:id="rId1"/>
    <sheet name="Yr 1" sheetId="2" state="hidden" r:id="rId2"/>
    <sheet name="Attendance" sheetId="3" state="hidden" r:id="rId3"/>
    <sheet name="TT-WKD (2)" sheetId="57" state="hidden" r:id="rId4"/>
    <sheet name="Sheet1" sheetId="21" state="hidden" r:id="rId5"/>
    <sheet name="Sheet3" sheetId="22" state="hidden" r:id="rId6"/>
    <sheet name="Validations" sheetId="23" state="hidden" r:id="rId7"/>
    <sheet name="BIT" sheetId="26" r:id="rId8"/>
    <sheet name="ROOMS" sheetId="31" state="hidden" r:id="rId9"/>
    <sheet name="Combined TT" sheetId="34" state="hidden" r:id="rId10"/>
    <sheet name="DD" sheetId="41" state="hidden" r:id="rId11"/>
  </sheets>
  <definedNames>
    <definedName name="_xlnm._FilterDatabase" localSheetId="2" hidden="1">Attendance!$B$3:$J$425</definedName>
    <definedName name="_xlnm._FilterDatabase" localSheetId="9" hidden="1">'Combined TT'!$A$1:$S$697</definedName>
    <definedName name="_xlnm._FilterDatabase" localSheetId="0" hidden="1">'Combined-All'!$B$3:$I$585</definedName>
    <definedName name="_xlnm._FilterDatabase" localSheetId="4" hidden="1">Sheet1!$A$1:$I$638</definedName>
    <definedName name="_xlnm._FilterDatabase" localSheetId="3" hidden="1">'TT-WKD (2)'!$A$1:$VQO$206</definedName>
    <definedName name="_xlnm.Print_Area" localSheetId="8">ROOMS!$B$1:$I$11</definedName>
    <definedName name="_xlnm.Print_Area" localSheetId="1">'Yr 1'!$B$1:$I$239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6" i="57" l="1"/>
  <c r="J206" i="57"/>
  <c r="A206" i="57"/>
  <c r="A205" i="57"/>
  <c r="J204" i="57"/>
  <c r="A204" i="57"/>
  <c r="A203" i="57"/>
  <c r="J202" i="57"/>
  <c r="J201" i="57"/>
  <c r="A201" i="57"/>
  <c r="J200" i="57"/>
  <c r="A200" i="57"/>
  <c r="J199" i="57"/>
  <c r="A199" i="57"/>
  <c r="J198" i="57"/>
  <c r="A198" i="57"/>
  <c r="J197" i="57"/>
  <c r="A197" i="57"/>
  <c r="J196" i="57"/>
  <c r="A196" i="57"/>
  <c r="J195" i="57"/>
  <c r="A195" i="57"/>
  <c r="J194" i="57"/>
  <c r="A194" i="57"/>
  <c r="J193" i="57"/>
  <c r="A193" i="57"/>
  <c r="J192" i="57"/>
  <c r="A192" i="57"/>
  <c r="J191" i="57"/>
  <c r="A191" i="57"/>
  <c r="J190" i="57"/>
  <c r="A190" i="57"/>
  <c r="J189" i="57"/>
  <c r="A189" i="57"/>
  <c r="L188" i="57"/>
  <c r="J188" i="57"/>
  <c r="A188" i="57"/>
  <c r="L187" i="57"/>
  <c r="J187" i="57"/>
  <c r="A187" i="57"/>
  <c r="L186" i="57"/>
  <c r="J186" i="57"/>
  <c r="A186" i="57"/>
  <c r="L185" i="57"/>
  <c r="J185" i="57"/>
  <c r="A185" i="57"/>
  <c r="L184" i="57"/>
  <c r="J184" i="57"/>
  <c r="A184" i="57"/>
  <c r="L183" i="57"/>
  <c r="J183" i="57"/>
  <c r="A183" i="57"/>
  <c r="L182" i="57"/>
  <c r="J182" i="57"/>
  <c r="A182" i="57"/>
  <c r="L181" i="57"/>
  <c r="J181" i="57"/>
  <c r="A181" i="57"/>
  <c r="L180" i="57"/>
  <c r="J180" i="57"/>
  <c r="A180" i="57"/>
  <c r="L179" i="57"/>
  <c r="J179" i="57"/>
  <c r="A179" i="57"/>
  <c r="L178" i="57"/>
  <c r="J178" i="57"/>
  <c r="A178" i="57"/>
  <c r="L177" i="57"/>
  <c r="J177" i="57"/>
  <c r="A177" i="57"/>
  <c r="L176" i="57"/>
  <c r="J176" i="57"/>
  <c r="A176" i="57"/>
  <c r="L175" i="57"/>
  <c r="J175" i="57"/>
  <c r="A175" i="57"/>
  <c r="L174" i="57"/>
  <c r="J174" i="57"/>
  <c r="A174" i="57"/>
  <c r="L173" i="57"/>
  <c r="J173" i="57"/>
  <c r="A173" i="57"/>
  <c r="L172" i="57"/>
  <c r="J172" i="57"/>
  <c r="A172" i="57"/>
  <c r="L171" i="57"/>
  <c r="J171" i="57"/>
  <c r="A171" i="57"/>
  <c r="L170" i="57"/>
  <c r="J170" i="57"/>
  <c r="A170" i="57"/>
  <c r="L169" i="57"/>
  <c r="J169" i="57"/>
  <c r="A169" i="57"/>
  <c r="L168" i="57"/>
  <c r="J168" i="57"/>
  <c r="A168" i="57"/>
  <c r="L167" i="57"/>
  <c r="J167" i="57"/>
  <c r="A167" i="57"/>
  <c r="L166" i="57"/>
  <c r="J166" i="57"/>
  <c r="A166" i="57"/>
  <c r="L165" i="57"/>
  <c r="J165" i="57"/>
  <c r="A165" i="57"/>
  <c r="L164" i="57"/>
  <c r="J164" i="57"/>
  <c r="A164" i="57"/>
  <c r="L163" i="57"/>
  <c r="J163" i="57"/>
  <c r="A163" i="57"/>
  <c r="L162" i="57"/>
  <c r="J162" i="57"/>
  <c r="A162" i="57"/>
  <c r="L161" i="57"/>
  <c r="J161" i="57"/>
  <c r="A161" i="57"/>
  <c r="L160" i="57"/>
  <c r="J160" i="57"/>
  <c r="A160" i="57"/>
  <c r="L159" i="57"/>
  <c r="J159" i="57"/>
  <c r="A159" i="57"/>
  <c r="L158" i="57"/>
  <c r="J158" i="57"/>
  <c r="A158" i="57"/>
  <c r="L157" i="57"/>
  <c r="J157" i="57"/>
  <c r="A157" i="57"/>
  <c r="L156" i="57"/>
  <c r="J156" i="57"/>
  <c r="A156" i="57"/>
  <c r="L155" i="57"/>
  <c r="J155" i="57"/>
  <c r="A155" i="57"/>
  <c r="L154" i="57"/>
  <c r="J154" i="57"/>
  <c r="A154" i="57"/>
  <c r="L153" i="57"/>
  <c r="J153" i="57"/>
  <c r="A153" i="57"/>
  <c r="L152" i="57"/>
  <c r="J152" i="57"/>
  <c r="A152" i="57"/>
  <c r="L151" i="57"/>
  <c r="J151" i="57"/>
  <c r="A151" i="57"/>
  <c r="L150" i="57"/>
  <c r="J150" i="57"/>
  <c r="A150" i="57"/>
  <c r="L149" i="57"/>
  <c r="J149" i="57"/>
  <c r="A149" i="57"/>
  <c r="L148" i="57"/>
  <c r="J148" i="57"/>
  <c r="A148" i="57"/>
  <c r="L147" i="57"/>
  <c r="J147" i="57"/>
  <c r="A147" i="57"/>
  <c r="L146" i="57"/>
  <c r="J146" i="57"/>
  <c r="A146" i="57"/>
  <c r="L145" i="57"/>
  <c r="J145" i="57"/>
  <c r="A145" i="57"/>
  <c r="L144" i="57"/>
  <c r="J144" i="57"/>
  <c r="A144" i="57"/>
  <c r="L143" i="57"/>
  <c r="J143" i="57"/>
  <c r="A143" i="57"/>
  <c r="L142" i="57"/>
  <c r="J142" i="57"/>
  <c r="A142" i="57"/>
  <c r="L141" i="57"/>
  <c r="J141" i="57"/>
  <c r="A141" i="57"/>
  <c r="L140" i="57"/>
  <c r="J140" i="57"/>
  <c r="A140" i="57"/>
  <c r="L139" i="57"/>
  <c r="J139" i="57"/>
  <c r="A139" i="57"/>
  <c r="L138" i="57"/>
  <c r="J138" i="57"/>
  <c r="A138" i="57"/>
  <c r="L137" i="57"/>
  <c r="J137" i="57"/>
  <c r="A137" i="57"/>
  <c r="L136" i="57"/>
  <c r="J136" i="57"/>
  <c r="A136" i="57"/>
  <c r="L135" i="57"/>
  <c r="J135" i="57"/>
  <c r="A135" i="57"/>
  <c r="L134" i="57"/>
  <c r="J134" i="57"/>
  <c r="A134" i="57"/>
  <c r="L133" i="57"/>
  <c r="J133" i="57"/>
  <c r="A133" i="57"/>
  <c r="L132" i="57"/>
  <c r="J132" i="57"/>
  <c r="A132" i="57"/>
  <c r="L131" i="57"/>
  <c r="J131" i="57"/>
  <c r="A131" i="57"/>
  <c r="L130" i="57"/>
  <c r="J130" i="57"/>
  <c r="A130" i="57"/>
  <c r="L129" i="57"/>
  <c r="J129" i="57"/>
  <c r="A129" i="57"/>
  <c r="L128" i="57"/>
  <c r="J128" i="57"/>
  <c r="A128" i="57"/>
  <c r="L127" i="57"/>
  <c r="J127" i="57"/>
  <c r="A127" i="57"/>
  <c r="L126" i="57"/>
  <c r="J126" i="57"/>
  <c r="A126" i="57"/>
  <c r="L125" i="57"/>
  <c r="J125" i="57"/>
  <c r="A125" i="57"/>
  <c r="L124" i="57"/>
  <c r="J124" i="57"/>
  <c r="A124" i="57"/>
  <c r="L123" i="57"/>
  <c r="J123" i="57"/>
  <c r="A123" i="57"/>
  <c r="L122" i="57"/>
  <c r="J122" i="57"/>
  <c r="A122" i="57"/>
  <c r="L121" i="57"/>
  <c r="J121" i="57"/>
  <c r="A121" i="57"/>
  <c r="L120" i="57"/>
  <c r="J120" i="57"/>
  <c r="A120" i="57"/>
  <c r="L119" i="57"/>
  <c r="J119" i="57"/>
  <c r="A119" i="57"/>
  <c r="L118" i="57"/>
  <c r="J118" i="57"/>
  <c r="A118" i="57"/>
  <c r="L117" i="57"/>
  <c r="J117" i="57"/>
  <c r="A117" i="57"/>
  <c r="L116" i="57"/>
  <c r="J116" i="57"/>
  <c r="A116" i="57"/>
  <c r="J115" i="57"/>
  <c r="J113" i="57"/>
  <c r="A113" i="57"/>
  <c r="J112" i="57"/>
  <c r="A112" i="57"/>
  <c r="J111" i="57"/>
  <c r="A111" i="57"/>
  <c r="A110" i="57"/>
  <c r="J109" i="57"/>
  <c r="A109" i="57"/>
  <c r="J108" i="57"/>
  <c r="A108" i="57"/>
  <c r="J107" i="57"/>
  <c r="A107" i="57"/>
  <c r="J106" i="57"/>
  <c r="A106" i="57"/>
  <c r="J105" i="57"/>
  <c r="A105" i="57"/>
  <c r="J104" i="57"/>
  <c r="A104" i="57"/>
  <c r="J103" i="57"/>
  <c r="A103" i="57"/>
  <c r="J102" i="57"/>
  <c r="A102" i="57"/>
  <c r="J101" i="57"/>
  <c r="A101" i="57"/>
  <c r="J100" i="57"/>
  <c r="A100" i="57"/>
  <c r="J99" i="57"/>
  <c r="A99" i="57"/>
  <c r="A98" i="57"/>
  <c r="J97" i="57"/>
  <c r="A97" i="57"/>
  <c r="J96" i="57"/>
  <c r="A96" i="57"/>
  <c r="J95" i="57"/>
  <c r="A95" i="57"/>
  <c r="L94" i="57"/>
  <c r="J94" i="57"/>
  <c r="A94" i="57"/>
  <c r="L93" i="57"/>
  <c r="J93" i="57"/>
  <c r="A93" i="57"/>
  <c r="L92" i="57"/>
  <c r="J92" i="57"/>
  <c r="A92" i="57"/>
  <c r="L91" i="57"/>
  <c r="J91" i="57"/>
  <c r="A91" i="57"/>
  <c r="L90" i="57"/>
  <c r="J90" i="57"/>
  <c r="A90" i="57"/>
  <c r="L89" i="57"/>
  <c r="J89" i="57"/>
  <c r="A89" i="57"/>
  <c r="L88" i="57"/>
  <c r="J88" i="57"/>
  <c r="A88" i="57"/>
  <c r="L87" i="57"/>
  <c r="J87" i="57"/>
  <c r="A87" i="57"/>
  <c r="L86" i="57"/>
  <c r="J86" i="57"/>
  <c r="A86" i="57"/>
  <c r="L85" i="57"/>
  <c r="J85" i="57"/>
  <c r="A85" i="57"/>
  <c r="L84" i="57"/>
  <c r="J84" i="57"/>
  <c r="A84" i="57"/>
  <c r="L83" i="57"/>
  <c r="J83" i="57"/>
  <c r="A83" i="57"/>
  <c r="L82" i="57"/>
  <c r="J82" i="57"/>
  <c r="A82" i="57"/>
  <c r="L81" i="57"/>
  <c r="J81" i="57"/>
  <c r="A81" i="57"/>
  <c r="L80" i="57"/>
  <c r="J80" i="57"/>
  <c r="A80" i="57"/>
  <c r="L79" i="57"/>
  <c r="J79" i="57"/>
  <c r="A79" i="57"/>
  <c r="L78" i="57"/>
  <c r="J78" i="57"/>
  <c r="A78" i="57"/>
  <c r="L77" i="57"/>
  <c r="J77" i="57"/>
  <c r="A77" i="57"/>
  <c r="L76" i="57"/>
  <c r="J76" i="57"/>
  <c r="A76" i="57"/>
  <c r="L75" i="57"/>
  <c r="J75" i="57"/>
  <c r="A75" i="57"/>
  <c r="L74" i="57"/>
  <c r="J74" i="57"/>
  <c r="A74" i="57"/>
  <c r="L73" i="57"/>
  <c r="J73" i="57"/>
  <c r="A73" i="57"/>
  <c r="L72" i="57"/>
  <c r="J72" i="57"/>
  <c r="A72" i="57"/>
  <c r="L71" i="57"/>
  <c r="J71" i="57"/>
  <c r="A71" i="57"/>
  <c r="L70" i="57"/>
  <c r="J70" i="57"/>
  <c r="A70" i="57"/>
  <c r="L69" i="57"/>
  <c r="J69" i="57"/>
  <c r="A69" i="57"/>
  <c r="L68" i="57"/>
  <c r="J68" i="57"/>
  <c r="A68" i="57"/>
  <c r="L67" i="57"/>
  <c r="J67" i="57"/>
  <c r="A67" i="57"/>
  <c r="L66" i="57"/>
  <c r="J66" i="57"/>
  <c r="A66" i="57"/>
  <c r="L65" i="57"/>
  <c r="J65" i="57"/>
  <c r="A65" i="57"/>
  <c r="L64" i="57"/>
  <c r="J64" i="57"/>
  <c r="A64" i="57"/>
  <c r="L63" i="57"/>
  <c r="J63" i="57"/>
  <c r="A63" i="57"/>
  <c r="L62" i="57"/>
  <c r="J62" i="57"/>
  <c r="A62" i="57"/>
  <c r="L61" i="57"/>
  <c r="J61" i="57"/>
  <c r="A61" i="57"/>
  <c r="L60" i="57"/>
  <c r="J60" i="57"/>
  <c r="A60" i="57"/>
  <c r="L59" i="57"/>
  <c r="J59" i="57"/>
  <c r="A59" i="57"/>
  <c r="L58" i="57"/>
  <c r="J58" i="57"/>
  <c r="A58" i="57"/>
  <c r="L57" i="57"/>
  <c r="J57" i="57"/>
  <c r="A57" i="57"/>
  <c r="L56" i="57"/>
  <c r="J56" i="57"/>
  <c r="A56" i="57"/>
  <c r="L55" i="57"/>
  <c r="J55" i="57"/>
  <c r="A55" i="57"/>
  <c r="L54" i="57"/>
  <c r="J54" i="57"/>
  <c r="A54" i="57"/>
  <c r="L53" i="57"/>
  <c r="J53" i="57"/>
  <c r="A53" i="57"/>
  <c r="L52" i="57"/>
  <c r="J52" i="57"/>
  <c r="A52" i="57"/>
  <c r="L51" i="57"/>
  <c r="J51" i="57"/>
  <c r="A51" i="57"/>
  <c r="L50" i="57"/>
  <c r="J50" i="57"/>
  <c r="A50" i="57"/>
  <c r="L49" i="57"/>
  <c r="J49" i="57"/>
  <c r="A49" i="57"/>
  <c r="L48" i="57"/>
  <c r="J48" i="57"/>
  <c r="A48" i="57"/>
  <c r="L47" i="57"/>
  <c r="J47" i="57"/>
  <c r="A47" i="57"/>
  <c r="L46" i="57"/>
  <c r="J46" i="57"/>
  <c r="A46" i="57"/>
  <c r="L45" i="57"/>
  <c r="J45" i="57"/>
  <c r="A45" i="57"/>
  <c r="L44" i="57"/>
  <c r="J44" i="57"/>
  <c r="A44" i="57"/>
  <c r="L43" i="57"/>
  <c r="J43" i="57"/>
  <c r="A43" i="57"/>
  <c r="L42" i="57"/>
  <c r="J42" i="57"/>
  <c r="A42" i="57"/>
  <c r="L41" i="57"/>
  <c r="J41" i="57"/>
  <c r="A41" i="57"/>
  <c r="L40" i="57"/>
  <c r="J40" i="57"/>
  <c r="A40" i="57"/>
  <c r="L39" i="57"/>
  <c r="J39" i="57"/>
  <c r="A39" i="57"/>
  <c r="L38" i="57"/>
  <c r="J38" i="57"/>
  <c r="A38" i="57"/>
  <c r="L37" i="57"/>
  <c r="J37" i="57"/>
  <c r="A37" i="57"/>
  <c r="L36" i="57"/>
  <c r="J36" i="57"/>
  <c r="A36" i="57"/>
  <c r="L35" i="57"/>
  <c r="J35" i="57"/>
  <c r="A35" i="57"/>
  <c r="L34" i="57"/>
  <c r="J34" i="57"/>
  <c r="A34" i="57"/>
  <c r="L33" i="57"/>
  <c r="J33" i="57"/>
  <c r="A33" i="57"/>
  <c r="L32" i="57"/>
  <c r="J32" i="57"/>
  <c r="A32" i="57"/>
  <c r="L31" i="57"/>
  <c r="J31" i="57"/>
  <c r="A31" i="57"/>
  <c r="L30" i="57"/>
  <c r="J30" i="57"/>
  <c r="A30" i="57"/>
  <c r="L29" i="57"/>
  <c r="J29" i="57"/>
  <c r="A29" i="57"/>
  <c r="L28" i="57"/>
  <c r="J28" i="57"/>
  <c r="A28" i="57"/>
  <c r="L27" i="57"/>
  <c r="J27" i="57"/>
  <c r="A27" i="57"/>
  <c r="L26" i="57"/>
  <c r="J26" i="57"/>
  <c r="A26" i="57"/>
  <c r="L25" i="57"/>
  <c r="J25" i="57"/>
  <c r="A25" i="57"/>
  <c r="L24" i="57"/>
  <c r="J24" i="57"/>
  <c r="A24" i="57"/>
  <c r="L23" i="57"/>
  <c r="J23" i="57"/>
  <c r="A23" i="57"/>
  <c r="L22" i="57"/>
  <c r="J22" i="57"/>
  <c r="A22" i="57"/>
  <c r="L21" i="57"/>
  <c r="J21" i="57"/>
  <c r="A21" i="57"/>
  <c r="L20" i="57"/>
  <c r="J20" i="57"/>
  <c r="A20" i="57"/>
  <c r="L19" i="57"/>
  <c r="J19" i="57"/>
  <c r="A19" i="57"/>
  <c r="L18" i="57"/>
  <c r="J18" i="57"/>
  <c r="A18" i="57"/>
  <c r="L17" i="57"/>
  <c r="J17" i="57"/>
  <c r="A17" i="57"/>
  <c r="L16" i="57"/>
  <c r="J16" i="57"/>
  <c r="A16" i="57"/>
  <c r="L15" i="57"/>
  <c r="J15" i="57"/>
  <c r="A15" i="57"/>
  <c r="L14" i="57"/>
  <c r="J14" i="57"/>
  <c r="A14" i="57"/>
  <c r="L13" i="57"/>
  <c r="J13" i="57"/>
  <c r="A13" i="57"/>
  <c r="L12" i="57"/>
  <c r="J12" i="57"/>
  <c r="A12" i="57"/>
  <c r="L11" i="57"/>
  <c r="J11" i="57"/>
  <c r="A11" i="57"/>
  <c r="L10" i="57"/>
  <c r="J10" i="57"/>
  <c r="A10" i="57"/>
  <c r="L9" i="57"/>
  <c r="J9" i="57"/>
  <c r="A9" i="57"/>
  <c r="L8" i="57"/>
  <c r="J8" i="57"/>
  <c r="A8" i="57"/>
  <c r="L7" i="57"/>
  <c r="J7" i="57"/>
  <c r="A7" i="57"/>
  <c r="L6" i="57"/>
  <c r="J6" i="57"/>
  <c r="A6" i="57"/>
  <c r="L5" i="57"/>
  <c r="J5" i="57"/>
  <c r="A5" i="57"/>
  <c r="L4" i="57"/>
  <c r="J4" i="57"/>
  <c r="A4" i="57"/>
  <c r="L3" i="57"/>
  <c r="J3" i="57"/>
  <c r="A3" i="57"/>
  <c r="L2" i="57"/>
  <c r="J2" i="57"/>
  <c r="A2" i="57"/>
  <c r="I121" i="57" l="1"/>
  <c r="I50" i="57"/>
  <c r="K121" i="57" l="1"/>
  <c r="K50" i="57"/>
  <c r="I134" i="57"/>
  <c r="I22" i="57"/>
  <c r="I2" i="57"/>
  <c r="I49" i="57"/>
  <c r="I19" i="57"/>
  <c r="K22" i="57" l="1"/>
  <c r="K19" i="57"/>
  <c r="K49" i="57"/>
  <c r="K134" i="57"/>
  <c r="K2" i="57"/>
  <c r="I145" i="57" l="1"/>
  <c r="I92" i="57"/>
  <c r="I194" i="57"/>
  <c r="K194" i="57" l="1"/>
  <c r="K145" i="57"/>
  <c r="K92" i="57"/>
  <c r="I160" i="57"/>
  <c r="I62" i="57"/>
  <c r="I35" i="57"/>
  <c r="I3" i="57"/>
  <c r="I27" i="57"/>
  <c r="I181" i="57"/>
  <c r="I140" i="57"/>
  <c r="I202" i="57"/>
  <c r="I82" i="57"/>
  <c r="I38" i="57"/>
  <c r="I58" i="57"/>
  <c r="I136" i="57"/>
  <c r="I122" i="57"/>
  <c r="I148" i="57"/>
  <c r="I74" i="57"/>
  <c r="I183" i="57"/>
  <c r="I61" i="57"/>
  <c r="I6" i="57"/>
  <c r="I143" i="57"/>
  <c r="I56" i="57"/>
  <c r="I17" i="57"/>
  <c r="I139" i="57"/>
  <c r="I132" i="57"/>
  <c r="I191" i="57"/>
  <c r="I116" i="57"/>
  <c r="I16" i="57"/>
  <c r="I20" i="57"/>
  <c r="I99" i="57"/>
  <c r="I135" i="57"/>
  <c r="I97" i="57"/>
  <c r="I91" i="57"/>
  <c r="I98" i="57"/>
  <c r="I33" i="57"/>
  <c r="I192" i="57"/>
  <c r="I96" i="57"/>
  <c r="I54" i="57"/>
  <c r="I126" i="57"/>
  <c r="I95" i="57"/>
  <c r="I193" i="57"/>
  <c r="I189" i="57"/>
  <c r="I182" i="57"/>
  <c r="I161" i="57"/>
  <c r="I8" i="57"/>
  <c r="I144" i="57"/>
  <c r="I21" i="57"/>
  <c r="I184" i="57"/>
  <c r="I90" i="57"/>
  <c r="I46" i="57"/>
  <c r="I63" i="57"/>
  <c r="I198" i="57"/>
  <c r="I105" i="57"/>
  <c r="I66" i="57"/>
  <c r="I104" i="57"/>
  <c r="I106" i="57"/>
  <c r="I188" i="57"/>
  <c r="I159" i="57"/>
  <c r="I164" i="57"/>
  <c r="I147" i="57"/>
  <c r="I185" i="57"/>
  <c r="I197" i="57"/>
  <c r="I187" i="57"/>
  <c r="I94" i="57"/>
  <c r="I31" i="57"/>
  <c r="I32" i="57"/>
  <c r="I25" i="57"/>
  <c r="I167" i="57"/>
  <c r="I186" i="57"/>
  <c r="I48" i="57"/>
  <c r="I165" i="57"/>
  <c r="I47" i="57"/>
  <c r="I13" i="57"/>
  <c r="I173" i="57"/>
  <c r="I34" i="57"/>
  <c r="I67" i="57"/>
  <c r="I180" i="57"/>
  <c r="I155" i="57"/>
  <c r="I75" i="57"/>
  <c r="I137" i="57"/>
  <c r="I36" i="57"/>
  <c r="I43" i="57"/>
  <c r="I60" i="57"/>
  <c r="I130" i="57"/>
  <c r="I129" i="57"/>
  <c r="I65" i="57"/>
  <c r="I101" i="57"/>
  <c r="I110" i="57"/>
  <c r="I45" i="57"/>
  <c r="I172" i="57"/>
  <c r="I59" i="57"/>
  <c r="I26" i="57"/>
  <c r="I41" i="57"/>
  <c r="I71" i="57"/>
  <c r="I42" i="57"/>
  <c r="I120" i="57"/>
  <c r="I124" i="57"/>
  <c r="I157" i="57"/>
  <c r="I128" i="57"/>
  <c r="I156" i="57"/>
  <c r="I119" i="57"/>
  <c r="I142" i="57"/>
  <c r="I123" i="57"/>
  <c r="I18" i="57"/>
  <c r="I64" i="57"/>
  <c r="I170" i="57"/>
  <c r="I7" i="57"/>
  <c r="I169" i="57"/>
  <c r="I69" i="57"/>
  <c r="I152" i="57"/>
  <c r="I70" i="57"/>
  <c r="I11" i="57"/>
  <c r="I107" i="57"/>
  <c r="I108" i="57"/>
  <c r="I51" i="57"/>
  <c r="I4" i="57"/>
  <c r="I196" i="57"/>
  <c r="I52" i="57"/>
  <c r="I37" i="57"/>
  <c r="I5" i="57"/>
  <c r="I68" i="57"/>
  <c r="I102" i="57"/>
  <c r="I10" i="57"/>
  <c r="I57" i="57"/>
  <c r="I117" i="57"/>
  <c r="I151" i="57"/>
  <c r="I168" i="57"/>
  <c r="I118" i="57"/>
  <c r="I138" i="57"/>
  <c r="I12" i="57"/>
  <c r="I44" i="57"/>
  <c r="I127" i="57"/>
  <c r="I163" i="57"/>
  <c r="I174" i="57"/>
  <c r="I133" i="57"/>
  <c r="I158" i="57"/>
  <c r="I146" i="57"/>
  <c r="I29" i="57"/>
  <c r="I73" i="57"/>
  <c r="I14" i="57"/>
  <c r="I141" i="57"/>
  <c r="I39" i="57"/>
  <c r="I55" i="57"/>
  <c r="I23" i="57"/>
  <c r="I201" i="57"/>
  <c r="I150" i="57"/>
  <c r="I30" i="57"/>
  <c r="I103" i="57"/>
  <c r="I200" i="57"/>
  <c r="I195" i="57"/>
  <c r="I199" i="57"/>
  <c r="I109" i="57"/>
  <c r="I81" i="57"/>
  <c r="I72" i="57"/>
  <c r="I53" i="57"/>
  <c r="I79" i="57"/>
  <c r="I78" i="57"/>
  <c r="I86" i="57"/>
  <c r="I80" i="57"/>
  <c r="I177" i="57"/>
  <c r="I83" i="57"/>
  <c r="I111" i="57"/>
  <c r="I77" i="57"/>
  <c r="I175" i="57"/>
  <c r="I112" i="57"/>
  <c r="I85" i="57"/>
  <c r="I190" i="57"/>
  <c r="I176" i="57"/>
  <c r="I113" i="57"/>
  <c r="I179" i="57"/>
  <c r="I178" i="57"/>
  <c r="I84" i="57"/>
  <c r="I76" i="57"/>
  <c r="I125" i="57"/>
  <c r="I87" i="57"/>
  <c r="I9" i="57"/>
  <c r="I93" i="57"/>
  <c r="I100" i="57"/>
  <c r="I131" i="57"/>
  <c r="I171" i="57"/>
  <c r="I154" i="57"/>
  <c r="I24" i="57"/>
  <c r="I88" i="57"/>
  <c r="I153" i="57"/>
  <c r="I149" i="57"/>
  <c r="I28" i="57"/>
  <c r="I89" i="57"/>
  <c r="I166" i="57"/>
  <c r="I162" i="57"/>
  <c r="K51" i="57" l="1"/>
  <c r="K69" i="57"/>
  <c r="K128" i="57"/>
  <c r="K65" i="57"/>
  <c r="K180" i="57"/>
  <c r="K165" i="57"/>
  <c r="K31" i="57"/>
  <c r="K185" i="57"/>
  <c r="K105" i="57"/>
  <c r="K95" i="57"/>
  <c r="K17" i="57"/>
  <c r="K74" i="57"/>
  <c r="K181" i="57"/>
  <c r="K88" i="57"/>
  <c r="K48" i="57"/>
  <c r="K91" i="57"/>
  <c r="K148" i="57"/>
  <c r="K87" i="57"/>
  <c r="K113" i="57"/>
  <c r="K176" i="57"/>
  <c r="K86" i="57"/>
  <c r="K195" i="57"/>
  <c r="K103" i="57"/>
  <c r="K141" i="57"/>
  <c r="K168" i="57"/>
  <c r="K5" i="57"/>
  <c r="I205" i="57"/>
  <c r="K124" i="57"/>
  <c r="K71" i="57"/>
  <c r="I40" i="57"/>
  <c r="K172" i="57"/>
  <c r="K67" i="57"/>
  <c r="K186" i="57"/>
  <c r="K164" i="57"/>
  <c r="K63" i="57"/>
  <c r="K8" i="57"/>
  <c r="K97" i="57"/>
  <c r="K191" i="57"/>
  <c r="K56" i="57"/>
  <c r="K122" i="57"/>
  <c r="K160" i="57"/>
  <c r="K179" i="57"/>
  <c r="K80" i="57"/>
  <c r="K199" i="57"/>
  <c r="K108" i="57"/>
  <c r="K157" i="57"/>
  <c r="K137" i="57"/>
  <c r="K75" i="57"/>
  <c r="K198" i="57"/>
  <c r="K126" i="57"/>
  <c r="K116" i="57"/>
  <c r="K154" i="57"/>
  <c r="K171" i="57"/>
  <c r="K77" i="57"/>
  <c r="K83" i="57"/>
  <c r="K53" i="57"/>
  <c r="K150" i="57"/>
  <c r="K133" i="57"/>
  <c r="K151" i="57"/>
  <c r="K37" i="57"/>
  <c r="K7" i="57"/>
  <c r="K123" i="57"/>
  <c r="K41" i="57"/>
  <c r="K129" i="57"/>
  <c r="K34" i="57"/>
  <c r="K159" i="57"/>
  <c r="K46" i="57"/>
  <c r="K161" i="57"/>
  <c r="K54" i="57"/>
  <c r="K135" i="57"/>
  <c r="K143" i="57"/>
  <c r="K136" i="57"/>
  <c r="K82" i="57"/>
  <c r="K3" i="57"/>
  <c r="K109" i="57"/>
  <c r="K118" i="57"/>
  <c r="K39" i="57"/>
  <c r="K68" i="57"/>
  <c r="K169" i="57"/>
  <c r="K26" i="57"/>
  <c r="K147" i="57"/>
  <c r="K27" i="57"/>
  <c r="K89" i="57"/>
  <c r="K125" i="57"/>
  <c r="K28" i="57"/>
  <c r="K85" i="57"/>
  <c r="I206" i="57"/>
  <c r="K14" i="57"/>
  <c r="I204" i="57"/>
  <c r="K127" i="57"/>
  <c r="K117" i="57"/>
  <c r="K52" i="57"/>
  <c r="K107" i="57"/>
  <c r="K170" i="57"/>
  <c r="K142" i="57"/>
  <c r="K59" i="57"/>
  <c r="K45" i="57"/>
  <c r="K60" i="57"/>
  <c r="K173" i="57"/>
  <c r="K188" i="57"/>
  <c r="K90" i="57"/>
  <c r="K182" i="57"/>
  <c r="K96" i="57"/>
  <c r="K99" i="57"/>
  <c r="K132" i="57"/>
  <c r="K6" i="57"/>
  <c r="K35" i="57"/>
  <c r="K9" i="57"/>
  <c r="K146" i="57"/>
  <c r="K24" i="57"/>
  <c r="K112" i="57"/>
  <c r="K158" i="57"/>
  <c r="K149" i="57"/>
  <c r="K131" i="57"/>
  <c r="K84" i="57"/>
  <c r="K190" i="57"/>
  <c r="K111" i="57"/>
  <c r="K72" i="57"/>
  <c r="K30" i="57"/>
  <c r="I203" i="57"/>
  <c r="K174" i="57"/>
  <c r="K44" i="57"/>
  <c r="K57" i="57"/>
  <c r="K11" i="57"/>
  <c r="K64" i="57"/>
  <c r="K119" i="57"/>
  <c r="K120" i="57"/>
  <c r="K101" i="57"/>
  <c r="K130" i="57"/>
  <c r="K43" i="57"/>
  <c r="K36" i="57"/>
  <c r="K155" i="57"/>
  <c r="K167" i="57"/>
  <c r="K94" i="57"/>
  <c r="K106" i="57"/>
  <c r="K184" i="57"/>
  <c r="K192" i="57"/>
  <c r="K20" i="57"/>
  <c r="K61" i="57"/>
  <c r="K202" i="57"/>
  <c r="K102" i="57"/>
  <c r="K162" i="57"/>
  <c r="K178" i="57"/>
  <c r="K177" i="57"/>
  <c r="K81" i="57"/>
  <c r="K200" i="57"/>
  <c r="K201" i="57"/>
  <c r="K73" i="57"/>
  <c r="K163" i="57"/>
  <c r="K12" i="57"/>
  <c r="K10" i="57"/>
  <c r="K196" i="57"/>
  <c r="K70" i="57"/>
  <c r="K18" i="57"/>
  <c r="K156" i="57"/>
  <c r="K42" i="57"/>
  <c r="I114" i="57"/>
  <c r="K13" i="57"/>
  <c r="K25" i="57"/>
  <c r="K187" i="57"/>
  <c r="K104" i="57"/>
  <c r="K21" i="57"/>
  <c r="K189" i="57"/>
  <c r="K33" i="57"/>
  <c r="K139" i="57"/>
  <c r="K58" i="57"/>
  <c r="K62" i="57"/>
  <c r="K166" i="57"/>
  <c r="K55" i="57"/>
  <c r="K153" i="57"/>
  <c r="K100" i="57"/>
  <c r="K78" i="57"/>
  <c r="I115" i="57"/>
  <c r="K93" i="57"/>
  <c r="K76" i="57"/>
  <c r="K175" i="57"/>
  <c r="K79" i="57"/>
  <c r="K23" i="57"/>
  <c r="K29" i="57"/>
  <c r="K138" i="57"/>
  <c r="K4" i="57"/>
  <c r="K152" i="57"/>
  <c r="K47" i="57"/>
  <c r="K32" i="57"/>
  <c r="K197" i="57"/>
  <c r="K66" i="57"/>
  <c r="K144" i="57"/>
  <c r="K193" i="57"/>
  <c r="K16" i="57"/>
  <c r="K183" i="57"/>
  <c r="K38" i="57"/>
  <c r="K140" i="57"/>
  <c r="K206" i="57" l="1"/>
  <c r="K115" i="57"/>
  <c r="K40" i="57"/>
  <c r="K204" i="57"/>
  <c r="I15" i="57" l="1"/>
  <c r="M121" i="57"/>
  <c r="G121" i="57" s="1"/>
  <c r="M50" i="57"/>
  <c r="G50" i="57" s="1"/>
  <c r="M22" i="57"/>
  <c r="G22" i="57" s="1"/>
  <c r="M2" i="57"/>
  <c r="G2" i="57" s="1"/>
  <c r="M19" i="57"/>
  <c r="G19" i="57" s="1"/>
  <c r="M49" i="57"/>
  <c r="G49" i="57" s="1"/>
  <c r="M134" i="57"/>
  <c r="G134" i="57" s="1"/>
  <c r="M194" i="57"/>
  <c r="G194" i="57" s="1"/>
  <c r="M145" i="57"/>
  <c r="G145" i="57" s="1"/>
  <c r="M92" i="57"/>
  <c r="G92" i="57" s="1"/>
  <c r="M180" i="57"/>
  <c r="G180" i="57" s="1"/>
  <c r="M91" i="57"/>
  <c r="G91" i="57" s="1"/>
  <c r="M176" i="57"/>
  <c r="G176" i="57" s="1"/>
  <c r="M67" i="57"/>
  <c r="G67" i="57" s="1"/>
  <c r="M8" i="57"/>
  <c r="G8" i="57" s="1"/>
  <c r="M122" i="57"/>
  <c r="G122" i="57" s="1"/>
  <c r="M154" i="57"/>
  <c r="G154" i="57" s="1"/>
  <c r="M136" i="57"/>
  <c r="G136" i="57" s="1"/>
  <c r="M118" i="57"/>
  <c r="G118" i="57" s="1"/>
  <c r="M26" i="57"/>
  <c r="G26" i="57" s="1"/>
  <c r="M125" i="57"/>
  <c r="G125" i="57" s="1"/>
  <c r="M14" i="57"/>
  <c r="G14" i="57" s="1"/>
  <c r="M59" i="57"/>
  <c r="G59" i="57" s="1"/>
  <c r="M188" i="57"/>
  <c r="G188" i="57" s="1"/>
  <c r="M99" i="57"/>
  <c r="G99" i="57" s="1"/>
  <c r="M101" i="57"/>
  <c r="G101" i="57" s="1"/>
  <c r="M202" i="57"/>
  <c r="G202" i="57" s="1"/>
  <c r="M177" i="57"/>
  <c r="G177" i="57" s="1"/>
  <c r="M196" i="57"/>
  <c r="G196" i="57" s="1"/>
  <c r="M42" i="57"/>
  <c r="G42" i="57" s="1"/>
  <c r="M187" i="57"/>
  <c r="G187" i="57" s="1"/>
  <c r="M33" i="57"/>
  <c r="G33" i="57" s="1"/>
  <c r="M78" i="57"/>
  <c r="G78" i="57" s="1"/>
  <c r="M193" i="57"/>
  <c r="G193" i="57" s="1"/>
  <c r="M175" i="57"/>
  <c r="G175" i="57" s="1"/>
  <c r="M140" i="57"/>
  <c r="G140" i="57" s="1"/>
  <c r="M79" i="57"/>
  <c r="G79" i="57" s="1"/>
  <c r="M4" i="57"/>
  <c r="G4" i="57" s="1"/>
  <c r="M17" i="57"/>
  <c r="G17" i="57" s="1"/>
  <c r="M112" i="57"/>
  <c r="G112" i="57" s="1"/>
  <c r="M61" i="57"/>
  <c r="G61" i="57" s="1"/>
  <c r="M51" i="57"/>
  <c r="G51" i="57" s="1"/>
  <c r="M105" i="57"/>
  <c r="G105" i="57" s="1"/>
  <c r="M148" i="57"/>
  <c r="G148" i="57" s="1"/>
  <c r="M71" i="57"/>
  <c r="G71" i="57" s="1"/>
  <c r="M97" i="57"/>
  <c r="G97" i="57" s="1"/>
  <c r="M108" i="57"/>
  <c r="G108" i="57" s="1"/>
  <c r="M7" i="57"/>
  <c r="G7" i="57" s="1"/>
  <c r="M34" i="57"/>
  <c r="G34" i="57" s="1"/>
  <c r="M54" i="57"/>
  <c r="G54" i="57" s="1"/>
  <c r="M82" i="57"/>
  <c r="G82" i="57" s="1"/>
  <c r="M39" i="57"/>
  <c r="G39" i="57" s="1"/>
  <c r="M28" i="57"/>
  <c r="G28" i="57" s="1"/>
  <c r="M45" i="57"/>
  <c r="G45" i="57" s="1"/>
  <c r="M9" i="57"/>
  <c r="G9" i="57" s="1"/>
  <c r="M158" i="57"/>
  <c r="G158" i="57" s="1"/>
  <c r="M190" i="57"/>
  <c r="G190" i="57" s="1"/>
  <c r="M155" i="57"/>
  <c r="G155" i="57" s="1"/>
  <c r="M184" i="57"/>
  <c r="G184" i="57" s="1"/>
  <c r="M73" i="57"/>
  <c r="G73" i="57" s="1"/>
  <c r="M138" i="57"/>
  <c r="G138" i="57" s="1"/>
  <c r="M16" i="57"/>
  <c r="G16" i="57" s="1"/>
  <c r="M83" i="57"/>
  <c r="G83" i="57" s="1"/>
  <c r="M142" i="57"/>
  <c r="G142" i="57" s="1"/>
  <c r="M38" i="57"/>
  <c r="G38" i="57" s="1"/>
  <c r="M69" i="57"/>
  <c r="G69" i="57" s="1"/>
  <c r="M181" i="57"/>
  <c r="G181" i="57" s="1"/>
  <c r="M86" i="57"/>
  <c r="G86" i="57" s="1"/>
  <c r="M168" i="57"/>
  <c r="G168" i="57" s="1"/>
  <c r="M186" i="57"/>
  <c r="G186" i="57" s="1"/>
  <c r="M160" i="57"/>
  <c r="G160" i="57" s="1"/>
  <c r="M198" i="57"/>
  <c r="G198" i="57" s="1"/>
  <c r="M171" i="57"/>
  <c r="G171" i="57" s="1"/>
  <c r="M150" i="57"/>
  <c r="G150" i="57" s="1"/>
  <c r="M147" i="57"/>
  <c r="G147" i="57" s="1"/>
  <c r="M107" i="57"/>
  <c r="G107" i="57" s="1"/>
  <c r="M149" i="57"/>
  <c r="G149" i="57" s="1"/>
  <c r="M111" i="57"/>
  <c r="G111" i="57" s="1"/>
  <c r="M174" i="57"/>
  <c r="G174" i="57" s="1"/>
  <c r="M192" i="57"/>
  <c r="G192" i="57" s="1"/>
  <c r="M102" i="57"/>
  <c r="G102" i="57" s="1"/>
  <c r="M70" i="57"/>
  <c r="G70" i="57" s="1"/>
  <c r="M104" i="57"/>
  <c r="G104" i="57" s="1"/>
  <c r="M185" i="57"/>
  <c r="G185" i="57" s="1"/>
  <c r="M151" i="57"/>
  <c r="G151" i="57" s="1"/>
  <c r="M106" i="57"/>
  <c r="G106" i="57" s="1"/>
  <c r="M100" i="57"/>
  <c r="G100" i="57" s="1"/>
  <c r="M165" i="57"/>
  <c r="G165" i="57" s="1"/>
  <c r="M95" i="57"/>
  <c r="G95" i="57" s="1"/>
  <c r="M88" i="57"/>
  <c r="G88" i="57" s="1"/>
  <c r="M87" i="57"/>
  <c r="G87" i="57" s="1"/>
  <c r="M195" i="57"/>
  <c r="G195" i="57" s="1"/>
  <c r="M5" i="57"/>
  <c r="G5" i="57" s="1"/>
  <c r="M164" i="57"/>
  <c r="G164" i="57" s="1"/>
  <c r="M191" i="57"/>
  <c r="G191" i="57" s="1"/>
  <c r="M126" i="57"/>
  <c r="G126" i="57" s="1"/>
  <c r="M77" i="57"/>
  <c r="G77" i="57" s="1"/>
  <c r="M133" i="57"/>
  <c r="G133" i="57" s="1"/>
  <c r="M68" i="57"/>
  <c r="G68" i="57" s="1"/>
  <c r="M85" i="57"/>
  <c r="G85" i="57" s="1"/>
  <c r="M110" i="57"/>
  <c r="G110" i="57" s="1"/>
  <c r="M90" i="57"/>
  <c r="G90" i="57" s="1"/>
  <c r="M132" i="57"/>
  <c r="G132" i="57" s="1"/>
  <c r="M146" i="57"/>
  <c r="G146" i="57" s="1"/>
  <c r="M64" i="57"/>
  <c r="G64" i="57" s="1"/>
  <c r="M130" i="57"/>
  <c r="G130" i="57" s="1"/>
  <c r="M167" i="57"/>
  <c r="G167" i="57" s="1"/>
  <c r="M81" i="57"/>
  <c r="G81" i="57" s="1"/>
  <c r="M163" i="57"/>
  <c r="G163" i="57" s="1"/>
  <c r="M139" i="57"/>
  <c r="G139" i="57" s="1"/>
  <c r="M55" i="57"/>
  <c r="G55" i="57" s="1"/>
  <c r="M197" i="57"/>
  <c r="G197" i="57" s="1"/>
  <c r="M128" i="57"/>
  <c r="G128" i="57" s="1"/>
  <c r="M31" i="57"/>
  <c r="G31" i="57" s="1"/>
  <c r="M98" i="57"/>
  <c r="G98" i="57" s="1"/>
  <c r="M179" i="57"/>
  <c r="G179" i="57" s="1"/>
  <c r="M157" i="57"/>
  <c r="G157" i="57" s="1"/>
  <c r="M123" i="57"/>
  <c r="G123" i="57" s="1"/>
  <c r="M159" i="57"/>
  <c r="G159" i="57" s="1"/>
  <c r="M135" i="57"/>
  <c r="G135" i="57" s="1"/>
  <c r="M3" i="57"/>
  <c r="G3" i="57" s="1"/>
  <c r="M27" i="57"/>
  <c r="G27" i="57" s="1"/>
  <c r="M127" i="57"/>
  <c r="G127" i="57" s="1"/>
  <c r="M170" i="57"/>
  <c r="G170" i="57" s="1"/>
  <c r="M60" i="57"/>
  <c r="G60" i="57" s="1"/>
  <c r="M6" i="57"/>
  <c r="G6" i="57" s="1"/>
  <c r="M24" i="57"/>
  <c r="G24" i="57" s="1"/>
  <c r="M72" i="57"/>
  <c r="G72" i="57" s="1"/>
  <c r="M44" i="57"/>
  <c r="G44" i="57" s="1"/>
  <c r="M94" i="57"/>
  <c r="G94" i="57" s="1"/>
  <c r="M200" i="57"/>
  <c r="G200" i="57" s="1"/>
  <c r="M12" i="57"/>
  <c r="G12" i="57" s="1"/>
  <c r="M13" i="57"/>
  <c r="G13" i="57" s="1"/>
  <c r="M21" i="57"/>
  <c r="G21" i="57" s="1"/>
  <c r="M58" i="57"/>
  <c r="G58" i="57" s="1"/>
  <c r="M153" i="57"/>
  <c r="G153" i="57" s="1"/>
  <c r="M23" i="57"/>
  <c r="G23" i="57" s="1"/>
  <c r="M66" i="57"/>
  <c r="G66" i="57" s="1"/>
  <c r="M93" i="57"/>
  <c r="G93" i="57" s="1"/>
  <c r="M152" i="57"/>
  <c r="G152" i="57" s="1"/>
  <c r="M65" i="57"/>
  <c r="G65" i="57" s="1"/>
  <c r="M109" i="57"/>
  <c r="G109" i="57" s="1"/>
  <c r="M173" i="57"/>
  <c r="G173" i="57" s="1"/>
  <c r="M57" i="57"/>
  <c r="G57" i="57" s="1"/>
  <c r="M10" i="57"/>
  <c r="G10" i="57" s="1"/>
  <c r="M29" i="57"/>
  <c r="G29" i="57" s="1"/>
  <c r="M48" i="57"/>
  <c r="G48" i="57" s="1"/>
  <c r="M113" i="57"/>
  <c r="G113" i="57" s="1"/>
  <c r="M103" i="57"/>
  <c r="G103" i="57" s="1"/>
  <c r="M172" i="57"/>
  <c r="G172" i="57" s="1"/>
  <c r="M63" i="57"/>
  <c r="G63" i="57" s="1"/>
  <c r="M56" i="57"/>
  <c r="G56" i="57" s="1"/>
  <c r="M80" i="57"/>
  <c r="G80" i="57" s="1"/>
  <c r="M137" i="57"/>
  <c r="G137" i="57" s="1"/>
  <c r="M116" i="57"/>
  <c r="G116" i="57" s="1"/>
  <c r="M46" i="57"/>
  <c r="G46" i="57" s="1"/>
  <c r="M169" i="57"/>
  <c r="G169" i="57" s="1"/>
  <c r="M89" i="57"/>
  <c r="G89" i="57" s="1"/>
  <c r="M117" i="57"/>
  <c r="G117" i="57" s="1"/>
  <c r="M182" i="57"/>
  <c r="G182" i="57" s="1"/>
  <c r="M131" i="57"/>
  <c r="G131" i="57" s="1"/>
  <c r="M119" i="57"/>
  <c r="G119" i="57" s="1"/>
  <c r="M43" i="57"/>
  <c r="G43" i="57" s="1"/>
  <c r="M20" i="57"/>
  <c r="G20" i="57" s="1"/>
  <c r="M162" i="57"/>
  <c r="G162" i="57" s="1"/>
  <c r="M18" i="57"/>
  <c r="G18" i="57" s="1"/>
  <c r="M183" i="57"/>
  <c r="G183" i="57" s="1"/>
  <c r="M143" i="57"/>
  <c r="G143" i="57" s="1"/>
  <c r="M25" i="57"/>
  <c r="G25" i="57" s="1"/>
  <c r="M47" i="57"/>
  <c r="G47" i="57" s="1"/>
  <c r="M74" i="57"/>
  <c r="G74" i="57" s="1"/>
  <c r="M141" i="57"/>
  <c r="G141" i="57" s="1"/>
  <c r="M124" i="57"/>
  <c r="G124" i="57" s="1"/>
  <c r="M199" i="57"/>
  <c r="G199" i="57" s="1"/>
  <c r="M75" i="57"/>
  <c r="G75" i="57" s="1"/>
  <c r="M53" i="57"/>
  <c r="G53" i="57" s="1"/>
  <c r="M37" i="57"/>
  <c r="G37" i="57" s="1"/>
  <c r="M129" i="57"/>
  <c r="G129" i="57" s="1"/>
  <c r="M161" i="57"/>
  <c r="G161" i="57" s="1"/>
  <c r="M52" i="57"/>
  <c r="G52" i="57" s="1"/>
  <c r="M35" i="57"/>
  <c r="G35" i="57" s="1"/>
  <c r="M84" i="57"/>
  <c r="G84" i="57" s="1"/>
  <c r="M30" i="57"/>
  <c r="G30" i="57" s="1"/>
  <c r="M120" i="57"/>
  <c r="G120" i="57" s="1"/>
  <c r="M36" i="57"/>
  <c r="G36" i="57" s="1"/>
  <c r="M178" i="57"/>
  <c r="G178" i="57" s="1"/>
  <c r="M201" i="57"/>
  <c r="G201" i="57" s="1"/>
  <c r="M156" i="57"/>
  <c r="G156" i="57" s="1"/>
  <c r="M189" i="57"/>
  <c r="G189" i="57" s="1"/>
  <c r="M62" i="57"/>
  <c r="G62" i="57" s="1"/>
  <c r="M76" i="57"/>
  <c r="G76" i="57" s="1"/>
  <c r="M144" i="57"/>
  <c r="G144" i="57" s="1"/>
  <c r="M166" i="57"/>
  <c r="G166" i="57" s="1"/>
  <c r="M32" i="57"/>
  <c r="G32" i="57" s="1"/>
  <c r="M11" i="57"/>
  <c r="G11" i="57" s="1"/>
  <c r="M41" i="57"/>
  <c r="G41" i="57" s="1"/>
  <c r="M96" i="57"/>
  <c r="G96" i="57" s="1"/>
  <c r="M205" i="57"/>
  <c r="G205" i="57" s="1"/>
  <c r="M204" i="57"/>
  <c r="G204" i="57" s="1"/>
  <c r="M40" i="57"/>
  <c r="G40" i="57" s="1"/>
  <c r="M115" i="57"/>
  <c r="G115" i="57" s="1"/>
  <c r="M203" i="57"/>
  <c r="G203" i="57" s="1"/>
  <c r="M114" i="57"/>
  <c r="G114" i="57" s="1"/>
  <c r="M206" i="57"/>
  <c r="G206" i="57" s="1"/>
  <c r="K15" i="57" l="1"/>
  <c r="M15" i="57"/>
  <c r="G15" i="57" s="1"/>
  <c r="I78" i="3" l="1"/>
  <c r="C11" i="41"/>
  <c r="B11" i="41"/>
  <c r="A11" i="41"/>
  <c r="C10" i="41"/>
  <c r="B10" i="41"/>
  <c r="A10" i="41"/>
  <c r="C9" i="41"/>
  <c r="B9" i="41"/>
  <c r="A9" i="41"/>
  <c r="C8" i="41"/>
  <c r="B8" i="41"/>
  <c r="A8" i="41"/>
  <c r="C7" i="41"/>
  <c r="B7" i="41"/>
  <c r="A7" i="41"/>
  <c r="C6" i="41"/>
  <c r="B6" i="41"/>
  <c r="A6" i="41"/>
  <c r="C5" i="41"/>
  <c r="B5" i="41"/>
  <c r="A5" i="41"/>
  <c r="H638" i="21"/>
  <c r="I638" i="21" s="1"/>
  <c r="H637" i="21"/>
  <c r="I637" i="21" s="1"/>
  <c r="H636" i="21"/>
  <c r="I636" i="21" s="1"/>
  <c r="H635" i="21"/>
  <c r="I635" i="21" s="1"/>
  <c r="H634" i="21"/>
  <c r="I634" i="21" s="1"/>
  <c r="H633" i="21"/>
  <c r="I633" i="21" s="1"/>
  <c r="H632" i="21"/>
  <c r="I632" i="21" s="1"/>
  <c r="H631" i="21"/>
  <c r="I631" i="21" s="1"/>
  <c r="H630" i="21"/>
  <c r="I630" i="21" s="1"/>
  <c r="H629" i="21"/>
  <c r="I629" i="21" s="1"/>
  <c r="H628" i="21"/>
  <c r="I628" i="21" s="1"/>
  <c r="H627" i="21"/>
  <c r="I627" i="21" s="1"/>
  <c r="H626" i="21"/>
  <c r="I626" i="21" s="1"/>
  <c r="H625" i="21"/>
  <c r="I625" i="21" s="1"/>
  <c r="H624" i="21"/>
  <c r="I624" i="21" s="1"/>
  <c r="H623" i="21"/>
  <c r="I623" i="21" s="1"/>
  <c r="H622" i="21"/>
  <c r="I622" i="21" s="1"/>
  <c r="H621" i="21"/>
  <c r="I621" i="21" s="1"/>
  <c r="H620" i="21"/>
  <c r="I620" i="21" s="1"/>
  <c r="H619" i="21"/>
  <c r="I619" i="21" s="1"/>
  <c r="H618" i="21"/>
  <c r="I618" i="21" s="1"/>
  <c r="H617" i="21"/>
  <c r="I617" i="21" s="1"/>
  <c r="H616" i="21"/>
  <c r="I616" i="21" s="1"/>
  <c r="H615" i="21"/>
  <c r="I615" i="21" s="1"/>
  <c r="H614" i="21"/>
  <c r="I614" i="21" s="1"/>
  <c r="H613" i="21"/>
  <c r="I613" i="21" s="1"/>
  <c r="H612" i="21"/>
  <c r="I612" i="21" s="1"/>
  <c r="H611" i="21"/>
  <c r="I611" i="21" s="1"/>
  <c r="H610" i="21"/>
  <c r="I610" i="21" s="1"/>
  <c r="H609" i="21"/>
  <c r="I609" i="21" s="1"/>
  <c r="H608" i="21"/>
  <c r="I608" i="21" s="1"/>
  <c r="H607" i="21"/>
  <c r="I607" i="21" s="1"/>
  <c r="H606" i="21"/>
  <c r="I606" i="21" s="1"/>
  <c r="H605" i="21"/>
  <c r="I605" i="21" s="1"/>
  <c r="H604" i="21"/>
  <c r="I604" i="21" s="1"/>
  <c r="H603" i="21"/>
  <c r="I603" i="21" s="1"/>
  <c r="H602" i="21"/>
  <c r="I602" i="21" s="1"/>
  <c r="H601" i="21"/>
  <c r="I601" i="21" s="1"/>
  <c r="H600" i="21"/>
  <c r="I600" i="21" s="1"/>
  <c r="H599" i="21"/>
  <c r="I599" i="21" s="1"/>
  <c r="H598" i="21"/>
  <c r="I598" i="21" s="1"/>
  <c r="H597" i="21"/>
  <c r="I597" i="21" s="1"/>
  <c r="H596" i="21"/>
  <c r="I596" i="21" s="1"/>
  <c r="H595" i="21"/>
  <c r="I595" i="21" s="1"/>
  <c r="H594" i="21"/>
  <c r="I594" i="21" s="1"/>
  <c r="H593" i="21"/>
  <c r="I593" i="21" s="1"/>
  <c r="H592" i="21"/>
  <c r="I592" i="21" s="1"/>
  <c r="H591" i="21"/>
  <c r="I591" i="21" s="1"/>
  <c r="H590" i="21"/>
  <c r="I590" i="21" s="1"/>
  <c r="H589" i="21"/>
  <c r="I589" i="21" s="1"/>
  <c r="H588" i="21"/>
  <c r="I588" i="21" s="1"/>
  <c r="H587" i="21"/>
  <c r="I587" i="21" s="1"/>
  <c r="H586" i="21"/>
  <c r="I586" i="21" s="1"/>
  <c r="H585" i="21"/>
  <c r="I585" i="21" s="1"/>
  <c r="H584" i="21"/>
  <c r="I584" i="21" s="1"/>
  <c r="H583" i="21"/>
  <c r="I583" i="21" s="1"/>
  <c r="H582" i="21"/>
  <c r="I582" i="21" s="1"/>
  <c r="H581" i="21"/>
  <c r="I581" i="21" s="1"/>
  <c r="H580" i="21"/>
  <c r="I580" i="21" s="1"/>
  <c r="H579" i="21"/>
  <c r="I579" i="21" s="1"/>
  <c r="H578" i="21"/>
  <c r="I578" i="21" s="1"/>
  <c r="H577" i="21"/>
  <c r="I577" i="21" s="1"/>
  <c r="H576" i="21"/>
  <c r="I576" i="21" s="1"/>
  <c r="H575" i="21"/>
  <c r="I575" i="21" s="1"/>
  <c r="H574" i="21"/>
  <c r="I574" i="21" s="1"/>
  <c r="H573" i="21"/>
  <c r="I573" i="21" s="1"/>
  <c r="H572" i="21"/>
  <c r="I572" i="21" s="1"/>
  <c r="H571" i="21"/>
  <c r="I571" i="21" s="1"/>
  <c r="H570" i="21"/>
  <c r="I570" i="21" s="1"/>
  <c r="H569" i="21"/>
  <c r="I569" i="21" s="1"/>
  <c r="H568" i="21"/>
  <c r="I568" i="21" s="1"/>
  <c r="H567" i="21"/>
  <c r="I567" i="21" s="1"/>
  <c r="H566" i="21"/>
  <c r="I566" i="21" s="1"/>
  <c r="H565" i="21"/>
  <c r="I565" i="21" s="1"/>
  <c r="H564" i="21"/>
  <c r="I564" i="21" s="1"/>
  <c r="H563" i="21"/>
  <c r="I563" i="21" s="1"/>
  <c r="H562" i="21"/>
  <c r="I562" i="21" s="1"/>
  <c r="H561" i="21"/>
  <c r="I561" i="21" s="1"/>
  <c r="H560" i="21"/>
  <c r="I560" i="21" s="1"/>
  <c r="H559" i="21"/>
  <c r="I559" i="21" s="1"/>
  <c r="H558" i="21"/>
  <c r="I558" i="21" s="1"/>
  <c r="H557" i="21"/>
  <c r="I557" i="21" s="1"/>
  <c r="H556" i="21"/>
  <c r="I556" i="21" s="1"/>
  <c r="H555" i="21"/>
  <c r="I555" i="21" s="1"/>
  <c r="H554" i="21"/>
  <c r="I554" i="21" s="1"/>
  <c r="H553" i="21"/>
  <c r="I553" i="21" s="1"/>
  <c r="H552" i="21"/>
  <c r="I552" i="21" s="1"/>
  <c r="H551" i="21"/>
  <c r="I551" i="21" s="1"/>
  <c r="H550" i="21"/>
  <c r="I550" i="21" s="1"/>
  <c r="H549" i="21"/>
  <c r="I549" i="21" s="1"/>
  <c r="H548" i="21"/>
  <c r="I548" i="21" s="1"/>
  <c r="H547" i="21"/>
  <c r="I547" i="21" s="1"/>
  <c r="H546" i="21"/>
  <c r="I546" i="21" s="1"/>
  <c r="H545" i="21"/>
  <c r="I545" i="21" s="1"/>
  <c r="H544" i="21"/>
  <c r="I544" i="21" s="1"/>
  <c r="H543" i="21"/>
  <c r="I543" i="21" s="1"/>
  <c r="H542" i="21"/>
  <c r="I542" i="21" s="1"/>
  <c r="H541" i="21"/>
  <c r="I541" i="21" s="1"/>
  <c r="H540" i="21"/>
  <c r="I540" i="21" s="1"/>
  <c r="H539" i="21"/>
  <c r="I539" i="21" s="1"/>
  <c r="H538" i="21"/>
  <c r="I538" i="21" s="1"/>
  <c r="H537" i="21"/>
  <c r="I537" i="21" s="1"/>
  <c r="H536" i="21"/>
  <c r="I536" i="21" s="1"/>
  <c r="H535" i="21"/>
  <c r="I535" i="21" s="1"/>
  <c r="H534" i="21"/>
  <c r="I534" i="21" s="1"/>
  <c r="H533" i="21"/>
  <c r="I533" i="21" s="1"/>
  <c r="H532" i="21"/>
  <c r="I532" i="21" s="1"/>
  <c r="H531" i="21"/>
  <c r="I531" i="21" s="1"/>
  <c r="H530" i="21"/>
  <c r="I530" i="21" s="1"/>
  <c r="H529" i="21"/>
  <c r="I529" i="21" s="1"/>
  <c r="H528" i="21"/>
  <c r="I528" i="21" s="1"/>
  <c r="H527" i="21"/>
  <c r="I527" i="21" s="1"/>
  <c r="H526" i="21"/>
  <c r="I526" i="21" s="1"/>
  <c r="H525" i="21"/>
  <c r="I525" i="21" s="1"/>
  <c r="H524" i="21"/>
  <c r="I524" i="21" s="1"/>
  <c r="H523" i="21"/>
  <c r="I523" i="21" s="1"/>
  <c r="H522" i="21"/>
  <c r="I522" i="21" s="1"/>
  <c r="H521" i="21"/>
  <c r="I521" i="21" s="1"/>
  <c r="H520" i="21"/>
  <c r="I520" i="21" s="1"/>
  <c r="H519" i="21"/>
  <c r="I519" i="21" s="1"/>
  <c r="H518" i="21"/>
  <c r="I518" i="21" s="1"/>
  <c r="H517" i="21"/>
  <c r="I517" i="21" s="1"/>
  <c r="H516" i="21"/>
  <c r="I516" i="21" s="1"/>
  <c r="H515" i="21"/>
  <c r="I515" i="21" s="1"/>
  <c r="H514" i="21"/>
  <c r="I514" i="21" s="1"/>
  <c r="H513" i="21"/>
  <c r="I513" i="21" s="1"/>
  <c r="H512" i="21"/>
  <c r="I512" i="21" s="1"/>
  <c r="H511" i="21"/>
  <c r="I511" i="21" s="1"/>
  <c r="H510" i="21"/>
  <c r="I510" i="21" s="1"/>
  <c r="H509" i="21"/>
  <c r="I509" i="21" s="1"/>
  <c r="H508" i="21"/>
  <c r="I508" i="21" s="1"/>
  <c r="H507" i="21"/>
  <c r="I507" i="21" s="1"/>
  <c r="H506" i="21"/>
  <c r="I506" i="21" s="1"/>
  <c r="H505" i="21"/>
  <c r="I505" i="21" s="1"/>
  <c r="H504" i="21"/>
  <c r="I504" i="21" s="1"/>
  <c r="H503" i="21"/>
  <c r="I503" i="21" s="1"/>
  <c r="H502" i="21"/>
  <c r="I502" i="21" s="1"/>
  <c r="H501" i="21"/>
  <c r="I501" i="21" s="1"/>
  <c r="H500" i="21"/>
  <c r="I500" i="21" s="1"/>
  <c r="H499" i="21"/>
  <c r="I499" i="21" s="1"/>
  <c r="H498" i="21"/>
  <c r="I498" i="21" s="1"/>
  <c r="H497" i="21"/>
  <c r="I497" i="21" s="1"/>
  <c r="H496" i="21"/>
  <c r="I496" i="21" s="1"/>
  <c r="H495" i="21"/>
  <c r="I495" i="21" s="1"/>
  <c r="H494" i="21"/>
  <c r="I494" i="21" s="1"/>
  <c r="H493" i="21"/>
  <c r="I493" i="21" s="1"/>
  <c r="H492" i="21"/>
  <c r="I492" i="21" s="1"/>
  <c r="H491" i="21"/>
  <c r="I491" i="21" s="1"/>
  <c r="H490" i="21"/>
  <c r="I490" i="21" s="1"/>
  <c r="H489" i="21"/>
  <c r="I489" i="21" s="1"/>
  <c r="H488" i="21"/>
  <c r="I488" i="21" s="1"/>
  <c r="H487" i="21"/>
  <c r="I487" i="21" s="1"/>
  <c r="H486" i="21"/>
  <c r="I486" i="21" s="1"/>
  <c r="H485" i="21"/>
  <c r="I485" i="21" s="1"/>
  <c r="H484" i="21"/>
  <c r="I484" i="21" s="1"/>
  <c r="H483" i="21"/>
  <c r="I483" i="21" s="1"/>
  <c r="H482" i="21"/>
  <c r="I482" i="21" s="1"/>
  <c r="H481" i="21"/>
  <c r="I481" i="21" s="1"/>
  <c r="H480" i="21"/>
  <c r="I480" i="21" s="1"/>
  <c r="H479" i="21"/>
  <c r="I479" i="21" s="1"/>
  <c r="H478" i="21"/>
  <c r="I478" i="21" s="1"/>
  <c r="H477" i="21"/>
  <c r="I477" i="21" s="1"/>
  <c r="H476" i="21"/>
  <c r="I476" i="21" s="1"/>
  <c r="H475" i="21"/>
  <c r="I475" i="21" s="1"/>
  <c r="H474" i="21"/>
  <c r="I474" i="21" s="1"/>
  <c r="H473" i="21"/>
  <c r="I473" i="21" s="1"/>
  <c r="H472" i="21"/>
  <c r="I472" i="21" s="1"/>
  <c r="H471" i="21"/>
  <c r="I471" i="21" s="1"/>
  <c r="H470" i="21"/>
  <c r="I470" i="21" s="1"/>
  <c r="H469" i="21"/>
  <c r="I469" i="21" s="1"/>
  <c r="H468" i="21"/>
  <c r="I468" i="21" s="1"/>
  <c r="H467" i="21"/>
  <c r="I467" i="21" s="1"/>
  <c r="H466" i="21"/>
  <c r="I466" i="21" s="1"/>
  <c r="H465" i="21"/>
  <c r="I465" i="21" s="1"/>
  <c r="H464" i="21"/>
  <c r="I464" i="21" s="1"/>
  <c r="H463" i="21"/>
  <c r="I463" i="21" s="1"/>
  <c r="H462" i="21"/>
  <c r="I462" i="21" s="1"/>
  <c r="H461" i="21"/>
  <c r="I461" i="21" s="1"/>
  <c r="H460" i="21"/>
  <c r="I460" i="21" s="1"/>
  <c r="H459" i="21"/>
  <c r="I459" i="21" s="1"/>
  <c r="H458" i="21"/>
  <c r="I458" i="21" s="1"/>
  <c r="H457" i="21"/>
  <c r="I457" i="21" s="1"/>
  <c r="H456" i="21"/>
  <c r="I456" i="21" s="1"/>
  <c r="H455" i="21"/>
  <c r="I455" i="21" s="1"/>
  <c r="H454" i="21"/>
  <c r="I454" i="21" s="1"/>
  <c r="H453" i="21"/>
  <c r="I453" i="21" s="1"/>
  <c r="H452" i="21"/>
  <c r="I452" i="21" s="1"/>
  <c r="H451" i="21"/>
  <c r="I451" i="21" s="1"/>
  <c r="H450" i="21"/>
  <c r="I450" i="21" s="1"/>
  <c r="H449" i="21"/>
  <c r="I449" i="21" s="1"/>
  <c r="H448" i="21"/>
  <c r="I448" i="21" s="1"/>
  <c r="H447" i="21"/>
  <c r="I447" i="21" s="1"/>
  <c r="H446" i="21"/>
  <c r="I446" i="21" s="1"/>
  <c r="H445" i="21"/>
  <c r="I445" i="21" s="1"/>
  <c r="H444" i="21"/>
  <c r="I444" i="21" s="1"/>
  <c r="H443" i="21"/>
  <c r="I443" i="21" s="1"/>
  <c r="H442" i="21"/>
  <c r="I442" i="21" s="1"/>
  <c r="H441" i="21"/>
  <c r="I441" i="21" s="1"/>
  <c r="H440" i="21"/>
  <c r="I440" i="21" s="1"/>
  <c r="H439" i="21"/>
  <c r="I439" i="21" s="1"/>
  <c r="H438" i="21"/>
  <c r="I438" i="21" s="1"/>
  <c r="H437" i="21"/>
  <c r="I437" i="21" s="1"/>
  <c r="H436" i="21"/>
  <c r="I436" i="21" s="1"/>
  <c r="H435" i="21"/>
  <c r="I435" i="21" s="1"/>
  <c r="H434" i="21"/>
  <c r="I434" i="21" s="1"/>
  <c r="H433" i="21"/>
  <c r="I433" i="21" s="1"/>
  <c r="H432" i="21"/>
  <c r="I432" i="21" s="1"/>
  <c r="H431" i="21"/>
  <c r="I431" i="21" s="1"/>
  <c r="H430" i="21"/>
  <c r="I430" i="21" s="1"/>
  <c r="H429" i="21"/>
  <c r="I429" i="21" s="1"/>
  <c r="H428" i="21"/>
  <c r="I428" i="21" s="1"/>
  <c r="H427" i="21"/>
  <c r="I427" i="21" s="1"/>
  <c r="H426" i="21"/>
  <c r="I426" i="21" s="1"/>
  <c r="H425" i="21"/>
  <c r="I425" i="21" s="1"/>
  <c r="H424" i="21"/>
  <c r="I424" i="21" s="1"/>
  <c r="H423" i="21"/>
  <c r="I423" i="21" s="1"/>
  <c r="H422" i="21"/>
  <c r="I422" i="21" s="1"/>
  <c r="H421" i="21"/>
  <c r="I421" i="21" s="1"/>
  <c r="H420" i="21"/>
  <c r="I420" i="21" s="1"/>
  <c r="H419" i="21"/>
  <c r="I419" i="21" s="1"/>
  <c r="H418" i="21"/>
  <c r="I418" i="21" s="1"/>
  <c r="H417" i="21"/>
  <c r="I417" i="21" s="1"/>
  <c r="H416" i="21"/>
  <c r="I416" i="21" s="1"/>
  <c r="H415" i="21"/>
  <c r="I415" i="21" s="1"/>
  <c r="H414" i="21"/>
  <c r="I414" i="21" s="1"/>
  <c r="H413" i="21"/>
  <c r="I413" i="21" s="1"/>
  <c r="H412" i="21"/>
  <c r="I412" i="21" s="1"/>
  <c r="H411" i="21"/>
  <c r="I411" i="21" s="1"/>
  <c r="H410" i="21"/>
  <c r="I410" i="21" s="1"/>
  <c r="H409" i="21"/>
  <c r="I409" i="21" s="1"/>
  <c r="H408" i="21"/>
  <c r="I408" i="21" s="1"/>
  <c r="H407" i="21"/>
  <c r="I407" i="21" s="1"/>
  <c r="H406" i="21"/>
  <c r="I406" i="21" s="1"/>
  <c r="H405" i="21"/>
  <c r="I405" i="21" s="1"/>
  <c r="H404" i="21"/>
  <c r="I404" i="21" s="1"/>
  <c r="H403" i="21"/>
  <c r="I403" i="21" s="1"/>
  <c r="H402" i="21"/>
  <c r="I402" i="21" s="1"/>
  <c r="H401" i="21"/>
  <c r="I401" i="21" s="1"/>
  <c r="H400" i="21"/>
  <c r="I400" i="21" s="1"/>
  <c r="H399" i="21"/>
  <c r="I399" i="21" s="1"/>
  <c r="H398" i="21"/>
  <c r="I398" i="21" s="1"/>
  <c r="H397" i="21"/>
  <c r="I397" i="21" s="1"/>
  <c r="H396" i="21"/>
  <c r="I396" i="21" s="1"/>
  <c r="H395" i="21"/>
  <c r="I395" i="21" s="1"/>
  <c r="H394" i="21"/>
  <c r="I394" i="21" s="1"/>
  <c r="H393" i="21"/>
  <c r="I393" i="21" s="1"/>
  <c r="H392" i="21"/>
  <c r="I392" i="21" s="1"/>
  <c r="H391" i="21"/>
  <c r="I391" i="21" s="1"/>
  <c r="H390" i="21"/>
  <c r="I390" i="21" s="1"/>
  <c r="H389" i="21"/>
  <c r="I389" i="21" s="1"/>
  <c r="H388" i="21"/>
  <c r="I388" i="21" s="1"/>
  <c r="H387" i="21"/>
  <c r="I387" i="21" s="1"/>
  <c r="H386" i="21"/>
  <c r="I386" i="21" s="1"/>
  <c r="H385" i="21"/>
  <c r="I385" i="21" s="1"/>
  <c r="H384" i="21"/>
  <c r="I384" i="21" s="1"/>
  <c r="H383" i="21"/>
  <c r="I383" i="21" s="1"/>
  <c r="H382" i="21"/>
  <c r="I382" i="21" s="1"/>
  <c r="H381" i="21"/>
  <c r="I381" i="21" s="1"/>
  <c r="H380" i="21"/>
  <c r="I380" i="21" s="1"/>
  <c r="H379" i="21"/>
  <c r="I379" i="21" s="1"/>
  <c r="H378" i="21"/>
  <c r="I378" i="21" s="1"/>
  <c r="H377" i="21"/>
  <c r="I377" i="21" s="1"/>
  <c r="H376" i="21"/>
  <c r="I376" i="21" s="1"/>
  <c r="H375" i="21"/>
  <c r="I375" i="21" s="1"/>
  <c r="H374" i="21"/>
  <c r="I374" i="21" s="1"/>
  <c r="H373" i="21"/>
  <c r="I373" i="21" s="1"/>
  <c r="H372" i="21"/>
  <c r="I372" i="21" s="1"/>
  <c r="H371" i="21"/>
  <c r="I371" i="21" s="1"/>
  <c r="H370" i="21"/>
  <c r="I370" i="21" s="1"/>
  <c r="H369" i="21"/>
  <c r="I369" i="21" s="1"/>
  <c r="H368" i="21"/>
  <c r="I368" i="21" s="1"/>
  <c r="H367" i="21"/>
  <c r="I367" i="21" s="1"/>
  <c r="H366" i="21"/>
  <c r="I366" i="21" s="1"/>
  <c r="H365" i="21"/>
  <c r="I365" i="21" s="1"/>
  <c r="H364" i="21"/>
  <c r="I364" i="21" s="1"/>
  <c r="H363" i="21"/>
  <c r="I363" i="21" s="1"/>
  <c r="H362" i="21"/>
  <c r="I362" i="21" s="1"/>
  <c r="H361" i="21"/>
  <c r="I361" i="21" s="1"/>
  <c r="H360" i="21"/>
  <c r="I360" i="21" s="1"/>
  <c r="H359" i="21"/>
  <c r="I359" i="21" s="1"/>
  <c r="H358" i="21"/>
  <c r="I358" i="21" s="1"/>
  <c r="H357" i="21"/>
  <c r="I357" i="21" s="1"/>
  <c r="H356" i="21"/>
  <c r="I356" i="21" s="1"/>
  <c r="H355" i="21"/>
  <c r="I355" i="21" s="1"/>
  <c r="H354" i="21"/>
  <c r="I354" i="21" s="1"/>
  <c r="H353" i="21"/>
  <c r="I353" i="21" s="1"/>
  <c r="H352" i="21"/>
  <c r="I352" i="21" s="1"/>
  <c r="H351" i="21"/>
  <c r="I351" i="21" s="1"/>
  <c r="H350" i="21"/>
  <c r="I350" i="21" s="1"/>
  <c r="H349" i="21"/>
  <c r="I349" i="21" s="1"/>
  <c r="H348" i="21"/>
  <c r="I348" i="21" s="1"/>
  <c r="H347" i="21"/>
  <c r="I347" i="21" s="1"/>
  <c r="H346" i="21"/>
  <c r="I346" i="21" s="1"/>
  <c r="H345" i="21"/>
  <c r="I345" i="21" s="1"/>
  <c r="H344" i="21"/>
  <c r="I344" i="21" s="1"/>
  <c r="H343" i="21"/>
  <c r="I343" i="21" s="1"/>
  <c r="H342" i="21"/>
  <c r="I342" i="21" s="1"/>
  <c r="H341" i="21"/>
  <c r="I341" i="21" s="1"/>
  <c r="H340" i="21"/>
  <c r="I340" i="21" s="1"/>
  <c r="H339" i="21"/>
  <c r="I339" i="21" s="1"/>
  <c r="H338" i="21"/>
  <c r="I338" i="21" s="1"/>
  <c r="H337" i="21"/>
  <c r="I337" i="21" s="1"/>
  <c r="H336" i="21"/>
  <c r="I336" i="21" s="1"/>
  <c r="H335" i="21"/>
  <c r="I335" i="21" s="1"/>
  <c r="H334" i="21"/>
  <c r="I334" i="21" s="1"/>
  <c r="H333" i="21"/>
  <c r="I333" i="21" s="1"/>
  <c r="H332" i="21"/>
  <c r="I332" i="21" s="1"/>
  <c r="H331" i="21"/>
  <c r="I331" i="21" s="1"/>
  <c r="H330" i="21"/>
  <c r="I330" i="21" s="1"/>
  <c r="H329" i="21"/>
  <c r="I329" i="21" s="1"/>
  <c r="H328" i="21"/>
  <c r="I328" i="21" s="1"/>
  <c r="H327" i="21"/>
  <c r="I327" i="21" s="1"/>
  <c r="H326" i="21"/>
  <c r="I326" i="21" s="1"/>
  <c r="H325" i="21"/>
  <c r="I325" i="21" s="1"/>
  <c r="H324" i="21"/>
  <c r="I324" i="21" s="1"/>
  <c r="H323" i="21"/>
  <c r="I323" i="21" s="1"/>
  <c r="H322" i="21"/>
  <c r="I322" i="21" s="1"/>
  <c r="H321" i="21"/>
  <c r="I321" i="21" s="1"/>
  <c r="H320" i="21"/>
  <c r="I320" i="21" s="1"/>
  <c r="H319" i="21"/>
  <c r="I319" i="21" s="1"/>
  <c r="H318" i="21"/>
  <c r="I318" i="21" s="1"/>
  <c r="H317" i="21"/>
  <c r="I317" i="21" s="1"/>
  <c r="H316" i="21"/>
  <c r="I316" i="21" s="1"/>
  <c r="H315" i="21"/>
  <c r="I315" i="21" s="1"/>
  <c r="H314" i="21"/>
  <c r="I314" i="21" s="1"/>
  <c r="H313" i="21"/>
  <c r="I313" i="21" s="1"/>
  <c r="H312" i="21"/>
  <c r="I312" i="21" s="1"/>
  <c r="H311" i="21"/>
  <c r="I311" i="21" s="1"/>
  <c r="H310" i="21"/>
  <c r="I310" i="21" s="1"/>
  <c r="H309" i="21"/>
  <c r="I309" i="21" s="1"/>
  <c r="H308" i="21"/>
  <c r="I308" i="21" s="1"/>
  <c r="H307" i="21"/>
  <c r="I307" i="21" s="1"/>
  <c r="H306" i="21"/>
  <c r="I306" i="21" s="1"/>
  <c r="H305" i="21"/>
  <c r="I305" i="21" s="1"/>
  <c r="H304" i="21"/>
  <c r="I304" i="21" s="1"/>
  <c r="H303" i="21"/>
  <c r="I303" i="21" s="1"/>
  <c r="H302" i="21"/>
  <c r="I302" i="21" s="1"/>
  <c r="H301" i="21"/>
  <c r="I301" i="21" s="1"/>
  <c r="H300" i="21"/>
  <c r="I300" i="21" s="1"/>
  <c r="H299" i="21"/>
  <c r="I299" i="21" s="1"/>
  <c r="H298" i="21"/>
  <c r="I298" i="21" s="1"/>
  <c r="H297" i="21"/>
  <c r="I297" i="21" s="1"/>
  <c r="H296" i="21"/>
  <c r="I296" i="21" s="1"/>
  <c r="H295" i="21"/>
  <c r="I295" i="21" s="1"/>
  <c r="H294" i="21"/>
  <c r="I294" i="21" s="1"/>
  <c r="H293" i="21"/>
  <c r="I293" i="21" s="1"/>
  <c r="H292" i="21"/>
  <c r="I292" i="21" s="1"/>
  <c r="H291" i="21"/>
  <c r="I291" i="21" s="1"/>
  <c r="H290" i="21"/>
  <c r="I290" i="21" s="1"/>
  <c r="H289" i="21"/>
  <c r="I289" i="21" s="1"/>
  <c r="H288" i="21"/>
  <c r="I288" i="21" s="1"/>
  <c r="H287" i="21"/>
  <c r="I287" i="21" s="1"/>
  <c r="H286" i="21"/>
  <c r="I286" i="21" s="1"/>
  <c r="H285" i="21"/>
  <c r="I285" i="21" s="1"/>
  <c r="H284" i="21"/>
  <c r="I284" i="21" s="1"/>
  <c r="H283" i="21"/>
  <c r="I283" i="21" s="1"/>
  <c r="H282" i="21"/>
  <c r="I282" i="21" s="1"/>
  <c r="H281" i="21"/>
  <c r="I281" i="21" s="1"/>
  <c r="H280" i="21"/>
  <c r="I280" i="21" s="1"/>
  <c r="H279" i="21"/>
  <c r="I279" i="21" s="1"/>
  <c r="H278" i="21"/>
  <c r="I278" i="21" s="1"/>
  <c r="H277" i="21"/>
  <c r="I277" i="21" s="1"/>
  <c r="H276" i="21"/>
  <c r="I276" i="21" s="1"/>
  <c r="H275" i="21"/>
  <c r="I275" i="21" s="1"/>
  <c r="H274" i="21"/>
  <c r="I274" i="21" s="1"/>
  <c r="H273" i="21"/>
  <c r="I273" i="21" s="1"/>
  <c r="H272" i="21"/>
  <c r="I272" i="21" s="1"/>
  <c r="H271" i="21"/>
  <c r="I271" i="21" s="1"/>
  <c r="H270" i="21"/>
  <c r="I270" i="21" s="1"/>
  <c r="H269" i="21"/>
  <c r="I269" i="21" s="1"/>
  <c r="H268" i="21"/>
  <c r="I268" i="21" s="1"/>
  <c r="H267" i="21"/>
  <c r="I267" i="21" s="1"/>
  <c r="H266" i="21"/>
  <c r="I266" i="21" s="1"/>
  <c r="H265" i="21"/>
  <c r="I265" i="21" s="1"/>
  <c r="H264" i="21"/>
  <c r="I264" i="21" s="1"/>
  <c r="H263" i="21"/>
  <c r="I263" i="21" s="1"/>
  <c r="H262" i="21"/>
  <c r="I262" i="21" s="1"/>
  <c r="H261" i="21"/>
  <c r="I261" i="21" s="1"/>
  <c r="H260" i="21"/>
  <c r="I260" i="21" s="1"/>
  <c r="H259" i="21"/>
  <c r="I259" i="21" s="1"/>
  <c r="H258" i="21"/>
  <c r="I258" i="21" s="1"/>
  <c r="H257" i="21"/>
  <c r="I257" i="21" s="1"/>
  <c r="H256" i="21"/>
  <c r="I256" i="21" s="1"/>
  <c r="H255" i="21"/>
  <c r="I255" i="21" s="1"/>
  <c r="H254" i="21"/>
  <c r="I254" i="21" s="1"/>
  <c r="H253" i="21"/>
  <c r="I253" i="21" s="1"/>
  <c r="H252" i="21"/>
  <c r="I252" i="21" s="1"/>
  <c r="H251" i="21"/>
  <c r="I251" i="21" s="1"/>
  <c r="H250" i="21"/>
  <c r="I250" i="21" s="1"/>
  <c r="H249" i="21"/>
  <c r="I249" i="21" s="1"/>
  <c r="H248" i="21"/>
  <c r="I248" i="21" s="1"/>
  <c r="H247" i="21"/>
  <c r="I247" i="21" s="1"/>
  <c r="H246" i="21"/>
  <c r="I246" i="21" s="1"/>
  <c r="H245" i="21"/>
  <c r="I245" i="21" s="1"/>
  <c r="H244" i="21"/>
  <c r="I244" i="21" s="1"/>
  <c r="H243" i="21"/>
  <c r="I243" i="21" s="1"/>
  <c r="H242" i="21"/>
  <c r="I242" i="21" s="1"/>
  <c r="H241" i="21"/>
  <c r="I241" i="21" s="1"/>
  <c r="H240" i="21"/>
  <c r="I240" i="21" s="1"/>
  <c r="H239" i="21"/>
  <c r="I239" i="21" s="1"/>
  <c r="H238" i="21"/>
  <c r="I238" i="21" s="1"/>
  <c r="H237" i="21"/>
  <c r="I237" i="21" s="1"/>
  <c r="H236" i="21"/>
  <c r="I236" i="21" s="1"/>
  <c r="H235" i="21"/>
  <c r="I235" i="21" s="1"/>
  <c r="H234" i="21"/>
  <c r="I234" i="21" s="1"/>
  <c r="H233" i="21"/>
  <c r="I233" i="21" s="1"/>
  <c r="H232" i="21"/>
  <c r="I232" i="21" s="1"/>
  <c r="H231" i="21"/>
  <c r="I231" i="21" s="1"/>
  <c r="H230" i="21"/>
  <c r="I230" i="21" s="1"/>
  <c r="H229" i="21"/>
  <c r="I229" i="21" s="1"/>
  <c r="H228" i="21"/>
  <c r="I228" i="21" s="1"/>
  <c r="H227" i="21"/>
  <c r="I227" i="21" s="1"/>
  <c r="H226" i="21"/>
  <c r="I226" i="21" s="1"/>
  <c r="H225" i="21"/>
  <c r="I225" i="21" s="1"/>
  <c r="H224" i="21"/>
  <c r="I224" i="21" s="1"/>
  <c r="H223" i="21"/>
  <c r="I223" i="21" s="1"/>
  <c r="H222" i="21"/>
  <c r="I222" i="21" s="1"/>
  <c r="H221" i="21"/>
  <c r="I221" i="21" s="1"/>
  <c r="H220" i="21"/>
  <c r="I220" i="21" s="1"/>
  <c r="H219" i="21"/>
  <c r="I219" i="21" s="1"/>
  <c r="H218" i="21"/>
  <c r="I218" i="21" s="1"/>
  <c r="H217" i="21"/>
  <c r="I217" i="21" s="1"/>
  <c r="H216" i="21"/>
  <c r="I216" i="21" s="1"/>
  <c r="H215" i="21"/>
  <c r="I215" i="21" s="1"/>
  <c r="H214" i="21"/>
  <c r="I214" i="21" s="1"/>
  <c r="H213" i="21"/>
  <c r="I213" i="21" s="1"/>
  <c r="H212" i="21"/>
  <c r="I212" i="21" s="1"/>
  <c r="H211" i="21"/>
  <c r="I211" i="21" s="1"/>
  <c r="H210" i="21"/>
  <c r="I210" i="21" s="1"/>
  <c r="H209" i="21"/>
  <c r="I209" i="21" s="1"/>
  <c r="H208" i="21"/>
  <c r="I208" i="21" s="1"/>
  <c r="H207" i="21"/>
  <c r="I207" i="21" s="1"/>
  <c r="H206" i="21"/>
  <c r="I206" i="21" s="1"/>
  <c r="H205" i="21"/>
  <c r="I205" i="21" s="1"/>
  <c r="H204" i="21"/>
  <c r="I204" i="21" s="1"/>
  <c r="H203" i="21"/>
  <c r="I203" i="21" s="1"/>
  <c r="H202" i="21"/>
  <c r="I202" i="21" s="1"/>
  <c r="H201" i="21"/>
  <c r="I201" i="21" s="1"/>
  <c r="H200" i="21"/>
  <c r="I200" i="21" s="1"/>
  <c r="H199" i="21"/>
  <c r="I199" i="21" s="1"/>
  <c r="H198" i="21"/>
  <c r="I198" i="21" s="1"/>
  <c r="H197" i="21"/>
  <c r="I197" i="21" s="1"/>
  <c r="H196" i="21"/>
  <c r="I196" i="21" s="1"/>
  <c r="H195" i="21"/>
  <c r="I195" i="21" s="1"/>
  <c r="H194" i="21"/>
  <c r="I194" i="21" s="1"/>
  <c r="H193" i="21"/>
  <c r="I193" i="21" s="1"/>
  <c r="H192" i="21"/>
  <c r="I192" i="21" s="1"/>
  <c r="H191" i="21"/>
  <c r="I191" i="21" s="1"/>
  <c r="H190" i="21"/>
  <c r="I190" i="21" s="1"/>
  <c r="H189" i="21"/>
  <c r="I189" i="21" s="1"/>
  <c r="H188" i="21"/>
  <c r="I188" i="21" s="1"/>
  <c r="H187" i="21"/>
  <c r="I187" i="21" s="1"/>
  <c r="H186" i="21"/>
  <c r="I186" i="21" s="1"/>
  <c r="H185" i="21"/>
  <c r="I185" i="21" s="1"/>
  <c r="H184" i="21"/>
  <c r="I184" i="21" s="1"/>
  <c r="H183" i="21"/>
  <c r="I183" i="21" s="1"/>
  <c r="H182" i="21"/>
  <c r="I182" i="21" s="1"/>
  <c r="H181" i="21"/>
  <c r="I181" i="21" s="1"/>
  <c r="H180" i="21"/>
  <c r="I180" i="21" s="1"/>
  <c r="H179" i="21"/>
  <c r="I179" i="21" s="1"/>
  <c r="H178" i="21"/>
  <c r="I178" i="21" s="1"/>
  <c r="H177" i="21"/>
  <c r="I177" i="21" s="1"/>
  <c r="H176" i="21"/>
  <c r="I176" i="21" s="1"/>
  <c r="H175" i="21"/>
  <c r="I175" i="21" s="1"/>
  <c r="H174" i="21"/>
  <c r="I174" i="21" s="1"/>
  <c r="H173" i="21"/>
  <c r="I173" i="21" s="1"/>
  <c r="H172" i="21"/>
  <c r="I172" i="21" s="1"/>
  <c r="H171" i="21"/>
  <c r="I171" i="21" s="1"/>
  <c r="H170" i="21"/>
  <c r="I170" i="21" s="1"/>
  <c r="H169" i="21"/>
  <c r="I169" i="21" s="1"/>
  <c r="H168" i="21"/>
  <c r="I168" i="21" s="1"/>
  <c r="H167" i="21"/>
  <c r="I167" i="21" s="1"/>
  <c r="H166" i="21"/>
  <c r="I166" i="21" s="1"/>
  <c r="H165" i="21"/>
  <c r="I165" i="21" s="1"/>
  <c r="H164" i="21"/>
  <c r="I164" i="21" s="1"/>
  <c r="H163" i="21"/>
  <c r="I163" i="21" s="1"/>
  <c r="H162" i="21"/>
  <c r="I162" i="21" s="1"/>
  <c r="H161" i="21"/>
  <c r="I161" i="21" s="1"/>
  <c r="H160" i="21"/>
  <c r="I160" i="21" s="1"/>
  <c r="H159" i="21"/>
  <c r="I159" i="21" s="1"/>
  <c r="H158" i="21"/>
  <c r="I158" i="21" s="1"/>
  <c r="H157" i="21"/>
  <c r="I157" i="21" s="1"/>
  <c r="H156" i="21"/>
  <c r="I156" i="21" s="1"/>
  <c r="H155" i="21"/>
  <c r="I155" i="21" s="1"/>
  <c r="H154" i="21"/>
  <c r="I154" i="21" s="1"/>
  <c r="H153" i="21"/>
  <c r="I153" i="21" s="1"/>
  <c r="H152" i="21"/>
  <c r="I152" i="21" s="1"/>
  <c r="H151" i="21"/>
  <c r="I151" i="21" s="1"/>
  <c r="H150" i="21"/>
  <c r="I150" i="21" s="1"/>
  <c r="H149" i="21"/>
  <c r="I149" i="21" s="1"/>
  <c r="H148" i="21"/>
  <c r="I148" i="21" s="1"/>
  <c r="H147" i="21"/>
  <c r="I147" i="21" s="1"/>
  <c r="H146" i="21"/>
  <c r="I146" i="21" s="1"/>
  <c r="H145" i="21"/>
  <c r="I145" i="21" s="1"/>
  <c r="H144" i="21"/>
  <c r="I144" i="21" s="1"/>
  <c r="H143" i="21"/>
  <c r="I143" i="21" s="1"/>
  <c r="H142" i="21"/>
  <c r="I142" i="21" s="1"/>
  <c r="H141" i="21"/>
  <c r="I141" i="21" s="1"/>
  <c r="H140" i="21"/>
  <c r="I140" i="21" s="1"/>
  <c r="H139" i="21"/>
  <c r="I139" i="21" s="1"/>
  <c r="H138" i="21"/>
  <c r="I138" i="21" s="1"/>
  <c r="H137" i="21"/>
  <c r="I137" i="21" s="1"/>
  <c r="H136" i="21"/>
  <c r="I136" i="21" s="1"/>
  <c r="H135" i="21"/>
  <c r="I135" i="21" s="1"/>
  <c r="H134" i="21"/>
  <c r="I134" i="21" s="1"/>
  <c r="H133" i="21"/>
  <c r="I133" i="21" s="1"/>
  <c r="H132" i="21"/>
  <c r="I132" i="21" s="1"/>
  <c r="H131" i="21"/>
  <c r="I131" i="21" s="1"/>
  <c r="H130" i="21"/>
  <c r="I130" i="21" s="1"/>
  <c r="H129" i="21"/>
  <c r="I129" i="21" s="1"/>
  <c r="H128" i="21"/>
  <c r="I128" i="21" s="1"/>
  <c r="H127" i="21"/>
  <c r="I127" i="21" s="1"/>
  <c r="H126" i="21"/>
  <c r="I126" i="21" s="1"/>
  <c r="H125" i="21"/>
  <c r="I125" i="21" s="1"/>
  <c r="H124" i="21"/>
  <c r="I124" i="21" s="1"/>
  <c r="H123" i="21"/>
  <c r="I123" i="21" s="1"/>
  <c r="H122" i="21"/>
  <c r="I122" i="21" s="1"/>
  <c r="H121" i="21"/>
  <c r="I121" i="21" s="1"/>
  <c r="H120" i="21"/>
  <c r="I120" i="21" s="1"/>
  <c r="H119" i="21"/>
  <c r="I119" i="21" s="1"/>
  <c r="H118" i="21"/>
  <c r="I118" i="21" s="1"/>
  <c r="H117" i="21"/>
  <c r="I117" i="21" s="1"/>
  <c r="H116" i="21"/>
  <c r="I116" i="21" s="1"/>
  <c r="H115" i="21"/>
  <c r="I115" i="21" s="1"/>
  <c r="H114" i="21"/>
  <c r="I114" i="21" s="1"/>
  <c r="H113" i="21"/>
  <c r="I113" i="21" s="1"/>
  <c r="H112" i="21"/>
  <c r="I112" i="21" s="1"/>
  <c r="H111" i="21"/>
  <c r="I111" i="21" s="1"/>
  <c r="H110" i="21"/>
  <c r="I110" i="21" s="1"/>
  <c r="H109" i="21"/>
  <c r="I109" i="21" s="1"/>
  <c r="H108" i="21"/>
  <c r="I108" i="21" s="1"/>
  <c r="H107" i="21"/>
  <c r="I107" i="21" s="1"/>
  <c r="H106" i="21"/>
  <c r="I106" i="21" s="1"/>
  <c r="H105" i="21"/>
  <c r="I105" i="21" s="1"/>
  <c r="H104" i="21"/>
  <c r="I104" i="21" s="1"/>
  <c r="H103" i="21"/>
  <c r="I103" i="21" s="1"/>
  <c r="H102" i="21"/>
  <c r="I102" i="21" s="1"/>
  <c r="H101" i="21"/>
  <c r="I101" i="21" s="1"/>
  <c r="H100" i="21"/>
  <c r="I100" i="21" s="1"/>
  <c r="H99" i="21"/>
  <c r="I99" i="21" s="1"/>
  <c r="H98" i="21"/>
  <c r="I98" i="21" s="1"/>
  <c r="H97" i="21"/>
  <c r="I97" i="21" s="1"/>
  <c r="H96" i="21"/>
  <c r="I96" i="21" s="1"/>
  <c r="H95" i="21"/>
  <c r="I95" i="21" s="1"/>
  <c r="H94" i="21"/>
  <c r="I94" i="21" s="1"/>
  <c r="H93" i="21"/>
  <c r="I93" i="21" s="1"/>
  <c r="H92" i="21"/>
  <c r="I92" i="21" s="1"/>
  <c r="H91" i="21"/>
  <c r="I91" i="21" s="1"/>
  <c r="H90" i="21"/>
  <c r="I90" i="21" s="1"/>
  <c r="H89" i="21"/>
  <c r="I89" i="21" s="1"/>
  <c r="H88" i="21"/>
  <c r="I88" i="21" s="1"/>
  <c r="H87" i="21"/>
  <c r="I87" i="21" s="1"/>
  <c r="H86" i="21"/>
  <c r="I86" i="21" s="1"/>
  <c r="H85" i="21"/>
  <c r="I85" i="21" s="1"/>
  <c r="H84" i="21"/>
  <c r="I84" i="21" s="1"/>
  <c r="H83" i="21"/>
  <c r="I83" i="21" s="1"/>
  <c r="H82" i="21"/>
  <c r="I82" i="21" s="1"/>
  <c r="H81" i="21"/>
  <c r="I81" i="21" s="1"/>
  <c r="H80" i="21"/>
  <c r="I80" i="21" s="1"/>
  <c r="H79" i="21"/>
  <c r="I79" i="21" s="1"/>
  <c r="H78" i="21"/>
  <c r="I78" i="21" s="1"/>
  <c r="H77" i="21"/>
  <c r="I77" i="21" s="1"/>
  <c r="H76" i="21"/>
  <c r="I76" i="21" s="1"/>
  <c r="H75" i="21"/>
  <c r="I75" i="21" s="1"/>
  <c r="H74" i="21"/>
  <c r="I74" i="21" s="1"/>
  <c r="H73" i="21"/>
  <c r="I73" i="21" s="1"/>
  <c r="H72" i="21"/>
  <c r="I72" i="21" s="1"/>
  <c r="H71" i="21"/>
  <c r="I71" i="21" s="1"/>
  <c r="H70" i="21"/>
  <c r="I70" i="21" s="1"/>
  <c r="H69" i="21"/>
  <c r="I69" i="21" s="1"/>
  <c r="H68" i="21"/>
  <c r="I68" i="21" s="1"/>
  <c r="H67" i="21"/>
  <c r="I67" i="21" s="1"/>
  <c r="H66" i="21"/>
  <c r="I66" i="21" s="1"/>
  <c r="H65" i="21"/>
  <c r="I65" i="21" s="1"/>
  <c r="H64" i="21"/>
  <c r="I64" i="21" s="1"/>
  <c r="H63" i="21"/>
  <c r="I63" i="21" s="1"/>
  <c r="H62" i="21"/>
  <c r="I62" i="21" s="1"/>
  <c r="H61" i="21"/>
  <c r="I61" i="21" s="1"/>
  <c r="H60" i="21"/>
  <c r="I60" i="21" s="1"/>
  <c r="H59" i="21"/>
  <c r="I59" i="21" s="1"/>
  <c r="H58" i="21"/>
  <c r="I58" i="21" s="1"/>
  <c r="H57" i="21"/>
  <c r="I57" i="21" s="1"/>
  <c r="H56" i="21"/>
  <c r="I56" i="21" s="1"/>
  <c r="H55" i="21"/>
  <c r="I55" i="21" s="1"/>
  <c r="H54" i="21"/>
  <c r="I54" i="21" s="1"/>
  <c r="H53" i="21"/>
  <c r="I53" i="21" s="1"/>
  <c r="H52" i="21"/>
  <c r="I52" i="21" s="1"/>
  <c r="H51" i="21"/>
  <c r="I51" i="21" s="1"/>
  <c r="H50" i="21"/>
  <c r="I50" i="21" s="1"/>
  <c r="H49" i="21"/>
  <c r="I49" i="21" s="1"/>
  <c r="H48" i="21"/>
  <c r="I48" i="21" s="1"/>
  <c r="H47" i="21"/>
  <c r="I47" i="21" s="1"/>
  <c r="H46" i="21"/>
  <c r="I46" i="21" s="1"/>
  <c r="H45" i="21"/>
  <c r="I45" i="21" s="1"/>
  <c r="H44" i="21"/>
  <c r="I44" i="21" s="1"/>
  <c r="H43" i="21"/>
  <c r="I43" i="21" s="1"/>
  <c r="H42" i="21"/>
  <c r="I42" i="21" s="1"/>
  <c r="H41" i="21"/>
  <c r="I41" i="21" s="1"/>
  <c r="H40" i="21"/>
  <c r="I40" i="21" s="1"/>
  <c r="H39" i="21"/>
  <c r="I39" i="21" s="1"/>
  <c r="H38" i="21"/>
  <c r="I38" i="21" s="1"/>
  <c r="H37" i="21"/>
  <c r="I37" i="21" s="1"/>
  <c r="H36" i="21"/>
  <c r="I36" i="21" s="1"/>
  <c r="H35" i="21"/>
  <c r="I35" i="21" s="1"/>
  <c r="H34" i="21"/>
  <c r="I34" i="21" s="1"/>
  <c r="H33" i="21"/>
  <c r="I33" i="21" s="1"/>
  <c r="H32" i="21"/>
  <c r="I32" i="21" s="1"/>
  <c r="H31" i="21"/>
  <c r="I31" i="21" s="1"/>
  <c r="H30" i="21"/>
  <c r="I30" i="21" s="1"/>
  <c r="H29" i="21"/>
  <c r="I29" i="21" s="1"/>
  <c r="H28" i="21"/>
  <c r="I28" i="21" s="1"/>
  <c r="H27" i="21"/>
  <c r="I27" i="21" s="1"/>
  <c r="H26" i="21"/>
  <c r="I26" i="21" s="1"/>
  <c r="H25" i="21"/>
  <c r="I25" i="21" s="1"/>
  <c r="H24" i="21"/>
  <c r="I24" i="21" s="1"/>
  <c r="H23" i="21"/>
  <c r="I23" i="21" s="1"/>
  <c r="H22" i="21"/>
  <c r="I22" i="21" s="1"/>
  <c r="H21" i="21"/>
  <c r="I21" i="21" s="1"/>
  <c r="H20" i="21"/>
  <c r="I20" i="21" s="1"/>
  <c r="H19" i="21"/>
  <c r="I19" i="21" s="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H11" i="21"/>
  <c r="I11" i="21" s="1"/>
  <c r="H10" i="21"/>
  <c r="I10" i="21" s="1"/>
  <c r="H9" i="21"/>
  <c r="I9" i="21" s="1"/>
  <c r="H8" i="21"/>
  <c r="I8" i="21" s="1"/>
  <c r="H7" i="21"/>
  <c r="I7" i="21" s="1"/>
  <c r="H6" i="21"/>
  <c r="I6" i="21" s="1"/>
  <c r="H5" i="21"/>
  <c r="I5" i="21" s="1"/>
  <c r="H4" i="21"/>
  <c r="I4" i="21" s="1"/>
  <c r="H3" i="21"/>
  <c r="I3" i="21" s="1"/>
  <c r="H2" i="21"/>
  <c r="I2" i="21" s="1"/>
  <c r="I425" i="3"/>
  <c r="A425" i="3"/>
  <c r="I424" i="3"/>
  <c r="A424" i="3"/>
  <c r="I423" i="3"/>
  <c r="A423" i="3"/>
  <c r="I422" i="3"/>
  <c r="A422" i="3"/>
  <c r="I421" i="3"/>
  <c r="A421" i="3"/>
  <c r="I420" i="3"/>
  <c r="A420" i="3"/>
  <c r="I419" i="3"/>
  <c r="A419" i="3"/>
  <c r="I418" i="3"/>
  <c r="A418" i="3"/>
  <c r="I417" i="3"/>
  <c r="A417" i="3"/>
  <c r="I416" i="3"/>
  <c r="A416" i="3"/>
  <c r="I415" i="3"/>
  <c r="A415" i="3"/>
  <c r="I414" i="3"/>
  <c r="A414" i="3"/>
  <c r="I413" i="3"/>
  <c r="A413" i="3"/>
  <c r="I412" i="3"/>
  <c r="A412" i="3"/>
  <c r="A411" i="3"/>
  <c r="A410" i="3"/>
  <c r="I409" i="3"/>
  <c r="A409" i="3"/>
  <c r="I408" i="3"/>
  <c r="A408" i="3"/>
  <c r="I407" i="3"/>
  <c r="A407" i="3"/>
  <c r="I406" i="3"/>
  <c r="A406" i="3"/>
  <c r="I405" i="3"/>
  <c r="A405" i="3"/>
  <c r="I404" i="3"/>
  <c r="A404" i="3"/>
  <c r="A403" i="3"/>
  <c r="I402" i="3"/>
  <c r="A402" i="3"/>
  <c r="I401" i="3"/>
  <c r="A401" i="3"/>
  <c r="I400" i="3"/>
  <c r="A400" i="3"/>
  <c r="I399" i="3"/>
  <c r="A399" i="3"/>
  <c r="I398" i="3"/>
  <c r="A398" i="3"/>
  <c r="I397" i="3"/>
  <c r="A397" i="3"/>
  <c r="I396" i="3"/>
  <c r="A396" i="3"/>
  <c r="I395" i="3"/>
  <c r="A395" i="3"/>
  <c r="I394" i="3"/>
  <c r="A394" i="3"/>
  <c r="I393" i="3"/>
  <c r="A393" i="3"/>
  <c r="I392" i="3"/>
  <c r="A392" i="3"/>
  <c r="I391" i="3"/>
  <c r="A391" i="3"/>
  <c r="I390" i="3"/>
  <c r="A390" i="3"/>
  <c r="I389" i="3"/>
  <c r="A389" i="3"/>
  <c r="I388" i="3"/>
  <c r="A388" i="3"/>
  <c r="I387" i="3"/>
  <c r="A387" i="3"/>
  <c r="I386" i="3"/>
  <c r="A386" i="3"/>
  <c r="I385" i="3"/>
  <c r="A385" i="3"/>
  <c r="I384" i="3"/>
  <c r="A384" i="3"/>
  <c r="I383" i="3"/>
  <c r="A383" i="3"/>
  <c r="I382" i="3"/>
  <c r="A382" i="3"/>
  <c r="I381" i="3"/>
  <c r="A381" i="3"/>
  <c r="I380" i="3"/>
  <c r="A380" i="3"/>
  <c r="I379" i="3"/>
  <c r="A379" i="3"/>
  <c r="I378" i="3"/>
  <c r="A378" i="3"/>
  <c r="I377" i="3"/>
  <c r="A377" i="3"/>
  <c r="I376" i="3"/>
  <c r="A376" i="3"/>
  <c r="I375" i="3"/>
  <c r="A375" i="3"/>
  <c r="I374" i="3"/>
  <c r="A374" i="3"/>
  <c r="I373" i="3"/>
  <c r="A373" i="3"/>
  <c r="I372" i="3"/>
  <c r="A372" i="3"/>
  <c r="I371" i="3"/>
  <c r="A371" i="3"/>
  <c r="I370" i="3"/>
  <c r="A370" i="3"/>
  <c r="I369" i="3"/>
  <c r="A369" i="3"/>
  <c r="I368" i="3"/>
  <c r="A368" i="3"/>
  <c r="I367" i="3"/>
  <c r="A367" i="3"/>
  <c r="I366" i="3"/>
  <c r="A366" i="3"/>
  <c r="I365" i="3"/>
  <c r="A365" i="3"/>
  <c r="I364" i="3"/>
  <c r="A364" i="3"/>
  <c r="I363" i="3"/>
  <c r="A363" i="3"/>
  <c r="A362" i="3"/>
  <c r="I361" i="3"/>
  <c r="A361" i="3"/>
  <c r="I360" i="3"/>
  <c r="A360" i="3"/>
  <c r="I359" i="3"/>
  <c r="A359" i="3"/>
  <c r="I358" i="3"/>
  <c r="A358" i="3"/>
  <c r="I357" i="3"/>
  <c r="A357" i="3"/>
  <c r="I356" i="3"/>
  <c r="A356" i="3"/>
  <c r="I355" i="3"/>
  <c r="A355" i="3"/>
  <c r="I354" i="3"/>
  <c r="A354" i="3"/>
  <c r="I353" i="3"/>
  <c r="A353" i="3"/>
  <c r="I352" i="3"/>
  <c r="A352" i="3"/>
  <c r="I351" i="3"/>
  <c r="A351" i="3"/>
  <c r="I350" i="3"/>
  <c r="A350" i="3"/>
  <c r="I349" i="3"/>
  <c r="A349" i="3"/>
  <c r="I348" i="3"/>
  <c r="A348" i="3"/>
  <c r="I347" i="3"/>
  <c r="A347" i="3"/>
  <c r="I346" i="3"/>
  <c r="A346" i="3"/>
  <c r="I345" i="3"/>
  <c r="A345" i="3"/>
  <c r="I344" i="3"/>
  <c r="A344" i="3"/>
  <c r="I343" i="3"/>
  <c r="A343" i="3"/>
  <c r="I342" i="3"/>
  <c r="A342" i="3"/>
  <c r="I341" i="3"/>
  <c r="A341" i="3"/>
  <c r="I340" i="3"/>
  <c r="A340" i="3"/>
  <c r="I339" i="3"/>
  <c r="A339" i="3"/>
  <c r="I338" i="3"/>
  <c r="A338" i="3"/>
  <c r="I337" i="3"/>
  <c r="A337" i="3"/>
  <c r="I336" i="3"/>
  <c r="A336" i="3"/>
  <c r="I335" i="3"/>
  <c r="A335" i="3"/>
  <c r="I334" i="3"/>
  <c r="A334" i="3"/>
  <c r="I333" i="3"/>
  <c r="A333" i="3"/>
  <c r="I332" i="3"/>
  <c r="A332" i="3"/>
  <c r="A331" i="3"/>
  <c r="A330" i="3"/>
  <c r="I329" i="3"/>
  <c r="A329" i="3"/>
  <c r="I328" i="3"/>
  <c r="A328" i="3"/>
  <c r="I327" i="3"/>
  <c r="A327" i="3"/>
  <c r="I326" i="3"/>
  <c r="A326" i="3"/>
  <c r="I325" i="3"/>
  <c r="A325" i="3"/>
  <c r="I324" i="3"/>
  <c r="A324" i="3"/>
  <c r="I323" i="3"/>
  <c r="A323" i="3"/>
  <c r="I322" i="3"/>
  <c r="A322" i="3"/>
  <c r="I321" i="3"/>
  <c r="A321" i="3"/>
  <c r="I320" i="3"/>
  <c r="A320" i="3"/>
  <c r="A319" i="3"/>
  <c r="I318" i="3"/>
  <c r="A318" i="3"/>
  <c r="I317" i="3"/>
  <c r="A317" i="3"/>
  <c r="I316" i="3"/>
  <c r="A316" i="3"/>
  <c r="I315" i="3"/>
  <c r="A315" i="3"/>
  <c r="I314" i="3"/>
  <c r="A314" i="3"/>
  <c r="I313" i="3"/>
  <c r="A313" i="3"/>
  <c r="I312" i="3"/>
  <c r="A312" i="3"/>
  <c r="I311" i="3"/>
  <c r="A311" i="3"/>
  <c r="I310" i="3"/>
  <c r="A310" i="3"/>
  <c r="I309" i="3"/>
  <c r="A309" i="3"/>
  <c r="I308" i="3"/>
  <c r="A308" i="3"/>
  <c r="I307" i="3"/>
  <c r="A307" i="3"/>
  <c r="I306" i="3"/>
  <c r="A306" i="3"/>
  <c r="I305" i="3"/>
  <c r="A305" i="3"/>
  <c r="I304" i="3"/>
  <c r="A304" i="3"/>
  <c r="I303" i="3"/>
  <c r="A303" i="3"/>
  <c r="I302" i="3"/>
  <c r="A302" i="3"/>
  <c r="I301" i="3"/>
  <c r="A301" i="3"/>
  <c r="I300" i="3"/>
  <c r="A300" i="3"/>
  <c r="A299" i="3"/>
  <c r="A298" i="3"/>
  <c r="I297" i="3"/>
  <c r="A297" i="3"/>
  <c r="I296" i="3"/>
  <c r="A296" i="3"/>
  <c r="I295" i="3"/>
  <c r="A295" i="3"/>
  <c r="I294" i="3"/>
  <c r="A294" i="3"/>
  <c r="I293" i="3"/>
  <c r="A293" i="3"/>
  <c r="I292" i="3"/>
  <c r="A292" i="3"/>
  <c r="I291" i="3"/>
  <c r="A291" i="3"/>
  <c r="I290" i="3"/>
  <c r="A290" i="3"/>
  <c r="I289" i="3"/>
  <c r="A289" i="3"/>
  <c r="I288" i="3"/>
  <c r="A288" i="3"/>
  <c r="I287" i="3"/>
  <c r="A287" i="3"/>
  <c r="I286" i="3"/>
  <c r="A286" i="3"/>
  <c r="I285" i="3"/>
  <c r="A285" i="3"/>
  <c r="I284" i="3"/>
  <c r="A284" i="3"/>
  <c r="I283" i="3"/>
  <c r="A283" i="3"/>
  <c r="I282" i="3"/>
  <c r="A282" i="3"/>
  <c r="I281" i="3"/>
  <c r="A281" i="3"/>
  <c r="I280" i="3"/>
  <c r="A280" i="3"/>
  <c r="I279" i="3"/>
  <c r="A279" i="3"/>
  <c r="I278" i="3"/>
  <c r="A278" i="3"/>
  <c r="I277" i="3"/>
  <c r="A277" i="3"/>
  <c r="I276" i="3"/>
  <c r="A276" i="3"/>
  <c r="I275" i="3"/>
  <c r="A275" i="3"/>
  <c r="I274" i="3"/>
  <c r="A274" i="3"/>
  <c r="I273" i="3"/>
  <c r="A273" i="3"/>
  <c r="I272" i="3"/>
  <c r="A272" i="3"/>
  <c r="I271" i="3"/>
  <c r="A271" i="3"/>
  <c r="I270" i="3"/>
  <c r="A270" i="3"/>
  <c r="I269" i="3"/>
  <c r="A269" i="3"/>
  <c r="I268" i="3"/>
  <c r="A268" i="3"/>
  <c r="I267" i="3"/>
  <c r="A267" i="3"/>
  <c r="I266" i="3"/>
  <c r="A266" i="3"/>
  <c r="I265" i="3"/>
  <c r="A265" i="3"/>
  <c r="I264" i="3"/>
  <c r="A264" i="3"/>
  <c r="I263" i="3"/>
  <c r="A263" i="3"/>
  <c r="I262" i="3"/>
  <c r="A262" i="3"/>
  <c r="I261" i="3"/>
  <c r="A261" i="3"/>
  <c r="I260" i="3"/>
  <c r="A260" i="3"/>
  <c r="I259" i="3"/>
  <c r="A259" i="3"/>
  <c r="I258" i="3"/>
  <c r="A258" i="3"/>
  <c r="I257" i="3"/>
  <c r="A257" i="3"/>
  <c r="I256" i="3"/>
  <c r="A256" i="3"/>
  <c r="I255" i="3"/>
  <c r="A255" i="3"/>
  <c r="I254" i="3"/>
  <c r="A254" i="3"/>
  <c r="I253" i="3"/>
  <c r="A253" i="3"/>
  <c r="I252" i="3"/>
  <c r="A252" i="3"/>
  <c r="I251" i="3"/>
  <c r="A251" i="3"/>
  <c r="I250" i="3"/>
  <c r="A250" i="3"/>
  <c r="I249" i="3"/>
  <c r="A249" i="3"/>
  <c r="I248" i="3"/>
  <c r="A248" i="3"/>
  <c r="I247" i="3"/>
  <c r="A247" i="3"/>
  <c r="I246" i="3"/>
  <c r="A246" i="3"/>
  <c r="I245" i="3"/>
  <c r="A245" i="3"/>
  <c r="I244" i="3"/>
  <c r="A244" i="3"/>
  <c r="I243" i="3"/>
  <c r="A243" i="3"/>
  <c r="I242" i="3"/>
  <c r="A242" i="3"/>
  <c r="I241" i="3"/>
  <c r="A241" i="3"/>
  <c r="I240" i="3"/>
  <c r="A240" i="3"/>
  <c r="I239" i="3"/>
  <c r="A239" i="3"/>
  <c r="I238" i="3"/>
  <c r="A238" i="3"/>
  <c r="I237" i="3"/>
  <c r="A237" i="3"/>
  <c r="I236" i="3"/>
  <c r="A236" i="3"/>
  <c r="I235" i="3"/>
  <c r="A235" i="3"/>
  <c r="I234" i="3"/>
  <c r="A234" i="3"/>
  <c r="I233" i="3"/>
  <c r="A233" i="3"/>
  <c r="I232" i="3"/>
  <c r="A232" i="3"/>
  <c r="I231" i="3"/>
  <c r="A231" i="3"/>
  <c r="I230" i="3"/>
  <c r="A230" i="3"/>
  <c r="I229" i="3"/>
  <c r="A229" i="3"/>
  <c r="I228" i="3"/>
  <c r="A228" i="3"/>
  <c r="I227" i="3"/>
  <c r="A227" i="3"/>
  <c r="I226" i="3"/>
  <c r="A226" i="3"/>
  <c r="I225" i="3"/>
  <c r="A225" i="3"/>
  <c r="I224" i="3"/>
  <c r="A224" i="3"/>
  <c r="A223" i="3"/>
  <c r="A222" i="3"/>
  <c r="I221" i="3"/>
  <c r="A221" i="3"/>
  <c r="I220" i="3"/>
  <c r="A220" i="3"/>
  <c r="I219" i="3"/>
  <c r="A219" i="3"/>
  <c r="A218" i="3"/>
  <c r="I217" i="3"/>
  <c r="A217" i="3"/>
  <c r="I216" i="3"/>
  <c r="A216" i="3"/>
  <c r="I215" i="3"/>
  <c r="A215" i="3"/>
  <c r="A214" i="3"/>
  <c r="I213" i="3"/>
  <c r="A213" i="3"/>
  <c r="I212" i="3"/>
  <c r="A212" i="3"/>
  <c r="A211" i="3"/>
  <c r="I210" i="3"/>
  <c r="A210" i="3"/>
  <c r="I209" i="3"/>
  <c r="A209" i="3"/>
  <c r="I208" i="3"/>
  <c r="A208" i="3"/>
  <c r="I207" i="3"/>
  <c r="A207" i="3"/>
  <c r="A206" i="3"/>
  <c r="I205" i="3"/>
  <c r="A205" i="3"/>
  <c r="I204" i="3"/>
  <c r="A204" i="3"/>
  <c r="I203" i="3"/>
  <c r="A203" i="3"/>
  <c r="I202" i="3"/>
  <c r="A202" i="3"/>
  <c r="I201" i="3"/>
  <c r="A201" i="3"/>
  <c r="I200" i="3"/>
  <c r="A200" i="3"/>
  <c r="I199" i="3"/>
  <c r="A199" i="3"/>
  <c r="I198" i="3"/>
  <c r="A198" i="3"/>
  <c r="I197" i="3"/>
  <c r="A197" i="3"/>
  <c r="I196" i="3"/>
  <c r="A196" i="3"/>
  <c r="I195" i="3"/>
  <c r="A195" i="3"/>
  <c r="I194" i="3"/>
  <c r="A194" i="3"/>
  <c r="I193" i="3"/>
  <c r="A193" i="3"/>
  <c r="I192" i="3"/>
  <c r="A192" i="3"/>
  <c r="A191" i="3"/>
  <c r="A190" i="3"/>
  <c r="I189" i="3"/>
  <c r="A189" i="3"/>
  <c r="I188" i="3"/>
  <c r="A188" i="3"/>
  <c r="A187" i="3"/>
  <c r="A186" i="3"/>
  <c r="I185" i="3"/>
  <c r="A185" i="3"/>
  <c r="I184" i="3"/>
  <c r="A184" i="3"/>
  <c r="I183" i="3"/>
  <c r="A183" i="3"/>
  <c r="I182" i="3"/>
  <c r="A182" i="3"/>
  <c r="I181" i="3"/>
  <c r="A181" i="3"/>
  <c r="I180" i="3"/>
  <c r="A180" i="3"/>
  <c r="A179" i="3"/>
  <c r="I178" i="3"/>
  <c r="A178" i="3"/>
  <c r="I177" i="3"/>
  <c r="A177" i="3"/>
  <c r="I176" i="3"/>
  <c r="A176" i="3"/>
  <c r="I175" i="3"/>
  <c r="A175" i="3"/>
  <c r="I174" i="3"/>
  <c r="A174" i="3"/>
  <c r="I173" i="3"/>
  <c r="A173" i="3"/>
  <c r="I172" i="3"/>
  <c r="A172" i="3"/>
  <c r="I171" i="3"/>
  <c r="A171" i="3"/>
  <c r="A170" i="3"/>
  <c r="I169" i="3"/>
  <c r="A169" i="3"/>
  <c r="I168" i="3"/>
  <c r="A168" i="3"/>
  <c r="A167" i="3"/>
  <c r="A166" i="3"/>
  <c r="I165" i="3"/>
  <c r="A165" i="3"/>
  <c r="I164" i="3"/>
  <c r="A164" i="3"/>
  <c r="I163" i="3"/>
  <c r="A163" i="3"/>
  <c r="I162" i="3"/>
  <c r="A162" i="3"/>
  <c r="I161" i="3"/>
  <c r="A161" i="3"/>
  <c r="I160" i="3"/>
  <c r="A160" i="3"/>
  <c r="I159" i="3"/>
  <c r="A159" i="3"/>
  <c r="I158" i="3"/>
  <c r="A158" i="3"/>
  <c r="I157" i="3"/>
  <c r="A157" i="3"/>
  <c r="I156" i="3"/>
  <c r="A156" i="3"/>
  <c r="I155" i="3"/>
  <c r="A155" i="3"/>
  <c r="A154" i="3"/>
  <c r="I153" i="3"/>
  <c r="A153" i="3"/>
  <c r="I152" i="3"/>
  <c r="A152" i="3"/>
  <c r="I151" i="3"/>
  <c r="A151" i="3"/>
  <c r="I150" i="3"/>
  <c r="A150" i="3"/>
  <c r="I149" i="3"/>
  <c r="A149" i="3"/>
  <c r="I148" i="3"/>
  <c r="A148" i="3"/>
  <c r="A147" i="3"/>
  <c r="I146" i="3"/>
  <c r="A146" i="3"/>
  <c r="I145" i="3"/>
  <c r="A145" i="3"/>
  <c r="I144" i="3"/>
  <c r="A144" i="3"/>
  <c r="I143" i="3"/>
  <c r="A143" i="3"/>
  <c r="I142" i="3"/>
  <c r="A142" i="3"/>
  <c r="I141" i="3"/>
  <c r="A141" i="3"/>
  <c r="I140" i="3"/>
  <c r="A140" i="3"/>
  <c r="I139" i="3"/>
  <c r="A139" i="3"/>
  <c r="I138" i="3"/>
  <c r="A138" i="3"/>
  <c r="I137" i="3"/>
  <c r="A137" i="3"/>
  <c r="I136" i="3"/>
  <c r="A136" i="3"/>
  <c r="I135" i="3"/>
  <c r="A135" i="3"/>
  <c r="I134" i="3"/>
  <c r="A134" i="3"/>
  <c r="I133" i="3"/>
  <c r="A133" i="3"/>
  <c r="I132" i="3"/>
  <c r="A132" i="3"/>
  <c r="I131" i="3"/>
  <c r="A131" i="3"/>
  <c r="I130" i="3"/>
  <c r="A130" i="3"/>
  <c r="I129" i="3"/>
  <c r="A129" i="3"/>
  <c r="I128" i="3"/>
  <c r="A128" i="3"/>
  <c r="I127" i="3"/>
  <c r="A127" i="3"/>
  <c r="A126" i="3"/>
  <c r="I125" i="3"/>
  <c r="A125" i="3"/>
  <c r="I124" i="3"/>
  <c r="A124" i="3"/>
  <c r="I123" i="3"/>
  <c r="A123" i="3"/>
  <c r="I122" i="3"/>
  <c r="A122" i="3"/>
  <c r="I121" i="3"/>
  <c r="A121" i="3"/>
  <c r="I120" i="3"/>
  <c r="A120" i="3"/>
  <c r="I119" i="3"/>
  <c r="A119" i="3"/>
  <c r="I118" i="3"/>
  <c r="A118" i="3"/>
  <c r="I117" i="3"/>
  <c r="A117" i="3"/>
  <c r="I116" i="3"/>
  <c r="A116" i="3"/>
  <c r="I115" i="3"/>
  <c r="A115" i="3"/>
  <c r="I114" i="3"/>
  <c r="A114" i="3"/>
  <c r="I113" i="3"/>
  <c r="A113" i="3"/>
  <c r="I112" i="3"/>
  <c r="A112" i="3"/>
  <c r="I111" i="3"/>
  <c r="A111" i="3"/>
  <c r="I110" i="3"/>
  <c r="A110" i="3"/>
  <c r="I109" i="3"/>
  <c r="A109" i="3"/>
  <c r="I108" i="3"/>
  <c r="A108" i="3"/>
  <c r="A107" i="3"/>
  <c r="I106" i="3"/>
  <c r="A106" i="3"/>
  <c r="I105" i="3"/>
  <c r="A105" i="3"/>
  <c r="I104" i="3"/>
  <c r="A104" i="3"/>
  <c r="A103" i="3"/>
  <c r="I102" i="3"/>
  <c r="A102" i="3"/>
  <c r="I101" i="3"/>
  <c r="A101" i="3"/>
  <c r="I100" i="3"/>
  <c r="A100" i="3"/>
  <c r="A99" i="3"/>
  <c r="I98" i="3"/>
  <c r="A98" i="3"/>
  <c r="I97" i="3"/>
  <c r="A97" i="3"/>
  <c r="I96" i="3"/>
  <c r="A96" i="3"/>
  <c r="I95" i="3"/>
  <c r="A95" i="3"/>
  <c r="I94" i="3"/>
  <c r="A94" i="3"/>
  <c r="I93" i="3"/>
  <c r="A93" i="3"/>
  <c r="I92" i="3"/>
  <c r="A92" i="3"/>
  <c r="A91" i="3"/>
  <c r="I90" i="3"/>
  <c r="A90" i="3"/>
  <c r="I89" i="3"/>
  <c r="A89" i="3"/>
  <c r="I88" i="3"/>
  <c r="A88" i="3"/>
  <c r="I87" i="3"/>
  <c r="A87" i="3"/>
  <c r="I86" i="3"/>
  <c r="A86" i="3"/>
  <c r="I85" i="3"/>
  <c r="A85" i="3"/>
  <c r="I84" i="3"/>
  <c r="A84" i="3"/>
  <c r="I83" i="3"/>
  <c r="A83" i="3"/>
  <c r="I82" i="3"/>
  <c r="A82" i="3"/>
  <c r="I81" i="3"/>
  <c r="A81" i="3"/>
  <c r="I80" i="3"/>
  <c r="A80" i="3"/>
  <c r="I79" i="3"/>
  <c r="A79" i="3"/>
  <c r="A78" i="3"/>
  <c r="I77" i="3"/>
  <c r="A77" i="3"/>
  <c r="I76" i="3"/>
  <c r="A76" i="3"/>
  <c r="I75" i="3"/>
  <c r="A75" i="3"/>
  <c r="A74" i="3"/>
  <c r="I73" i="3"/>
  <c r="A73" i="3"/>
  <c r="I72" i="3"/>
  <c r="A72" i="3"/>
  <c r="I71" i="3"/>
  <c r="A71" i="3"/>
  <c r="I70" i="3"/>
  <c r="A70" i="3"/>
  <c r="I69" i="3"/>
  <c r="A69" i="3"/>
  <c r="I68" i="3"/>
  <c r="A68" i="3"/>
  <c r="A67" i="3"/>
  <c r="I66" i="3"/>
  <c r="A66" i="3"/>
  <c r="I65" i="3"/>
  <c r="A65" i="3"/>
  <c r="I64" i="3"/>
  <c r="A64" i="3"/>
  <c r="A63" i="3"/>
  <c r="A62" i="3"/>
  <c r="I61" i="3"/>
  <c r="A61" i="3"/>
  <c r="I60" i="3"/>
  <c r="A60" i="3"/>
  <c r="I59" i="3"/>
  <c r="A59" i="3"/>
  <c r="I58" i="3"/>
  <c r="A58" i="3"/>
  <c r="I57" i="3"/>
  <c r="A57" i="3"/>
  <c r="I56" i="3"/>
  <c r="A56" i="3"/>
  <c r="I55" i="3"/>
  <c r="A55" i="3"/>
  <c r="I54" i="3"/>
  <c r="A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A22" i="3"/>
  <c r="I21" i="3"/>
  <c r="A21" i="3"/>
  <c r="I20" i="3"/>
  <c r="A20" i="3"/>
  <c r="I19" i="3"/>
  <c r="A19" i="3"/>
  <c r="I18" i="3"/>
  <c r="A18" i="3"/>
  <c r="I17" i="3"/>
  <c r="A17" i="3"/>
  <c r="I16" i="3"/>
  <c r="A16" i="3"/>
  <c r="I15" i="3"/>
  <c r="A15" i="3"/>
  <c r="I14" i="3"/>
  <c r="A14" i="3"/>
  <c r="I13" i="3"/>
  <c r="A13" i="3"/>
  <c r="I12" i="3"/>
  <c r="A12" i="3"/>
  <c r="I11" i="3"/>
  <c r="A11" i="3"/>
  <c r="I10" i="3"/>
  <c r="A10" i="3"/>
  <c r="I9" i="3"/>
  <c r="A9" i="3"/>
  <c r="N8" i="3"/>
  <c r="M8" i="3"/>
  <c r="O8" i="3" s="1"/>
  <c r="I8" i="3"/>
  <c r="A8" i="3"/>
  <c r="N7" i="3"/>
  <c r="O7" i="3" s="1"/>
  <c r="M7" i="3"/>
  <c r="I7" i="3"/>
  <c r="A7" i="3"/>
  <c r="N6" i="3"/>
  <c r="M6" i="3"/>
  <c r="O6" i="3" s="1"/>
  <c r="I6" i="3"/>
  <c r="A6" i="3"/>
  <c r="I5" i="3"/>
  <c r="A5" i="3"/>
  <c r="I4" i="3"/>
  <c r="A4" i="3"/>
  <c r="I585" i="1"/>
  <c r="A585" i="1"/>
  <c r="I584" i="1"/>
  <c r="A584" i="1"/>
  <c r="I583" i="1"/>
  <c r="A583" i="1"/>
  <c r="I582" i="1"/>
  <c r="A582" i="1"/>
  <c r="I581" i="1"/>
  <c r="A581" i="1"/>
  <c r="I580" i="1"/>
  <c r="A580" i="1"/>
  <c r="I579" i="1"/>
  <c r="A579" i="1"/>
  <c r="I578" i="1"/>
  <c r="A578" i="1"/>
  <c r="I577" i="1"/>
  <c r="A577" i="1"/>
  <c r="I576" i="1"/>
  <c r="A576" i="1"/>
  <c r="I575" i="1"/>
  <c r="A575" i="1"/>
  <c r="I574" i="1"/>
  <c r="A574" i="1"/>
  <c r="I573" i="1"/>
  <c r="A573" i="1"/>
  <c r="I572" i="1"/>
  <c r="A572" i="1"/>
  <c r="I571" i="1"/>
  <c r="A571" i="1"/>
  <c r="I570" i="1"/>
  <c r="A570" i="1"/>
  <c r="I569" i="1"/>
  <c r="A569" i="1"/>
  <c r="I568" i="1"/>
  <c r="A568" i="1"/>
  <c r="I567" i="1"/>
  <c r="A567" i="1"/>
  <c r="I566" i="1"/>
  <c r="A566" i="1"/>
  <c r="I565" i="1"/>
  <c r="A565" i="1"/>
  <c r="I564" i="1"/>
  <c r="A564" i="1"/>
  <c r="I563" i="1"/>
  <c r="A563" i="1"/>
  <c r="I562" i="1"/>
  <c r="A562" i="1"/>
  <c r="I561" i="1"/>
  <c r="A561" i="1"/>
  <c r="I560" i="1"/>
  <c r="A560" i="1"/>
  <c r="I559" i="1"/>
  <c r="A559" i="1"/>
  <c r="I558" i="1"/>
  <c r="A558" i="1"/>
  <c r="I557" i="1"/>
  <c r="A557" i="1"/>
  <c r="I556" i="1"/>
  <c r="A556" i="1"/>
  <c r="I555" i="1"/>
  <c r="A555" i="1"/>
  <c r="I554" i="1"/>
  <c r="A554" i="1"/>
  <c r="I553" i="1"/>
  <c r="A553" i="1"/>
  <c r="I552" i="1"/>
  <c r="A552" i="1"/>
  <c r="I551" i="1"/>
  <c r="A551" i="1"/>
  <c r="I550" i="1"/>
  <c r="A550" i="1"/>
  <c r="I549" i="1"/>
  <c r="A549" i="1"/>
  <c r="A548" i="1"/>
  <c r="I547" i="1"/>
  <c r="A547" i="1"/>
  <c r="I546" i="1"/>
  <c r="A546" i="1"/>
  <c r="I545" i="1"/>
  <c r="A545" i="1"/>
  <c r="I544" i="1"/>
  <c r="A544" i="1"/>
  <c r="I543" i="1"/>
  <c r="A543" i="1"/>
  <c r="I542" i="1"/>
  <c r="A542" i="1"/>
  <c r="I541" i="1"/>
  <c r="A541" i="1"/>
  <c r="I540" i="1"/>
  <c r="A540" i="1"/>
  <c r="I539" i="1"/>
  <c r="A539" i="1"/>
  <c r="I538" i="1"/>
  <c r="A538" i="1"/>
  <c r="I537" i="1"/>
  <c r="A537" i="1"/>
  <c r="I536" i="1"/>
  <c r="A536" i="1"/>
  <c r="I535" i="1"/>
  <c r="A535" i="1"/>
  <c r="I534" i="1"/>
  <c r="A534" i="1"/>
  <c r="I533" i="1"/>
  <c r="A533" i="1"/>
  <c r="A532" i="1"/>
  <c r="I531" i="1"/>
  <c r="A531" i="1"/>
  <c r="I530" i="1"/>
  <c r="A530" i="1"/>
  <c r="I529" i="1"/>
  <c r="A529" i="1"/>
  <c r="I528" i="1"/>
  <c r="A528" i="1"/>
  <c r="I527" i="1"/>
  <c r="A527" i="1"/>
  <c r="I526" i="1"/>
  <c r="A526" i="1"/>
  <c r="I525" i="1"/>
  <c r="A525" i="1"/>
  <c r="I524" i="1"/>
  <c r="A524" i="1"/>
  <c r="A523" i="1"/>
  <c r="I522" i="1"/>
  <c r="A522" i="1"/>
  <c r="I521" i="1"/>
  <c r="A521" i="1"/>
  <c r="I520" i="1"/>
  <c r="A520" i="1"/>
  <c r="I519" i="1"/>
  <c r="A519" i="1"/>
  <c r="I518" i="1"/>
  <c r="A518" i="1"/>
  <c r="A517" i="1"/>
  <c r="I516" i="1"/>
  <c r="A516" i="1"/>
  <c r="I515" i="1"/>
  <c r="A515" i="1"/>
  <c r="I514" i="1"/>
  <c r="A514" i="1"/>
  <c r="I513" i="1"/>
  <c r="A513" i="1"/>
  <c r="I512" i="1"/>
  <c r="A512" i="1"/>
  <c r="A511" i="1"/>
  <c r="I510" i="1"/>
  <c r="A510" i="1"/>
  <c r="I509" i="1"/>
  <c r="A509" i="1"/>
  <c r="I508" i="1"/>
  <c r="A508" i="1"/>
  <c r="I507" i="1"/>
  <c r="A507" i="1"/>
  <c r="A506" i="1"/>
  <c r="I505" i="1"/>
  <c r="A505" i="1"/>
  <c r="I504" i="1"/>
  <c r="A504" i="1"/>
  <c r="A503" i="1"/>
  <c r="I502" i="1"/>
  <c r="A502" i="1"/>
  <c r="I501" i="1"/>
  <c r="A501" i="1"/>
  <c r="I500" i="1"/>
  <c r="A500" i="1"/>
  <c r="I499" i="1"/>
  <c r="A499" i="1"/>
  <c r="I498" i="1"/>
  <c r="A498" i="1"/>
  <c r="I497" i="1"/>
  <c r="A497" i="1"/>
  <c r="I496" i="1"/>
  <c r="A496" i="1"/>
  <c r="I495" i="1"/>
  <c r="A495" i="1"/>
  <c r="I494" i="1"/>
  <c r="A494" i="1"/>
  <c r="A493" i="1"/>
  <c r="I492" i="1"/>
  <c r="A492" i="1"/>
  <c r="I491" i="1"/>
  <c r="A491" i="1"/>
  <c r="I490" i="1"/>
  <c r="A490" i="1"/>
  <c r="I489" i="1"/>
  <c r="A489" i="1"/>
  <c r="I488" i="1"/>
  <c r="A488" i="1"/>
  <c r="I487" i="1"/>
  <c r="A487" i="1"/>
  <c r="I486" i="1"/>
  <c r="A486" i="1"/>
  <c r="I485" i="1"/>
  <c r="A485" i="1"/>
  <c r="I484" i="1"/>
  <c r="A484" i="1"/>
  <c r="I483" i="1"/>
  <c r="A483" i="1"/>
  <c r="I482" i="1"/>
  <c r="A482" i="1"/>
  <c r="I481" i="1"/>
  <c r="A481" i="1"/>
  <c r="I480" i="1"/>
  <c r="A480" i="1"/>
  <c r="I479" i="1"/>
  <c r="A479" i="1"/>
  <c r="I478" i="1"/>
  <c r="A478" i="1"/>
  <c r="I477" i="1"/>
  <c r="A477" i="1"/>
  <c r="I476" i="1"/>
  <c r="A476" i="1"/>
  <c r="I475" i="1"/>
  <c r="A475" i="1"/>
  <c r="I474" i="1"/>
  <c r="A474" i="1"/>
  <c r="I473" i="1"/>
  <c r="A473" i="1"/>
  <c r="I472" i="1"/>
  <c r="A472" i="1"/>
  <c r="I471" i="1"/>
  <c r="A471" i="1"/>
  <c r="I470" i="1"/>
  <c r="A470" i="1"/>
  <c r="I469" i="1"/>
  <c r="A469" i="1"/>
  <c r="I468" i="1"/>
  <c r="A468" i="1"/>
  <c r="I467" i="1"/>
  <c r="A467" i="1"/>
  <c r="I466" i="1"/>
  <c r="A466" i="1"/>
  <c r="I465" i="1"/>
  <c r="A465" i="1"/>
  <c r="I464" i="1"/>
  <c r="A464" i="1"/>
  <c r="I463" i="1"/>
  <c r="A463" i="1"/>
  <c r="I462" i="1"/>
  <c r="A462" i="1"/>
  <c r="I461" i="1"/>
  <c r="A461" i="1"/>
  <c r="I460" i="1"/>
  <c r="A460" i="1"/>
  <c r="I459" i="1"/>
  <c r="A459" i="1"/>
  <c r="I458" i="1"/>
  <c r="A458" i="1"/>
  <c r="I457" i="1"/>
  <c r="A457" i="1"/>
  <c r="I456" i="1"/>
  <c r="A456" i="1"/>
  <c r="I455" i="1"/>
  <c r="A455" i="1"/>
  <c r="I454" i="1"/>
  <c r="A454" i="1"/>
  <c r="I453" i="1"/>
  <c r="A453" i="1"/>
  <c r="I452" i="1"/>
  <c r="A452" i="1"/>
  <c r="I451" i="1"/>
  <c r="A451" i="1"/>
  <c r="I450" i="1"/>
  <c r="A450" i="1"/>
  <c r="I449" i="1"/>
  <c r="A449" i="1"/>
  <c r="I448" i="1"/>
  <c r="A448" i="1"/>
  <c r="I447" i="1"/>
  <c r="A447" i="1"/>
  <c r="I446" i="1"/>
  <c r="A446" i="1"/>
  <c r="I445" i="1"/>
  <c r="A445" i="1"/>
  <c r="I444" i="1"/>
  <c r="A444" i="1"/>
  <c r="I443" i="1"/>
  <c r="A443" i="1"/>
  <c r="I442" i="1"/>
  <c r="A442" i="1"/>
  <c r="I441" i="1"/>
  <c r="A441" i="1"/>
  <c r="I440" i="1"/>
  <c r="A440" i="1"/>
  <c r="I439" i="1"/>
  <c r="A439" i="1"/>
  <c r="I438" i="1"/>
  <c r="A438" i="1"/>
  <c r="I437" i="1"/>
  <c r="A437" i="1"/>
  <c r="I436" i="1"/>
  <c r="A436" i="1"/>
  <c r="I435" i="1"/>
  <c r="A435" i="1"/>
  <c r="A434" i="1"/>
  <c r="I433" i="1"/>
  <c r="A433" i="1"/>
  <c r="I432" i="1"/>
  <c r="A432" i="1"/>
  <c r="I431" i="1"/>
  <c r="A431" i="1"/>
  <c r="I430" i="1"/>
  <c r="A430" i="1"/>
  <c r="I429" i="1"/>
  <c r="A429" i="1"/>
  <c r="I428" i="1"/>
  <c r="A428" i="1"/>
  <c r="I427" i="1"/>
  <c r="A427" i="1"/>
  <c r="I426" i="1"/>
  <c r="A426" i="1"/>
  <c r="I425" i="1"/>
  <c r="A425" i="1"/>
  <c r="I424" i="1"/>
  <c r="A424" i="1"/>
  <c r="A423" i="1"/>
  <c r="I422" i="1"/>
  <c r="A422" i="1"/>
  <c r="I421" i="1"/>
  <c r="A421" i="1"/>
  <c r="I420" i="1"/>
  <c r="A420" i="1"/>
  <c r="I419" i="1"/>
  <c r="A419" i="1"/>
  <c r="I418" i="1"/>
  <c r="A418" i="1"/>
  <c r="I417" i="1"/>
  <c r="A417" i="1"/>
  <c r="I416" i="1"/>
  <c r="A416" i="1"/>
  <c r="I415" i="1"/>
  <c r="A415" i="1"/>
  <c r="I414" i="1"/>
  <c r="A414" i="1"/>
  <c r="I413" i="1"/>
  <c r="A413" i="1"/>
  <c r="I412" i="1"/>
  <c r="A412" i="1"/>
  <c r="I411" i="1"/>
  <c r="A411" i="1"/>
  <c r="I410" i="1"/>
  <c r="A410" i="1"/>
  <c r="I409" i="1"/>
  <c r="A409" i="1"/>
  <c r="I408" i="1"/>
  <c r="A408" i="1"/>
  <c r="I407" i="1"/>
  <c r="A407" i="1"/>
  <c r="I406" i="1"/>
  <c r="A406" i="1"/>
  <c r="I405" i="1"/>
  <c r="A405" i="1"/>
  <c r="I404" i="1"/>
  <c r="A404" i="1"/>
  <c r="I403" i="1"/>
  <c r="A403" i="1"/>
  <c r="I402" i="1"/>
  <c r="A402" i="1"/>
  <c r="I401" i="1"/>
  <c r="A401" i="1"/>
  <c r="A400" i="1"/>
  <c r="A399" i="1"/>
  <c r="I398" i="1"/>
  <c r="A398" i="1"/>
  <c r="I397" i="1"/>
  <c r="A397" i="1"/>
  <c r="I396" i="1"/>
  <c r="A396" i="1"/>
  <c r="I395" i="1"/>
  <c r="A395" i="1"/>
  <c r="I394" i="1"/>
  <c r="A394" i="1"/>
  <c r="A393" i="1"/>
  <c r="I392" i="1"/>
  <c r="A392" i="1"/>
  <c r="I391" i="1"/>
  <c r="A391" i="1"/>
  <c r="I390" i="1"/>
  <c r="A390" i="1"/>
  <c r="I389" i="1"/>
  <c r="A389" i="1"/>
  <c r="I388" i="1"/>
  <c r="A388" i="1"/>
  <c r="I387" i="1"/>
  <c r="A387" i="1"/>
  <c r="I386" i="1"/>
  <c r="A386" i="1"/>
  <c r="A385" i="1"/>
  <c r="I384" i="1"/>
  <c r="A384" i="1"/>
  <c r="I383" i="1"/>
  <c r="A383" i="1"/>
  <c r="I382" i="1"/>
  <c r="A382" i="1"/>
  <c r="I381" i="1"/>
  <c r="A381" i="1"/>
  <c r="I380" i="1"/>
  <c r="A380" i="1"/>
  <c r="I379" i="1"/>
  <c r="A379" i="1"/>
  <c r="I378" i="1"/>
  <c r="A378" i="1"/>
  <c r="A377" i="1"/>
  <c r="I376" i="1"/>
  <c r="A376" i="1"/>
  <c r="I375" i="1"/>
  <c r="A375" i="1"/>
  <c r="I374" i="1"/>
  <c r="A374" i="1"/>
  <c r="I373" i="1"/>
  <c r="A373" i="1"/>
  <c r="I372" i="1"/>
  <c r="A372" i="1"/>
  <c r="I371" i="1"/>
  <c r="A371" i="1"/>
  <c r="I370" i="1"/>
  <c r="A370" i="1"/>
  <c r="I369" i="1"/>
  <c r="A369" i="1"/>
  <c r="I368" i="1"/>
  <c r="A368" i="1"/>
  <c r="I367" i="1"/>
  <c r="A367" i="1"/>
  <c r="I366" i="1"/>
  <c r="A366" i="1"/>
  <c r="I365" i="1"/>
  <c r="A365" i="1"/>
  <c r="I364" i="1"/>
  <c r="A364" i="1"/>
  <c r="I363" i="1"/>
  <c r="A363" i="1"/>
  <c r="I362" i="1"/>
  <c r="A362" i="1"/>
  <c r="A361" i="1"/>
  <c r="I360" i="1"/>
  <c r="A360" i="1"/>
  <c r="I359" i="1"/>
  <c r="A359" i="1"/>
  <c r="I358" i="1"/>
  <c r="A358" i="1"/>
  <c r="I357" i="1"/>
  <c r="A357" i="1"/>
  <c r="I356" i="1"/>
  <c r="A356" i="1"/>
  <c r="I355" i="1"/>
  <c r="A355" i="1"/>
  <c r="I354" i="1"/>
  <c r="A354" i="1"/>
  <c r="A353" i="1"/>
  <c r="I352" i="1"/>
  <c r="A352" i="1"/>
  <c r="I351" i="1"/>
  <c r="A351" i="1"/>
  <c r="I350" i="1"/>
  <c r="A350" i="1"/>
  <c r="I349" i="1"/>
  <c r="A349" i="1"/>
  <c r="I348" i="1"/>
  <c r="A348" i="1"/>
  <c r="I347" i="1"/>
  <c r="A347" i="1"/>
  <c r="I346" i="1"/>
  <c r="A346" i="1"/>
  <c r="I345" i="1"/>
  <c r="A345" i="1"/>
  <c r="I344" i="1"/>
  <c r="A344" i="1"/>
  <c r="I343" i="1"/>
  <c r="A343" i="1"/>
  <c r="I342" i="1"/>
  <c r="A342" i="1"/>
  <c r="I341" i="1"/>
  <c r="A341" i="1"/>
  <c r="I340" i="1"/>
  <c r="A340" i="1"/>
  <c r="I339" i="1"/>
  <c r="A339" i="1"/>
  <c r="I338" i="1"/>
  <c r="A338" i="1"/>
  <c r="I337" i="1"/>
  <c r="A337" i="1"/>
  <c r="I336" i="1"/>
  <c r="A336" i="1"/>
  <c r="I335" i="1"/>
  <c r="A335" i="1"/>
  <c r="I334" i="1"/>
  <c r="A334" i="1"/>
  <c r="I333" i="1"/>
  <c r="A333" i="1"/>
  <c r="I332" i="1"/>
  <c r="A332" i="1"/>
  <c r="I331" i="1"/>
  <c r="A331" i="1"/>
  <c r="I330" i="1"/>
  <c r="A330" i="1"/>
  <c r="I329" i="1"/>
  <c r="A329" i="1"/>
  <c r="I328" i="1"/>
  <c r="A328" i="1"/>
  <c r="I327" i="1"/>
  <c r="A327" i="1"/>
  <c r="I326" i="1"/>
  <c r="A326" i="1"/>
  <c r="I325" i="1"/>
  <c r="A325" i="1"/>
  <c r="I324" i="1"/>
  <c r="A324" i="1"/>
  <c r="I323" i="1"/>
  <c r="A323" i="1"/>
  <c r="I322" i="1"/>
  <c r="A322" i="1"/>
  <c r="I321" i="1"/>
  <c r="A321" i="1"/>
  <c r="I320" i="1"/>
  <c r="A320" i="1"/>
  <c r="I319" i="1"/>
  <c r="A319" i="1"/>
  <c r="I318" i="1"/>
  <c r="A318" i="1"/>
  <c r="I317" i="1"/>
  <c r="A317" i="1"/>
  <c r="I316" i="1"/>
  <c r="A316" i="1"/>
  <c r="I315" i="1"/>
  <c r="A315" i="1"/>
  <c r="I314" i="1"/>
  <c r="A314" i="1"/>
  <c r="I313" i="1"/>
  <c r="A313" i="1"/>
  <c r="I312" i="1"/>
  <c r="A312" i="1"/>
  <c r="I311" i="1"/>
  <c r="A311" i="1"/>
  <c r="I310" i="1"/>
  <c r="A310" i="1"/>
  <c r="I309" i="1"/>
  <c r="A309" i="1"/>
  <c r="I308" i="1"/>
  <c r="A308" i="1"/>
  <c r="I307" i="1"/>
  <c r="A307" i="1"/>
  <c r="I306" i="1"/>
  <c r="A306" i="1"/>
  <c r="I305" i="1"/>
  <c r="A305" i="1"/>
  <c r="I304" i="1"/>
  <c r="A304" i="1"/>
  <c r="I303" i="1"/>
  <c r="A303" i="1"/>
  <c r="I302" i="1"/>
  <c r="A302" i="1"/>
  <c r="I301" i="1"/>
  <c r="A301" i="1"/>
  <c r="I300" i="1"/>
  <c r="A300" i="1"/>
  <c r="I299" i="1"/>
  <c r="A299" i="1"/>
  <c r="I298" i="1"/>
  <c r="A298" i="1"/>
  <c r="I297" i="1"/>
  <c r="A297" i="1"/>
  <c r="I296" i="1"/>
  <c r="A296" i="1"/>
  <c r="I295" i="1"/>
  <c r="A295" i="1"/>
  <c r="I294" i="1"/>
  <c r="A294" i="1"/>
  <c r="A293" i="1"/>
  <c r="I292" i="1"/>
  <c r="A292" i="1"/>
  <c r="I291" i="1"/>
  <c r="A291" i="1"/>
  <c r="I290" i="1"/>
  <c r="A290" i="1"/>
  <c r="I289" i="1"/>
  <c r="A289" i="1"/>
  <c r="I288" i="1"/>
  <c r="A288" i="1"/>
  <c r="I287" i="1"/>
  <c r="A287" i="1"/>
  <c r="I286" i="1"/>
  <c r="A286" i="1"/>
  <c r="I285" i="1"/>
  <c r="A285" i="1"/>
  <c r="I284" i="1"/>
  <c r="A284" i="1"/>
  <c r="I283" i="1"/>
  <c r="A283" i="1"/>
  <c r="I282" i="1"/>
  <c r="A282" i="1"/>
  <c r="A281" i="1"/>
  <c r="I280" i="1"/>
  <c r="A280" i="1"/>
  <c r="I279" i="1"/>
  <c r="A279" i="1"/>
  <c r="I278" i="1"/>
  <c r="A278" i="1"/>
  <c r="I277" i="1"/>
  <c r="A277" i="1"/>
  <c r="I276" i="1"/>
  <c r="A276" i="1"/>
  <c r="I275" i="1"/>
  <c r="A275" i="1"/>
  <c r="I274" i="1"/>
  <c r="A274" i="1"/>
  <c r="I273" i="1"/>
  <c r="A273" i="1"/>
  <c r="A272" i="1"/>
  <c r="I271" i="1"/>
  <c r="A271" i="1"/>
  <c r="I270" i="1"/>
  <c r="A270" i="1"/>
  <c r="I269" i="1"/>
  <c r="A269" i="1"/>
  <c r="I268" i="1"/>
  <c r="A268" i="1"/>
  <c r="I267" i="1"/>
  <c r="A267" i="1"/>
  <c r="I266" i="1"/>
  <c r="A266" i="1"/>
  <c r="I265" i="1"/>
  <c r="A265" i="1"/>
  <c r="I264" i="1"/>
  <c r="A264" i="1"/>
  <c r="I263" i="1"/>
  <c r="A263" i="1"/>
  <c r="I262" i="1"/>
  <c r="A262" i="1"/>
  <c r="I261" i="1"/>
  <c r="A261" i="1"/>
  <c r="I260" i="1"/>
  <c r="A260" i="1"/>
  <c r="I259" i="1"/>
  <c r="A259" i="1"/>
  <c r="I258" i="1"/>
  <c r="A258" i="1"/>
  <c r="I257" i="1"/>
  <c r="A257" i="1"/>
  <c r="I256" i="1"/>
  <c r="A256" i="1"/>
  <c r="I255" i="1"/>
  <c r="A255" i="1"/>
  <c r="I254" i="1"/>
  <c r="A254" i="1"/>
  <c r="I253" i="1"/>
  <c r="A253" i="1"/>
  <c r="I252" i="1"/>
  <c r="A252" i="1"/>
  <c r="I251" i="1"/>
  <c r="A251" i="1"/>
  <c r="I250" i="1"/>
  <c r="A250" i="1"/>
  <c r="I249" i="1"/>
  <c r="A249" i="1"/>
  <c r="I248" i="1"/>
  <c r="A248" i="1"/>
  <c r="I247" i="1"/>
  <c r="A247" i="1"/>
  <c r="I246" i="1"/>
  <c r="A246" i="1"/>
  <c r="I245" i="1"/>
  <c r="A245" i="1"/>
  <c r="I244" i="1"/>
  <c r="A244" i="1"/>
  <c r="I243" i="1"/>
  <c r="A243" i="1"/>
  <c r="I242" i="1"/>
  <c r="A242" i="1"/>
  <c r="I241" i="1"/>
  <c r="A241" i="1"/>
  <c r="I240" i="1"/>
  <c r="A240" i="1"/>
  <c r="I239" i="1"/>
  <c r="A239" i="1"/>
  <c r="I238" i="1"/>
  <c r="A238" i="1"/>
  <c r="I237" i="1"/>
  <c r="A237" i="1"/>
  <c r="I236" i="1"/>
  <c r="A236" i="1"/>
  <c r="I235" i="1"/>
  <c r="A235" i="1"/>
  <c r="I234" i="1"/>
  <c r="A234" i="1"/>
  <c r="I233" i="1"/>
  <c r="A233" i="1"/>
  <c r="A232" i="1"/>
  <c r="I231" i="1"/>
  <c r="A231" i="1"/>
  <c r="I230" i="1"/>
  <c r="A230" i="1"/>
  <c r="I229" i="1"/>
  <c r="A229" i="1"/>
  <c r="I228" i="1"/>
  <c r="A228" i="1"/>
  <c r="I227" i="1"/>
  <c r="A227" i="1"/>
  <c r="I226" i="1"/>
  <c r="A226" i="1"/>
  <c r="I225" i="1"/>
  <c r="A225" i="1"/>
  <c r="I224" i="1"/>
  <c r="A224" i="1"/>
  <c r="I223" i="1"/>
  <c r="A223" i="1"/>
  <c r="I222" i="1"/>
  <c r="A222" i="1"/>
  <c r="I221" i="1"/>
  <c r="A221" i="1"/>
  <c r="I220" i="1"/>
  <c r="A220" i="1"/>
  <c r="I219" i="1"/>
  <c r="A219" i="1"/>
  <c r="I218" i="1"/>
  <c r="A218" i="1"/>
  <c r="I217" i="1"/>
  <c r="A217" i="1"/>
  <c r="I216" i="1"/>
  <c r="A216" i="1"/>
  <c r="I215" i="1"/>
  <c r="A215" i="1"/>
  <c r="I214" i="1"/>
  <c r="A214" i="1"/>
  <c r="I213" i="1"/>
  <c r="A213" i="1"/>
  <c r="A212" i="1"/>
  <c r="I211" i="1"/>
  <c r="A211" i="1"/>
  <c r="I210" i="1"/>
  <c r="A210" i="1"/>
  <c r="I209" i="1"/>
  <c r="A209" i="1"/>
  <c r="I208" i="1"/>
  <c r="A208" i="1"/>
  <c r="I207" i="1"/>
  <c r="A207" i="1"/>
  <c r="I206" i="1"/>
  <c r="A206" i="1"/>
  <c r="I205" i="1"/>
  <c r="A205" i="1"/>
  <c r="I204" i="1"/>
  <c r="A204" i="1"/>
  <c r="I203" i="1"/>
  <c r="A203" i="1"/>
  <c r="I202" i="1"/>
  <c r="A202" i="1"/>
  <c r="I201" i="1"/>
  <c r="A201" i="1"/>
  <c r="I200" i="1"/>
  <c r="A200" i="1"/>
  <c r="I199" i="1"/>
  <c r="A199" i="1"/>
  <c r="I198" i="1"/>
  <c r="A198" i="1"/>
  <c r="I197" i="1"/>
  <c r="A197" i="1"/>
  <c r="I196" i="1"/>
  <c r="A196" i="1"/>
  <c r="I195" i="1"/>
  <c r="A195" i="1"/>
  <c r="I194" i="1"/>
  <c r="A194" i="1"/>
  <c r="I193" i="1"/>
  <c r="A193" i="1"/>
  <c r="I192" i="1"/>
  <c r="A192" i="1"/>
  <c r="I191" i="1"/>
  <c r="A191" i="1"/>
  <c r="I190" i="1"/>
  <c r="A190" i="1"/>
  <c r="I189" i="1"/>
  <c r="A189" i="1"/>
  <c r="I188" i="1"/>
  <c r="A188" i="1"/>
  <c r="I187" i="1"/>
  <c r="A187" i="1"/>
  <c r="I186" i="1"/>
  <c r="A186" i="1"/>
  <c r="I185" i="1"/>
  <c r="A185" i="1"/>
  <c r="I184" i="1"/>
  <c r="A184" i="1"/>
  <c r="I183" i="1"/>
  <c r="A183" i="1"/>
  <c r="I182" i="1"/>
  <c r="A182" i="1"/>
  <c r="I181" i="1"/>
  <c r="A181" i="1"/>
  <c r="I180" i="1"/>
  <c r="A180" i="1"/>
  <c r="I179" i="1"/>
  <c r="A179" i="1"/>
  <c r="I178" i="1"/>
  <c r="A178" i="1"/>
  <c r="I177" i="1"/>
  <c r="A177" i="1"/>
  <c r="I176" i="1"/>
  <c r="A176" i="1"/>
  <c r="I175" i="1"/>
  <c r="A175" i="1"/>
  <c r="I174" i="1"/>
  <c r="A174" i="1"/>
  <c r="I173" i="1"/>
  <c r="A173" i="1"/>
  <c r="I172" i="1"/>
  <c r="A172" i="1"/>
  <c r="I171" i="1"/>
  <c r="A171" i="1"/>
  <c r="I170" i="1"/>
  <c r="A170" i="1"/>
  <c r="I169" i="1"/>
  <c r="A169" i="1"/>
  <c r="I168" i="1"/>
  <c r="A168" i="1"/>
  <c r="I167" i="1"/>
  <c r="A167" i="1"/>
  <c r="I166" i="1"/>
  <c r="A166" i="1"/>
  <c r="I165" i="1"/>
  <c r="A165" i="1"/>
  <c r="I164" i="1"/>
  <c r="A164" i="1"/>
  <c r="I163" i="1"/>
  <c r="A163" i="1"/>
  <c r="I162" i="1"/>
  <c r="A162" i="1"/>
  <c r="I161" i="1"/>
  <c r="A161" i="1"/>
  <c r="I160" i="1"/>
  <c r="A160" i="1"/>
  <c r="I159" i="1"/>
  <c r="A159" i="1"/>
  <c r="I158" i="1"/>
  <c r="A158" i="1"/>
  <c r="I157" i="1"/>
  <c r="A157" i="1"/>
  <c r="A156" i="1"/>
  <c r="I155" i="1"/>
  <c r="A155" i="1"/>
  <c r="I154" i="1"/>
  <c r="A154" i="1"/>
  <c r="I153" i="1"/>
  <c r="A153" i="1"/>
  <c r="I152" i="1"/>
  <c r="A152" i="1"/>
  <c r="I151" i="1"/>
  <c r="A151" i="1"/>
  <c r="I150" i="1"/>
  <c r="A150" i="1"/>
  <c r="I149" i="1"/>
  <c r="A149" i="1"/>
  <c r="I148" i="1"/>
  <c r="A148" i="1"/>
  <c r="I147" i="1"/>
  <c r="A147" i="1"/>
  <c r="I146" i="1"/>
  <c r="A146" i="1"/>
  <c r="I145" i="1"/>
  <c r="A145" i="1"/>
  <c r="I144" i="1"/>
  <c r="A144" i="1"/>
  <c r="I143" i="1"/>
  <c r="A143" i="1"/>
  <c r="I142" i="1"/>
  <c r="A142" i="1"/>
  <c r="I141" i="1"/>
  <c r="A141" i="1"/>
  <c r="I140" i="1"/>
  <c r="A140" i="1"/>
  <c r="I139" i="1"/>
  <c r="A139" i="1"/>
  <c r="I138" i="1"/>
  <c r="A138" i="1"/>
  <c r="I137" i="1"/>
  <c r="A137" i="1"/>
  <c r="I136" i="1"/>
  <c r="A136" i="1"/>
  <c r="I135" i="1"/>
  <c r="A135" i="1"/>
  <c r="I134" i="1"/>
  <c r="A134" i="1"/>
  <c r="A133" i="1"/>
  <c r="I132" i="1"/>
  <c r="A132" i="1"/>
  <c r="I131" i="1"/>
  <c r="A131" i="1"/>
  <c r="I130" i="1"/>
  <c r="A130" i="1"/>
  <c r="I129" i="1"/>
  <c r="A129" i="1"/>
  <c r="I128" i="1"/>
  <c r="A128" i="1"/>
  <c r="I127" i="1"/>
  <c r="A127" i="1"/>
  <c r="I126" i="1"/>
  <c r="A126" i="1"/>
  <c r="I125" i="1"/>
  <c r="A125" i="1"/>
  <c r="I124" i="1"/>
  <c r="A124" i="1"/>
  <c r="I123" i="1"/>
  <c r="A123" i="1"/>
  <c r="I122" i="1"/>
  <c r="A122" i="1"/>
  <c r="I121" i="1"/>
  <c r="A121" i="1"/>
  <c r="A120" i="1"/>
  <c r="I119" i="1"/>
  <c r="A119" i="1"/>
  <c r="I118" i="1"/>
  <c r="A118" i="1"/>
  <c r="I117" i="1"/>
  <c r="A117" i="1"/>
  <c r="I116" i="1"/>
  <c r="A116" i="1"/>
  <c r="I115" i="1"/>
  <c r="A115" i="1"/>
  <c r="I114" i="1"/>
  <c r="A114" i="1"/>
  <c r="I113" i="1"/>
  <c r="A113" i="1"/>
  <c r="I112" i="1"/>
  <c r="A112" i="1"/>
  <c r="I111" i="1"/>
  <c r="A111" i="1"/>
  <c r="I110" i="1"/>
  <c r="A110" i="1"/>
  <c r="I109" i="1"/>
  <c r="A109" i="1"/>
  <c r="I108" i="1"/>
  <c r="A108" i="1"/>
  <c r="I107" i="1"/>
  <c r="A107" i="1"/>
  <c r="I106" i="1"/>
  <c r="A106" i="1"/>
  <c r="I105" i="1"/>
  <c r="A105" i="1"/>
  <c r="I104" i="1"/>
  <c r="A104" i="1"/>
  <c r="I103" i="1"/>
  <c r="A103" i="1"/>
  <c r="I102" i="1"/>
  <c r="A102" i="1"/>
  <c r="I101" i="1"/>
  <c r="A101" i="1"/>
  <c r="I100" i="1"/>
  <c r="A100" i="1"/>
  <c r="I99" i="1"/>
  <c r="A99" i="1"/>
  <c r="I98" i="1"/>
  <c r="A98" i="1"/>
  <c r="A97" i="1"/>
  <c r="I96" i="1"/>
  <c r="A96" i="1"/>
  <c r="I95" i="1"/>
  <c r="A95" i="1"/>
  <c r="I94" i="1"/>
  <c r="A94" i="1"/>
  <c r="I93" i="1"/>
  <c r="A93" i="1"/>
  <c r="I92" i="1"/>
  <c r="A92" i="1"/>
  <c r="I91" i="1"/>
  <c r="A91" i="1"/>
  <c r="I90" i="1"/>
  <c r="A90" i="1"/>
  <c r="I89" i="1"/>
  <c r="A89" i="1"/>
  <c r="I88" i="1"/>
  <c r="A88" i="1"/>
  <c r="I87" i="1"/>
  <c r="A87" i="1"/>
  <c r="I86" i="1"/>
  <c r="A86" i="1"/>
  <c r="I85" i="1"/>
  <c r="A85" i="1"/>
  <c r="A84" i="1"/>
  <c r="I83" i="1"/>
  <c r="A83" i="1"/>
  <c r="I82" i="1"/>
  <c r="A82" i="1"/>
  <c r="I81" i="1"/>
  <c r="A81" i="1"/>
  <c r="I80" i="1"/>
  <c r="A80" i="1"/>
  <c r="I79" i="1"/>
  <c r="A79" i="1"/>
  <c r="I78" i="1"/>
  <c r="A78" i="1"/>
  <c r="A77" i="1"/>
  <c r="I76" i="1"/>
  <c r="A76" i="1"/>
  <c r="I75" i="1"/>
  <c r="A75" i="1"/>
  <c r="I74" i="1"/>
  <c r="A74" i="1"/>
  <c r="A73" i="1"/>
  <c r="I72" i="1"/>
  <c r="A72" i="1"/>
  <c r="I71" i="1"/>
  <c r="A71" i="1"/>
  <c r="I70" i="1"/>
  <c r="A70" i="1"/>
  <c r="I69" i="1"/>
  <c r="A69" i="1"/>
  <c r="I68" i="1"/>
  <c r="A68" i="1"/>
  <c r="I67" i="1"/>
  <c r="A67" i="1"/>
  <c r="I66" i="1"/>
  <c r="A66" i="1"/>
  <c r="I65" i="1"/>
  <c r="A65" i="1"/>
  <c r="I64" i="1"/>
  <c r="A64" i="1"/>
  <c r="I63" i="1"/>
  <c r="A63" i="1"/>
  <c r="I62" i="1"/>
  <c r="A62" i="1"/>
  <c r="I61" i="1"/>
  <c r="A61" i="1"/>
  <c r="I60" i="1"/>
  <c r="A60" i="1"/>
  <c r="I59" i="1"/>
  <c r="A59" i="1"/>
  <c r="I58" i="1"/>
  <c r="A58" i="1"/>
  <c r="I57" i="1"/>
  <c r="A57" i="1"/>
  <c r="I56" i="1"/>
  <c r="A56" i="1"/>
  <c r="I55" i="1"/>
  <c r="A55" i="1"/>
  <c r="I54" i="1"/>
  <c r="A54" i="1"/>
  <c r="I53" i="1"/>
  <c r="A53" i="1"/>
  <c r="I52" i="1"/>
  <c r="A52" i="1"/>
  <c r="I51" i="1"/>
  <c r="A51" i="1"/>
  <c r="I50" i="1"/>
  <c r="A50" i="1"/>
  <c r="I49" i="1"/>
  <c r="A49" i="1"/>
  <c r="I48" i="1"/>
  <c r="A48" i="1"/>
  <c r="I47" i="1"/>
  <c r="A47" i="1"/>
  <c r="I46" i="1"/>
  <c r="A46" i="1"/>
  <c r="I45" i="1"/>
  <c r="A45" i="1"/>
  <c r="I44" i="1"/>
  <c r="A44" i="1"/>
  <c r="I43" i="1"/>
  <c r="A43" i="1"/>
  <c r="I42" i="1"/>
  <c r="A42" i="1"/>
  <c r="I41" i="1"/>
  <c r="A41" i="1"/>
  <c r="I40" i="1"/>
  <c r="A40" i="1"/>
  <c r="I39" i="1"/>
  <c r="A39" i="1"/>
  <c r="I38" i="1"/>
  <c r="A38" i="1"/>
  <c r="A37" i="1"/>
  <c r="I36" i="1"/>
  <c r="A36" i="1"/>
  <c r="I35" i="1"/>
  <c r="A35" i="1"/>
  <c r="I34" i="1"/>
  <c r="A34" i="1"/>
  <c r="I33" i="1"/>
  <c r="A33" i="1"/>
  <c r="I32" i="1"/>
  <c r="A32" i="1"/>
  <c r="I31" i="1"/>
  <c r="A31" i="1"/>
  <c r="I30" i="1"/>
  <c r="A30" i="1"/>
  <c r="I29" i="1"/>
  <c r="A29" i="1"/>
  <c r="I28" i="1"/>
  <c r="A28" i="1"/>
  <c r="I27" i="1"/>
  <c r="A27" i="1"/>
  <c r="I26" i="1"/>
  <c r="A26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I15" i="1"/>
  <c r="A15" i="1"/>
  <c r="I14" i="1"/>
  <c r="A14" i="1"/>
  <c r="I13" i="1"/>
  <c r="A13" i="1"/>
  <c r="I12" i="1"/>
  <c r="A12" i="1"/>
  <c r="I11" i="1"/>
  <c r="A11" i="1"/>
  <c r="I10" i="1"/>
  <c r="A10" i="1"/>
  <c r="I9" i="1"/>
  <c r="A9" i="1"/>
  <c r="A8" i="1"/>
  <c r="I7" i="1"/>
  <c r="A7" i="1"/>
  <c r="I6" i="1"/>
  <c r="A6" i="1"/>
  <c r="I5" i="1"/>
  <c r="A5" i="1"/>
  <c r="A4" i="1"/>
  <c r="I6" i="31" l="1"/>
  <c r="I7" i="31"/>
  <c r="C9" i="31"/>
  <c r="C8" i="31"/>
  <c r="H9" i="31"/>
  <c r="E6" i="31"/>
  <c r="H6" i="31"/>
  <c r="I8" i="31"/>
  <c r="I434" i="1"/>
  <c r="I523" i="1"/>
  <c r="I25" i="1"/>
  <c r="I37" i="1"/>
  <c r="I73" i="1"/>
  <c r="I77" i="1"/>
  <c r="I97" i="1"/>
  <c r="I133" i="1"/>
  <c r="I281" i="1"/>
  <c r="I293" i="1"/>
  <c r="I353" i="1"/>
  <c r="I361" i="1"/>
  <c r="I377" i="1"/>
  <c r="I385" i="1"/>
  <c r="I393" i="1"/>
  <c r="I511" i="1"/>
  <c r="I548" i="1"/>
  <c r="I31" i="3"/>
  <c r="I63" i="3"/>
  <c r="I67" i="3"/>
  <c r="I91" i="3"/>
  <c r="I99" i="3"/>
  <c r="I103" i="3"/>
  <c r="I107" i="3"/>
  <c r="I147" i="3"/>
  <c r="I167" i="3"/>
  <c r="I179" i="3"/>
  <c r="I187" i="3"/>
  <c r="I191" i="3"/>
  <c r="I211" i="3"/>
  <c r="I223" i="3"/>
  <c r="I299" i="3"/>
  <c r="I319" i="3"/>
  <c r="I331" i="3"/>
  <c r="I403" i="3"/>
  <c r="I411" i="3"/>
  <c r="I493" i="1"/>
  <c r="I4" i="1"/>
  <c r="I8" i="1"/>
  <c r="I84" i="1"/>
  <c r="I120" i="1"/>
  <c r="I156" i="1"/>
  <c r="I212" i="1"/>
  <c r="I232" i="1"/>
  <c r="I272" i="1"/>
  <c r="I506" i="1"/>
  <c r="I62" i="3"/>
  <c r="I74" i="3"/>
  <c r="I126" i="3"/>
  <c r="I154" i="3"/>
  <c r="I166" i="3"/>
  <c r="I170" i="3"/>
  <c r="I186" i="3"/>
  <c r="I190" i="3"/>
  <c r="I206" i="3"/>
  <c r="I214" i="3"/>
  <c r="I218" i="3"/>
  <c r="I222" i="3"/>
  <c r="I298" i="3"/>
  <c r="I330" i="3"/>
  <c r="I362" i="3"/>
  <c r="I410" i="3"/>
  <c r="F9" i="31"/>
  <c r="C6" i="31"/>
  <c r="D6" i="31"/>
  <c r="E8" i="31"/>
  <c r="E9" i="31"/>
  <c r="G9" i="31"/>
  <c r="H8" i="31"/>
  <c r="I9" i="31"/>
  <c r="H7" i="31"/>
  <c r="C7" i="31"/>
  <c r="G8" i="31"/>
  <c r="D9" i="31"/>
  <c r="G6" i="31"/>
  <c r="F6" i="31"/>
  <c r="G7" i="31" l="1"/>
  <c r="E7" i="31"/>
  <c r="F8" i="31"/>
  <c r="D8" i="31"/>
  <c r="F7" i="31"/>
  <c r="D7" i="31" l="1"/>
  <c r="J114" i="57"/>
  <c r="C114" i="57"/>
  <c r="K114" i="57"/>
  <c r="J98" i="57"/>
  <c r="C98" i="57"/>
  <c r="K98" i="57"/>
  <c r="J110" i="57"/>
  <c r="B110" i="57"/>
  <c r="K110" i="57"/>
  <c r="C110" i="57"/>
</calcChain>
</file>

<file path=xl/sharedStrings.xml><?xml version="1.0" encoding="utf-8"?>
<sst xmlns="http://schemas.openxmlformats.org/spreadsheetml/2006/main" count="23194" uniqueCount="3937">
  <si>
    <t>CAVENDISH UNIVERSITY UGANDA</t>
  </si>
  <si>
    <t>TEACHING TIMETABLE FOR JAN-MAY 2023</t>
  </si>
  <si>
    <t>Day</t>
  </si>
  <si>
    <t>Time</t>
  </si>
  <si>
    <t>Prog</t>
  </si>
  <si>
    <t>Code</t>
  </si>
  <si>
    <t>Module</t>
  </si>
  <si>
    <t>Faculty</t>
  </si>
  <si>
    <t>Room</t>
  </si>
  <si>
    <t>Mon</t>
  </si>
  <si>
    <t>08:00-10:00</t>
  </si>
  <si>
    <t>DIT-1</t>
  </si>
  <si>
    <t>DCS112</t>
  </si>
  <si>
    <t>Introduction to Operating Systems</t>
  </si>
  <si>
    <t>FST</t>
  </si>
  <si>
    <t>SI-105</t>
  </si>
  <si>
    <t>BBA-BF-1,BBA-AF-1,DBA-1</t>
  </si>
  <si>
    <t>BBA112/DBA112</t>
  </si>
  <si>
    <t>Microeconomics</t>
  </si>
  <si>
    <t>BUS</t>
  </si>
  <si>
    <t>KG-15</t>
  </si>
  <si>
    <t>BBA-HRM-6</t>
  </si>
  <si>
    <t>HRM322</t>
  </si>
  <si>
    <t>Occupational Health and Safety</t>
  </si>
  <si>
    <t>KG-9</t>
  </si>
  <si>
    <t>BIRDS-1</t>
  </si>
  <si>
    <t>IRDS112</t>
  </si>
  <si>
    <t>Introduction to Diplomacy</t>
  </si>
  <si>
    <t>SES</t>
  </si>
  <si>
    <t>KG-26</t>
  </si>
  <si>
    <t>BIT-3,DIT-3,DCS-3,BSE-4,BCS-3</t>
  </si>
  <si>
    <t>BIT213/BSE213</t>
  </si>
  <si>
    <t>Web Development and Management/ Advanced internet &amp; Web programming</t>
  </si>
  <si>
    <t>SI-214</t>
  </si>
  <si>
    <t>LLB-2</t>
  </si>
  <si>
    <t>LLB121</t>
  </si>
  <si>
    <t>Legal Methods</t>
  </si>
  <si>
    <t>LAW</t>
  </si>
  <si>
    <t>LLB2</t>
  </si>
  <si>
    <t>LLB-3</t>
  </si>
  <si>
    <t>LLB213</t>
  </si>
  <si>
    <t>Evidence Law I</t>
  </si>
  <si>
    <t>LLB3</t>
  </si>
  <si>
    <t>HEC-1,HEC-S1</t>
  </si>
  <si>
    <t>FOU112</t>
  </si>
  <si>
    <t>Communication Skills</t>
  </si>
  <si>
    <t>SI-B01</t>
  </si>
  <si>
    <t>10:15-12:15</t>
  </si>
  <si>
    <t>BIT-5,BCS-5</t>
  </si>
  <si>
    <t>BIT311</t>
  </si>
  <si>
    <t>ICT Project Planning and Management</t>
  </si>
  <si>
    <t>SI-112</t>
  </si>
  <si>
    <t>BBA-G-6</t>
  </si>
  <si>
    <t>BBA325</t>
  </si>
  <si>
    <t>International Business</t>
  </si>
  <si>
    <t>KG-7</t>
  </si>
  <si>
    <t>Wed</t>
  </si>
  <si>
    <t>BBA-PL-1,BBA-HRM-1,BBA-G-1</t>
  </si>
  <si>
    <t>BSE-6</t>
  </si>
  <si>
    <t>BSE326</t>
  </si>
  <si>
    <t>Software Evolution</t>
  </si>
  <si>
    <t>SI-202</t>
  </si>
  <si>
    <t>BPAM-3</t>
  </si>
  <si>
    <t>BPA215</t>
  </si>
  <si>
    <t>Environmental Management and Sustainable Development</t>
  </si>
  <si>
    <t>KG-24</t>
  </si>
  <si>
    <t>Thu</t>
  </si>
  <si>
    <t>BIT-1,DIT-1</t>
  </si>
  <si>
    <t>BIT113</t>
  </si>
  <si>
    <t>Fundamentals of Information Systems</t>
  </si>
  <si>
    <t>SI-011</t>
  </si>
  <si>
    <t>HRM321</t>
  </si>
  <si>
    <t>Career Planning and Counselling</t>
  </si>
  <si>
    <t>BIT-2, DIT-3,BCS-2,BSE-5</t>
  </si>
  <si>
    <t>BIT124</t>
  </si>
  <si>
    <t>E-commerce</t>
  </si>
  <si>
    <t>BIRDS-5</t>
  </si>
  <si>
    <t>IRDS314</t>
  </si>
  <si>
    <t>International Politics, Media and Conflict</t>
  </si>
  <si>
    <t>KG-11</t>
  </si>
  <si>
    <t>BIRDS-2</t>
  </si>
  <si>
    <t>IRDS129</t>
  </si>
  <si>
    <t>Terrorism and Related Global Issues</t>
  </si>
  <si>
    <t>KG-10</t>
  </si>
  <si>
    <t>BJC-2</t>
  </si>
  <si>
    <t>BJC121</t>
  </si>
  <si>
    <t>Mass Media and Society</t>
  </si>
  <si>
    <t>KG-6</t>
  </si>
  <si>
    <t>BIT-4,BSE-3,BCS-4</t>
  </si>
  <si>
    <t>COM224/BSE212</t>
  </si>
  <si>
    <t>Software Engineering/Principles of Software Engineering</t>
  </si>
  <si>
    <t>SI-205</t>
  </si>
  <si>
    <t>HEC-2S</t>
  </si>
  <si>
    <t>FOS127</t>
  </si>
  <si>
    <t>Foundation Organic and Analytic Chemistry</t>
  </si>
  <si>
    <t>KG-LAB</t>
  </si>
  <si>
    <t>12:30-02:30</t>
  </si>
  <si>
    <t>BCS-5,BSE-5</t>
  </si>
  <si>
    <t>COM312</t>
  </si>
  <si>
    <t>Artificial Intelligence and Expert Systems</t>
  </si>
  <si>
    <t>BIRDS-5,BPAM-6</t>
  </si>
  <si>
    <t>IRDS311</t>
  </si>
  <si>
    <t>Security Studies</t>
  </si>
  <si>
    <t>KG-25</t>
  </si>
  <si>
    <t>BSE322</t>
  </si>
  <si>
    <t>Advanced Mobile Applications Development</t>
  </si>
  <si>
    <t>BPAM-5</t>
  </si>
  <si>
    <t>BPA314</t>
  </si>
  <si>
    <t>Constitutionalism and Administrative Law</t>
  </si>
  <si>
    <t>HEC-2A,BPAM-2,BIRDS-2,BJC-2</t>
  </si>
  <si>
    <t>IRDS121/BPA121/FOA124</t>
  </si>
  <si>
    <t>Introduction to Political Science</t>
  </si>
  <si>
    <t>KG-21</t>
  </si>
  <si>
    <t>BJC-1</t>
  </si>
  <si>
    <t>BJC115</t>
  </si>
  <si>
    <t>Introduction to Journalism &amp; Media organisation</t>
  </si>
  <si>
    <t>BCS-2,BSE-2,BIT-2,DIT-2</t>
  </si>
  <si>
    <t>BIT122/BSE121</t>
  </si>
  <si>
    <t>Internet Technology and Web design/Internet and Web Programming 1</t>
  </si>
  <si>
    <t>02:00-04:00</t>
  </si>
  <si>
    <t>LLB-1</t>
  </si>
  <si>
    <t>LLB112</t>
  </si>
  <si>
    <t>Constitutional History</t>
  </si>
  <si>
    <t>LLB1</t>
  </si>
  <si>
    <t>LLB215</t>
  </si>
  <si>
    <t>Equity and Trusts</t>
  </si>
  <si>
    <t>LLB124</t>
  </si>
  <si>
    <t>Law of Contract II</t>
  </si>
  <si>
    <t>10:00-12:00</t>
  </si>
  <si>
    <t>LLB-4</t>
  </si>
  <si>
    <t>LLB222</t>
  </si>
  <si>
    <t>Land Law II</t>
  </si>
  <si>
    <t>LLB4</t>
  </si>
  <si>
    <t>LLB-7</t>
  </si>
  <si>
    <t>LLB412</t>
  </si>
  <si>
    <t>Revenue and Taxation Law I</t>
  </si>
  <si>
    <t>LLM</t>
  </si>
  <si>
    <t>BIT-3,BSE-2,DIT-3,DCS-3,BCS-2</t>
  </si>
  <si>
    <t>BIT212</t>
  </si>
  <si>
    <t>Systems Analysis and Design</t>
  </si>
  <si>
    <t>02:45-04:45</t>
  </si>
  <si>
    <t>BCS-6,BCS-3,BSE-6</t>
  </si>
  <si>
    <t>COM321</t>
  </si>
  <si>
    <t>Simulation and Modeling</t>
  </si>
  <si>
    <t>BIRDS-6</t>
  </si>
  <si>
    <t>IRDS325</t>
  </si>
  <si>
    <t>International Public Relations and   Strategic Communication</t>
  </si>
  <si>
    <t>BPAM-4,BPAM-2</t>
  </si>
  <si>
    <t>BPA221</t>
  </si>
  <si>
    <t xml:space="preserve">Economics for Public Administration and management </t>
  </si>
  <si>
    <t>BJC-4</t>
  </si>
  <si>
    <t>BJC224</t>
  </si>
  <si>
    <t>Media Management</t>
  </si>
  <si>
    <t>BIT-4,BCS-4,BSE-3</t>
  </si>
  <si>
    <t>COM221</t>
  </si>
  <si>
    <t>Operating Systems Principles</t>
  </si>
  <si>
    <t>BSE-7</t>
  </si>
  <si>
    <t>BSE323</t>
  </si>
  <si>
    <t>Software Architecture &amp; Patterns</t>
  </si>
  <si>
    <t>04:00-06:00</t>
  </si>
  <si>
    <t>LLB-8</t>
  </si>
  <si>
    <t>LLB424</t>
  </si>
  <si>
    <t>International Law II</t>
  </si>
  <si>
    <t>LLB-6</t>
  </si>
  <si>
    <t>LLB327</t>
  </si>
  <si>
    <t>Insurance Law</t>
  </si>
  <si>
    <t>LLB322</t>
  </si>
  <si>
    <t>Jurisprudence II</t>
  </si>
  <si>
    <t>LLB123</t>
  </si>
  <si>
    <t>Criminal Law II</t>
  </si>
  <si>
    <t>Tue</t>
  </si>
  <si>
    <t>LLB223</t>
  </si>
  <si>
    <t>Evidence Law II</t>
  </si>
  <si>
    <t>LLB111</t>
  </si>
  <si>
    <t>Introducing Law</t>
  </si>
  <si>
    <t>LLB212</t>
  </si>
  <si>
    <t>Land Law I</t>
  </si>
  <si>
    <t>12:00-02:00</t>
  </si>
  <si>
    <t>LLB113</t>
  </si>
  <si>
    <t>Criminal Law I</t>
  </si>
  <si>
    <t>LLB-5</t>
  </si>
  <si>
    <t>LLB311</t>
  </si>
  <si>
    <t>Criminal Procedure</t>
  </si>
  <si>
    <t>LLB426</t>
  </si>
  <si>
    <t>Intellectual Property Law II</t>
  </si>
  <si>
    <t>LLB211</t>
  </si>
  <si>
    <t>Family Law I</t>
  </si>
  <si>
    <t>BBA-PL-6</t>
  </si>
  <si>
    <t>PLM324</t>
  </si>
  <si>
    <t>Strategic Procurement</t>
  </si>
  <si>
    <t>IRDS315</t>
  </si>
  <si>
    <t xml:space="preserve">International Development </t>
  </si>
  <si>
    <t>BBA116/DBA116</t>
  </si>
  <si>
    <t>Basic Statistics</t>
  </si>
  <si>
    <t>BIT-6</t>
  </si>
  <si>
    <t>BIT325</t>
  </si>
  <si>
    <t>Information Systems Audit</t>
  </si>
  <si>
    <t>IRDS323</t>
  </si>
  <si>
    <t>Strategic Intelligence, Modern Warfare and Human Rights</t>
  </si>
  <si>
    <t>LLB421</t>
  </si>
  <si>
    <t>Civil Procedure II</t>
  </si>
  <si>
    <t>LLB325</t>
  </si>
  <si>
    <t>Computers and the Law</t>
  </si>
  <si>
    <t>LLB125</t>
  </si>
  <si>
    <t>Nature &amp; History of Torts</t>
  </si>
  <si>
    <t>BIT-1,BCS-1,BSE-1,DIT-1,BPH-1</t>
  </si>
  <si>
    <t>BJC110</t>
  </si>
  <si>
    <t>Communication Skills and Learning Skills for Employability</t>
  </si>
  <si>
    <t>HRM325</t>
  </si>
  <si>
    <t>Industrial Psychology</t>
  </si>
  <si>
    <t>BBA-G-5</t>
  </si>
  <si>
    <t>BBA313</t>
  </si>
  <si>
    <t>Quality Systems Management</t>
  </si>
  <si>
    <t>HEC-1</t>
  </si>
  <si>
    <t>HEC113</t>
  </si>
  <si>
    <t>Reading and writing skills for beginners</t>
  </si>
  <si>
    <t>Fri</t>
  </si>
  <si>
    <t>BPH-1</t>
  </si>
  <si>
    <t>BPH114</t>
  </si>
  <si>
    <t>Introduction to Public Health and Ethics</t>
  </si>
  <si>
    <t>KG-28</t>
  </si>
  <si>
    <t>BBA-2,DBA-2</t>
  </si>
  <si>
    <t>BBA122/DBA122</t>
  </si>
  <si>
    <t>Quantitative Methods for Business</t>
  </si>
  <si>
    <t>BIT-1,BSE-1,BCS-1</t>
  </si>
  <si>
    <t>BIT111</t>
  </si>
  <si>
    <t>Discrete Mathematics</t>
  </si>
  <si>
    <t>IRDS114</t>
  </si>
  <si>
    <t>Protocol and Etiquette</t>
  </si>
  <si>
    <t>BBA-HRM-5</t>
  </si>
  <si>
    <t>HRM315</t>
  </si>
  <si>
    <t>Human Resource Training and Development</t>
  </si>
  <si>
    <t>BIT110</t>
  </si>
  <si>
    <t>Introduction to Information and Communication Technologies</t>
  </si>
  <si>
    <t>HEC-2A</t>
  </si>
  <si>
    <t>HEC125</t>
  </si>
  <si>
    <t>Basic Entrepreneurial skills-Elective</t>
  </si>
  <si>
    <t>KG-14</t>
  </si>
  <si>
    <t>BSE-4</t>
  </si>
  <si>
    <t>BSE222</t>
  </si>
  <si>
    <t>Advanced Object Oriented Programming</t>
  </si>
  <si>
    <t>SI-212</t>
  </si>
  <si>
    <t>BSE414</t>
  </si>
  <si>
    <t>Computer Games Development</t>
  </si>
  <si>
    <t>COM324</t>
  </si>
  <si>
    <t xml:space="preserve">Machine Learning </t>
  </si>
  <si>
    <t>FOA122</t>
  </si>
  <si>
    <t>Introduction to Critical thinking</t>
  </si>
  <si>
    <t>DBA-4</t>
  </si>
  <si>
    <t>DBA221</t>
  </si>
  <si>
    <t>Auditing</t>
  </si>
  <si>
    <t>BBA-4</t>
  </si>
  <si>
    <t>BBF222</t>
  </si>
  <si>
    <t>Financial Management</t>
  </si>
  <si>
    <t>IRDS316</t>
  </si>
  <si>
    <t>Global Geopolitical Analysis</t>
  </si>
  <si>
    <t>BPH-6,BBA-G-6,BBA-HRM-6,BPAM-6</t>
  </si>
  <si>
    <t>BBA322</t>
  </si>
  <si>
    <t>Project Planning and Management</t>
  </si>
  <si>
    <t>FOU114</t>
  </si>
  <si>
    <t>English</t>
  </si>
  <si>
    <t>BBA-BF-1,BBA-AF-1,BJC-1,BPAM-1,BIRDS-1,DBA-1</t>
  </si>
  <si>
    <t>BBA315</t>
  </si>
  <si>
    <t>Marketing Strategy</t>
  </si>
  <si>
    <t>BCS-1,DIT-2,BSE-1</t>
  </si>
  <si>
    <t>COM113</t>
  </si>
  <si>
    <t>Computer Architecture and Organisation</t>
  </si>
  <si>
    <t>SI-012</t>
  </si>
  <si>
    <t>BSE321</t>
  </si>
  <si>
    <t>Software Metrics</t>
  </si>
  <si>
    <t>LLB324</t>
  </si>
  <si>
    <t>Alternative Dispute Resolution</t>
  </si>
  <si>
    <t>LLB122</t>
  </si>
  <si>
    <t xml:space="preserve">Constitutional Law </t>
  </si>
  <si>
    <t>LLB312</t>
  </si>
  <si>
    <t>Business Associations I</t>
  </si>
  <si>
    <t>BBA-PL-5</t>
  </si>
  <si>
    <t>PLM313</t>
  </si>
  <si>
    <t>Risk Management in Purchasing</t>
  </si>
  <si>
    <t>LLB225</t>
  </si>
  <si>
    <t>Social Research</t>
  </si>
  <si>
    <t>BPH-3</t>
  </si>
  <si>
    <t>EHS214</t>
  </si>
  <si>
    <t>Principles of Demography and Population Dynamics</t>
  </si>
  <si>
    <t>BBA-AF-6</t>
  </si>
  <si>
    <t>BAC327</t>
  </si>
  <si>
    <t>Treasury Management</t>
  </si>
  <si>
    <t>KG-13</t>
  </si>
  <si>
    <t>IRDS313</t>
  </si>
  <si>
    <t>International Justice Mechanisms and International Criminal Justice</t>
  </si>
  <si>
    <t>BCS-4,BSE-3,BIT-3</t>
  </si>
  <si>
    <t>BIT215</t>
  </si>
  <si>
    <t>Database Development and Management 2</t>
  </si>
  <si>
    <t>LLB224</t>
  </si>
  <si>
    <t>Administrative Law</t>
  </si>
  <si>
    <t>LLB416</t>
  </si>
  <si>
    <t>Intellectual Property Law I</t>
  </si>
  <si>
    <t>LLB314</t>
  </si>
  <si>
    <t>Sale of Goods</t>
  </si>
  <si>
    <t>11:00-01:00</t>
  </si>
  <si>
    <t>LLB323</t>
  </si>
  <si>
    <t>Business Associations II</t>
  </si>
  <si>
    <t>LLB315</t>
  </si>
  <si>
    <t>Law of Banking</t>
  </si>
  <si>
    <t>LLB422</t>
  </si>
  <si>
    <t>Revenue Law and Taxation II</t>
  </si>
  <si>
    <t>LLB214</t>
  </si>
  <si>
    <t>Negligence &amp; Strict Liability</t>
  </si>
  <si>
    <t>Mootcourt</t>
  </si>
  <si>
    <t>LLB221</t>
  </si>
  <si>
    <t>Family Law II</t>
  </si>
  <si>
    <t>LAB</t>
  </si>
  <si>
    <t>4:00-06:00</t>
  </si>
  <si>
    <t>BIRDS-2,BPAM-4</t>
  </si>
  <si>
    <t>IRDS122/BPA225</t>
  </si>
  <si>
    <t xml:space="preserve">Government and Politics in Africa  </t>
  </si>
  <si>
    <t>BBA113/DBA113</t>
  </si>
  <si>
    <t>Business Administration</t>
  </si>
  <si>
    <t>BSE-1</t>
  </si>
  <si>
    <t>BSE111</t>
  </si>
  <si>
    <t>Calculus for software engineering</t>
  </si>
  <si>
    <t>FOU113</t>
  </si>
  <si>
    <t>Introduction to development studies</t>
  </si>
  <si>
    <t>DBA222</t>
  </si>
  <si>
    <t>BBA-AF-1,BBA-BF-1,BIT-1,BCS-1,DBA-1</t>
  </si>
  <si>
    <t>BPH-6</t>
  </si>
  <si>
    <t>BPH324</t>
  </si>
  <si>
    <t>Mental Health [ Elective]</t>
  </si>
  <si>
    <t>BSE-5</t>
  </si>
  <si>
    <t>BSE314</t>
  </si>
  <si>
    <t>Internet of things</t>
  </si>
  <si>
    <t>BSE226</t>
  </si>
  <si>
    <t>Software Requirements Engineering</t>
  </si>
  <si>
    <t>LLB411</t>
  </si>
  <si>
    <t>Civil Procedure I</t>
  </si>
  <si>
    <t>BPH212</t>
  </si>
  <si>
    <t>Principles of Environmental Health</t>
  </si>
  <si>
    <t>DBA-3</t>
  </si>
  <si>
    <t>DBA216</t>
  </si>
  <si>
    <t>Procurement Management</t>
  </si>
  <si>
    <t>BJC125</t>
  </si>
  <si>
    <t>History of the Media and Communication</t>
  </si>
  <si>
    <t>BPAM-3,BIRDS-3</t>
  </si>
  <si>
    <t>BPA125/IRDS214</t>
  </si>
  <si>
    <t>Gender in Public Admin | Gender in IRD</t>
  </si>
  <si>
    <t>BBA-G-5,HRM-5,BBA-2,DBA-2</t>
  </si>
  <si>
    <t>BBA311/DBA127</t>
  </si>
  <si>
    <t>Principles of Management</t>
  </si>
  <si>
    <t>BIT-5,BCS-4</t>
  </si>
  <si>
    <t>BIS313</t>
  </si>
  <si>
    <t>Business Systems Modelling</t>
  </si>
  <si>
    <t>BJC-3</t>
  </si>
  <si>
    <t>BJC225</t>
  </si>
  <si>
    <t>Development Communication</t>
  </si>
  <si>
    <t>BPH-2</t>
  </si>
  <si>
    <t>BPH122</t>
  </si>
  <si>
    <t>Public Health Microbiology and Disease Surveillance</t>
  </si>
  <si>
    <t>BBA-AF-5,BF-5</t>
  </si>
  <si>
    <t>BBA314</t>
  </si>
  <si>
    <t>Investment Analysis</t>
  </si>
  <si>
    <t>BPH-4</t>
  </si>
  <si>
    <t>BPH222</t>
  </si>
  <si>
    <t>Principles of Health Education and Advocacy</t>
  </si>
  <si>
    <t>KG-LAB-29</t>
  </si>
  <si>
    <t>PLM322</t>
  </si>
  <si>
    <t>Sustainable Purchasing</t>
  </si>
  <si>
    <t>BPH112</t>
  </si>
  <si>
    <t>Health and Health Behavior</t>
  </si>
  <si>
    <t>KG-27</t>
  </si>
  <si>
    <t>DIT-4</t>
  </si>
  <si>
    <t>DIT224</t>
  </si>
  <si>
    <t>Introduction to Multimedia Systems</t>
  </si>
  <si>
    <t>IRDS124</t>
  </si>
  <si>
    <t xml:space="preserve">International Law </t>
  </si>
  <si>
    <t>BPH321</t>
  </si>
  <si>
    <t>Health Economics and Financing</t>
  </si>
  <si>
    <t>BIT-2,BSE-2,DIT-2,BCS-3</t>
  </si>
  <si>
    <t>BIT121/BSE121</t>
  </si>
  <si>
    <t>Database Dvelopment &amp; Management I/Fundamentals of Database Systems</t>
  </si>
  <si>
    <t>BBA-3,DBA-3</t>
  </si>
  <si>
    <t>BBA216</t>
  </si>
  <si>
    <t>Operations Management</t>
  </si>
  <si>
    <t>BJC-6</t>
  </si>
  <si>
    <t>BJC325</t>
  </si>
  <si>
    <t>Environmental Journalism</t>
  </si>
  <si>
    <t>FOS125</t>
  </si>
  <si>
    <t>Foundation Statistics</t>
  </si>
  <si>
    <t>BSE-7,BCS-4</t>
  </si>
  <si>
    <t>BSE412</t>
  </si>
  <si>
    <t>Embedded Systems Development</t>
  </si>
  <si>
    <t>BIRDS-4</t>
  </si>
  <si>
    <t>IRDS223</t>
  </si>
  <si>
    <t>Comparative Political Systems</t>
  </si>
  <si>
    <t>BBA-AF-1,BBA-BF-1,DBA-1</t>
  </si>
  <si>
    <t>BPA213</t>
  </si>
  <si>
    <t>Regional planning and Management</t>
  </si>
  <si>
    <t>BJC-5</t>
  </si>
  <si>
    <t>BJC313</t>
  </si>
  <si>
    <t>Television Production</t>
  </si>
  <si>
    <t>BPH216</t>
  </si>
  <si>
    <t xml:space="preserve">Principles of Disease Control </t>
  </si>
  <si>
    <t>BBA-AF-5,BF-5,G-5</t>
  </si>
  <si>
    <t>BBF316</t>
  </si>
  <si>
    <t>Public Finance</t>
  </si>
  <si>
    <t>DBA223</t>
  </si>
  <si>
    <t>Taxation</t>
  </si>
  <si>
    <t>EHS223</t>
  </si>
  <si>
    <t>KG-29</t>
  </si>
  <si>
    <t>BCS-6</t>
  </si>
  <si>
    <t>COM323</t>
  </si>
  <si>
    <t>Computer graphics</t>
  </si>
  <si>
    <t>BSE221</t>
  </si>
  <si>
    <t>Formal Methods in Software Engineering</t>
  </si>
  <si>
    <t>DBA-2</t>
  </si>
  <si>
    <t>DBA126</t>
  </si>
  <si>
    <t>Stores and Inventory Management</t>
  </si>
  <si>
    <t>FOA123</t>
  </si>
  <si>
    <t>Business Administration -Elective</t>
  </si>
  <si>
    <t>BJC322</t>
  </si>
  <si>
    <t>Newspaper and Magazine design</t>
  </si>
  <si>
    <t>KG-4</t>
  </si>
  <si>
    <t>BJC323</t>
  </si>
  <si>
    <t>Radio Production</t>
  </si>
  <si>
    <t>LLB413</t>
  </si>
  <si>
    <t>International Law I</t>
  </si>
  <si>
    <t>LLB313</t>
  </si>
  <si>
    <t>Jurisprudence I</t>
  </si>
  <si>
    <t xml:space="preserve">Criminal Law II </t>
  </si>
  <si>
    <t>LLB115</t>
  </si>
  <si>
    <t>Law &amp; Development</t>
  </si>
  <si>
    <t>LLB414</t>
  </si>
  <si>
    <t>Labour Law</t>
  </si>
  <si>
    <t>12:30-02:00</t>
  </si>
  <si>
    <t>BJC128</t>
  </si>
  <si>
    <t>Computer Applications for Media</t>
  </si>
  <si>
    <t>BCS-4,BIT-4,BSE-4</t>
  </si>
  <si>
    <t>BIT222</t>
  </si>
  <si>
    <t>Research Methodology in Computing</t>
  </si>
  <si>
    <t>BBA-3</t>
  </si>
  <si>
    <t>BBA212</t>
  </si>
  <si>
    <t xml:space="preserve">Organisational Behavior </t>
  </si>
  <si>
    <t>BBA-BF-6</t>
  </si>
  <si>
    <t>BSF323</t>
  </si>
  <si>
    <t>Security Analysis and Portfolio Management</t>
  </si>
  <si>
    <t>BPAM-2</t>
  </si>
  <si>
    <t>BPA123</t>
  </si>
  <si>
    <t>Decentralization and Local Government Administration</t>
  </si>
  <si>
    <t>BBA115</t>
  </si>
  <si>
    <t>Financial Accounting</t>
  </si>
  <si>
    <t>BBA323</t>
  </si>
  <si>
    <t>Business Risk Management</t>
  </si>
  <si>
    <t>BPA312</t>
  </si>
  <si>
    <t>Public Policy, Planning Analysis and Management</t>
  </si>
  <si>
    <t>BBA-BF-1,BBA-AF-1,DBA-1,BJC-1,BPAM-1,BIRDS-1</t>
  </si>
  <si>
    <t>BBA125/DBA125</t>
  </si>
  <si>
    <t>Business Law</t>
  </si>
  <si>
    <t>BJC326</t>
  </si>
  <si>
    <t>Media, Human rights and Gender</t>
  </si>
  <si>
    <t>BCS-3,BSE-3</t>
  </si>
  <si>
    <t>COM212</t>
  </si>
  <si>
    <t>Data Structures and Algorithms</t>
  </si>
  <si>
    <t>DIT114</t>
  </si>
  <si>
    <t>Fundamentals of Mathematics</t>
  </si>
  <si>
    <t>HEC128</t>
  </si>
  <si>
    <t>Life Skills Education</t>
  </si>
  <si>
    <t>BJC212</t>
  </si>
  <si>
    <t xml:space="preserve">Advanced Writing   </t>
  </si>
  <si>
    <t>BPA122</t>
  </si>
  <si>
    <t>Governance and Public Sector Management</t>
  </si>
  <si>
    <t>BJC311</t>
  </si>
  <si>
    <t>The Art of Public Speaking</t>
  </si>
  <si>
    <t>BJC-1,BPAM-1,BIRDS-1</t>
  </si>
  <si>
    <t>BJC116</t>
  </si>
  <si>
    <t>Basic Academic Writing Skills</t>
  </si>
  <si>
    <t>HRM314</t>
  </si>
  <si>
    <t>Human Resource Policy and Management</t>
  </si>
  <si>
    <t>BPH-5</t>
  </si>
  <si>
    <t>BPH313</t>
  </si>
  <si>
    <t>Family and Reproductive Health</t>
  </si>
  <si>
    <t>BPAM-6</t>
  </si>
  <si>
    <t>BPA324</t>
  </si>
  <si>
    <t>Ethics and Professionalism in Public Administration</t>
  </si>
  <si>
    <t>FOA121</t>
  </si>
  <si>
    <t>Principles of  Accounting -Elective</t>
  </si>
  <si>
    <t>BBA-PL-5,G-5</t>
  </si>
  <si>
    <t>PLM314</t>
  </si>
  <si>
    <t>Business Negotiations</t>
  </si>
  <si>
    <t>BPH215</t>
  </si>
  <si>
    <t xml:space="preserve">Principles of Health Promotion </t>
  </si>
  <si>
    <t>HEC-S1</t>
  </si>
  <si>
    <t>FOS111</t>
  </si>
  <si>
    <t>Foundation Physics and Inorganic Chemistry</t>
  </si>
  <si>
    <t>KG-LAB-30</t>
  </si>
  <si>
    <t>BSE-4,BCS-4</t>
  </si>
  <si>
    <t>BSE224</t>
  </si>
  <si>
    <t>Python Engineering</t>
  </si>
  <si>
    <t>BPA316</t>
  </si>
  <si>
    <t>Management of Public Enterprises</t>
  </si>
  <si>
    <t>KG-33</t>
  </si>
  <si>
    <t>IRDS312</t>
  </si>
  <si>
    <t>Displaced Person and Forced Migration studies</t>
  </si>
  <si>
    <t>BIRDS-3</t>
  </si>
  <si>
    <t>IRDS216</t>
  </si>
  <si>
    <t>International Investment, Trade and Business Management</t>
  </si>
  <si>
    <t>BJC-6-PR</t>
  </si>
  <si>
    <t>BPR321</t>
  </si>
  <si>
    <t>International Public Relations and Diplomacy</t>
  </si>
  <si>
    <t>KG-5</t>
  </si>
  <si>
    <t>BBA-BF-6,AF-6,G-6</t>
  </si>
  <si>
    <t>BBA321</t>
  </si>
  <si>
    <t>Auditing II</t>
  </si>
  <si>
    <t>BBA223</t>
  </si>
  <si>
    <t>Taxation I</t>
  </si>
  <si>
    <t>BJC321</t>
  </si>
  <si>
    <t>Journalism Safety</t>
  </si>
  <si>
    <t>COM322</t>
  </si>
  <si>
    <t>Analysis and Design of Algorithm</t>
  </si>
  <si>
    <t>BPAM-4</t>
  </si>
  <si>
    <t>BPA222</t>
  </si>
  <si>
    <t>Comparative Public Administration</t>
  </si>
  <si>
    <t>BJC127</t>
  </si>
  <si>
    <t>Introduction to Media  writing</t>
  </si>
  <si>
    <t>BIT-4,DIT-3</t>
  </si>
  <si>
    <t>BIT225</t>
  </si>
  <si>
    <t>Emerging Trends in Information Technology</t>
  </si>
  <si>
    <t>BIT-5,BCS-5,BSE-5</t>
  </si>
  <si>
    <t>BIT314</t>
  </si>
  <si>
    <t>Network Configuration and Management</t>
  </si>
  <si>
    <t>BBA-3,DBA-3,BIT-3,BSE-7</t>
  </si>
  <si>
    <t>BBA214/DBA213/AGM212</t>
  </si>
  <si>
    <t>Entrepreneurship and e-commerce</t>
  </si>
  <si>
    <t>IRDS211</t>
  </si>
  <si>
    <t>Africa and International Relations</t>
  </si>
  <si>
    <t>BPH113</t>
  </si>
  <si>
    <t>Human Biology</t>
  </si>
  <si>
    <t>BBA-AF-5</t>
  </si>
  <si>
    <t>BAC313</t>
  </si>
  <si>
    <t>Advanced Accounting I</t>
  </si>
  <si>
    <t>FOU110</t>
  </si>
  <si>
    <t>Foundational Mathematics</t>
  </si>
  <si>
    <t>BJC324</t>
  </si>
  <si>
    <t>Politics of  Developments</t>
  </si>
  <si>
    <t>BJC217</t>
  </si>
  <si>
    <t>Media and Communication Theories</t>
  </si>
  <si>
    <t>BJC112</t>
  </si>
  <si>
    <t>Introduction to Behavioral Science</t>
  </si>
  <si>
    <t>BBA211</t>
  </si>
  <si>
    <t>Managerial Accounting</t>
  </si>
  <si>
    <t>BBA-PL-6,BPAM-5</t>
  </si>
  <si>
    <t>PLM325</t>
  </si>
  <si>
    <t>Public and Private Procurement Management</t>
  </si>
  <si>
    <t>BPA211</t>
  </si>
  <si>
    <t>Leadership and Change Management</t>
  </si>
  <si>
    <t>FOA120</t>
  </si>
  <si>
    <t>Foundation in Law -Elective</t>
  </si>
  <si>
    <t>IRDS111</t>
  </si>
  <si>
    <t xml:space="preserve">Introduction to International Relations </t>
  </si>
  <si>
    <t>BJC221</t>
  </si>
  <si>
    <t>Principles of Advertising</t>
  </si>
  <si>
    <t>BBA123/DBA128</t>
  </si>
  <si>
    <t>Macroeconomics</t>
  </si>
  <si>
    <t>BPH311</t>
  </si>
  <si>
    <t>Community Health Practice</t>
  </si>
  <si>
    <t>PLM316</t>
  </si>
  <si>
    <t>Legal Aspects of Purchasing</t>
  </si>
  <si>
    <t>BJC314</t>
  </si>
  <si>
    <t>Multimedia and Animation</t>
  </si>
  <si>
    <t>COM122</t>
  </si>
  <si>
    <t>Principles of Programming</t>
  </si>
  <si>
    <t>BBA221</t>
  </si>
  <si>
    <t>Strategic Management</t>
  </si>
  <si>
    <t>BPR326</t>
  </si>
  <si>
    <t>Introduction to Public Relation Consultancy</t>
  </si>
  <si>
    <t>BIT-6,BCS-6</t>
  </si>
  <si>
    <t>BIT324</t>
  </si>
  <si>
    <t>Network and Information Security</t>
  </si>
  <si>
    <t>BBA312</t>
  </si>
  <si>
    <t>Business Strategy</t>
  </si>
  <si>
    <t>BSE411</t>
  </si>
  <si>
    <t>Software Quality Assurance and Testing</t>
  </si>
  <si>
    <t>BAC316</t>
  </si>
  <si>
    <t>Computerized  Accounting I</t>
  </si>
  <si>
    <t>BPA124</t>
  </si>
  <si>
    <t>Organisational Psychology</t>
  </si>
  <si>
    <t>HEC122</t>
  </si>
  <si>
    <t>Ethical Practice and Professionalism</t>
  </si>
  <si>
    <t>BAC322</t>
  </si>
  <si>
    <t>Advanced Accounting II</t>
  </si>
  <si>
    <t>PLM315</t>
  </si>
  <si>
    <t xml:space="preserve">Global Purchasing and Supply Chain Management </t>
  </si>
  <si>
    <t>BPH221</t>
  </si>
  <si>
    <t>Public Health in Emergency Situations</t>
  </si>
  <si>
    <t>IRDS317</t>
  </si>
  <si>
    <t xml:space="preserve">Civil Military Relations </t>
  </si>
  <si>
    <t>IRDS224</t>
  </si>
  <si>
    <t>International Politics of the Environment</t>
  </si>
  <si>
    <t>IRDS322</t>
  </si>
  <si>
    <t>Africa and Contemporary International Security</t>
  </si>
  <si>
    <t>BJC213</t>
  </si>
  <si>
    <t>Media and Communication Policy</t>
  </si>
  <si>
    <t>BIT-2,DIT-2</t>
  </si>
  <si>
    <t>BIT123</t>
  </si>
  <si>
    <t>Computer Applications</t>
  </si>
  <si>
    <t>BBF326</t>
  </si>
  <si>
    <t>International Finance</t>
  </si>
  <si>
    <t>BPAM-1</t>
  </si>
  <si>
    <t>BPA116</t>
  </si>
  <si>
    <t>Theory and Management of Organisations</t>
  </si>
  <si>
    <t>BCS-3,DCS-3,BSE-3,BIT-3</t>
  </si>
  <si>
    <t>COM211</t>
  </si>
  <si>
    <t>Object oriented programming</t>
  </si>
  <si>
    <t>BJC315</t>
  </si>
  <si>
    <t>Investigative Journalism</t>
  </si>
  <si>
    <t>BPA217</t>
  </si>
  <si>
    <t xml:space="preserve">Development Public Administration and Management </t>
  </si>
  <si>
    <t>HRM312</t>
  </si>
  <si>
    <t>Benefits and Compensation</t>
  </si>
  <si>
    <t>BPR325</t>
  </si>
  <si>
    <t>Media and Identity</t>
  </si>
  <si>
    <t>PLM321</t>
  </si>
  <si>
    <t>Insurance Fundamentals</t>
  </si>
  <si>
    <t>BJC229</t>
  </si>
  <si>
    <t>Commercial Photography</t>
  </si>
  <si>
    <t>LLB114</t>
  </si>
  <si>
    <t>Law of Contract I</t>
  </si>
  <si>
    <t>BIT-6,DIT-4,BCS-6,DCS-4</t>
  </si>
  <si>
    <t>BIT321</t>
  </si>
  <si>
    <t>Professional Issues in Computing</t>
  </si>
  <si>
    <t>BAC215</t>
  </si>
  <si>
    <t>Auditing I</t>
  </si>
  <si>
    <t>EHS313</t>
  </si>
  <si>
    <t>Health Monitoring and Evaluation</t>
  </si>
  <si>
    <t>BJC122</t>
  </si>
  <si>
    <t>Introduction to Public Relations</t>
  </si>
  <si>
    <t>DBA-3,BIT-2</t>
  </si>
  <si>
    <t>BIT125/DBA212</t>
  </si>
  <si>
    <t>Information Systems Management</t>
  </si>
  <si>
    <t>BCS-2,BSE-2</t>
  </si>
  <si>
    <t>COM123</t>
  </si>
  <si>
    <t>Numerical Analysis and Computation</t>
  </si>
  <si>
    <t>EHS112</t>
  </si>
  <si>
    <t xml:space="preserve">Principles of Epidemiology </t>
  </si>
  <si>
    <t>IRDS217</t>
  </si>
  <si>
    <t>Religion, Conflict and Peace Studies</t>
  </si>
  <si>
    <t>BPH-4,BJC-4,BIRDS-4,DBA-4,BPAM-4</t>
  </si>
  <si>
    <t>RSC001</t>
  </si>
  <si>
    <t>Research Methodology</t>
  </si>
  <si>
    <t>BBA224</t>
  </si>
  <si>
    <t>Business Ethics</t>
  </si>
  <si>
    <t>BPA216</t>
  </si>
  <si>
    <t>Human and Social Servises Systems</t>
  </si>
  <si>
    <t>BBA317</t>
  </si>
  <si>
    <t>Taxation II</t>
  </si>
  <si>
    <t>BJC124</t>
  </si>
  <si>
    <t>News Writing &amp; Reporting</t>
  </si>
  <si>
    <t>BIT312/BSE311</t>
  </si>
  <si>
    <t>Mobile Application Development/Mobile Application Development 1</t>
  </si>
  <si>
    <t>HEC111</t>
  </si>
  <si>
    <t>Computing and Study Skills</t>
  </si>
  <si>
    <t>FOS126</t>
  </si>
  <si>
    <t>Foundation Physics II</t>
  </si>
  <si>
    <t>BAC314</t>
  </si>
  <si>
    <t>Public Sector Accounting</t>
  </si>
  <si>
    <t>BPH314</t>
  </si>
  <si>
    <t>Social Marketing for Health</t>
  </si>
  <si>
    <t>BJC312</t>
  </si>
  <si>
    <t>Public Relations and Media Practice</t>
  </si>
  <si>
    <t>FOS112</t>
  </si>
  <si>
    <t>Foundation Physics I</t>
  </si>
  <si>
    <t>EHS121</t>
  </si>
  <si>
    <t>Biostatistics</t>
  </si>
  <si>
    <t>BPA112</t>
  </si>
  <si>
    <t>Public Finance Administration and Management</t>
  </si>
  <si>
    <t>BJC226</t>
  </si>
  <si>
    <t>Media Law &amp; Ethics</t>
  </si>
  <si>
    <t>IRDS128</t>
  </si>
  <si>
    <t xml:space="preserve">The United Nations Systems   </t>
  </si>
  <si>
    <t>RSC001-B</t>
  </si>
  <si>
    <t>BBA-BF-6,G-6,HRM-6</t>
  </si>
  <si>
    <t>BBA324</t>
  </si>
  <si>
    <t>Managing Change in Organisations</t>
  </si>
  <si>
    <t>BCS-1</t>
  </si>
  <si>
    <t>COM111</t>
  </si>
  <si>
    <t>Mathematics for Computing</t>
  </si>
  <si>
    <t>IRDS222</t>
  </si>
  <si>
    <t xml:space="preserve">Foreign Policy Analysis </t>
  </si>
  <si>
    <t xml:space="preserve">BPH224  </t>
  </si>
  <si>
    <t>Health Policies and Laws</t>
  </si>
  <si>
    <t>BBA-BF-5</t>
  </si>
  <si>
    <t>BBF315</t>
  </si>
  <si>
    <t>Corporate and Merchant Banking</t>
  </si>
  <si>
    <t>HRM313</t>
  </si>
  <si>
    <t>Organisational Environment Management</t>
  </si>
  <si>
    <t>BIT-6,BSE-6,DCS-4</t>
  </si>
  <si>
    <t>BIT323</t>
  </si>
  <si>
    <t>User Interface Design</t>
  </si>
  <si>
    <t>BBA-PL-5,BBA-2</t>
  </si>
  <si>
    <t>PLM311</t>
  </si>
  <si>
    <t>Principles of Procurement and Logistics Management</t>
  </si>
  <si>
    <t>BBF325</t>
  </si>
  <si>
    <t xml:space="preserve">Banking Law </t>
  </si>
  <si>
    <t>BPR324</t>
  </si>
  <si>
    <t>Media and conflict management</t>
  </si>
  <si>
    <t>BIT223</t>
  </si>
  <si>
    <t>Computer Repair and Maintenance</t>
  </si>
  <si>
    <t>IRDS225</t>
  </si>
  <si>
    <t>Conflict Resolution, Management and Transformation</t>
  </si>
  <si>
    <t>BBF311</t>
  </si>
  <si>
    <t>Banking Technologies and Systems Management</t>
  </si>
  <si>
    <t>BPH124</t>
  </si>
  <si>
    <t xml:space="preserve">Diseases of Public Health Importance </t>
  </si>
  <si>
    <t>BPR323</t>
  </si>
  <si>
    <t>Politics of  Communication and Propaganda</t>
  </si>
  <si>
    <t>BIT322</t>
  </si>
  <si>
    <t>Distributed System Development</t>
  </si>
  <si>
    <t>HRM311</t>
  </si>
  <si>
    <t>Human Resource Information System</t>
  </si>
  <si>
    <t>BPH-6,BPH-3</t>
  </si>
  <si>
    <t>BPH323</t>
  </si>
  <si>
    <t>Health Informatics [ Elective]</t>
  </si>
  <si>
    <t>BAC326</t>
  </si>
  <si>
    <t>Computerized Accounting II</t>
  </si>
  <si>
    <t>IRDS321</t>
  </si>
  <si>
    <t>Ethics in international relations</t>
  </si>
  <si>
    <t>BIRDS-2,BPAM-2</t>
  </si>
  <si>
    <t>IRDS125/BPA126</t>
  </si>
  <si>
    <t>International Political Economy</t>
  </si>
  <si>
    <t>BPA322</t>
  </si>
  <si>
    <t>Disaster Preparedness and Management</t>
  </si>
  <si>
    <t>BBA124/DBA124</t>
  </si>
  <si>
    <t>Principles of Marketing</t>
  </si>
  <si>
    <t>BJC214</t>
  </si>
  <si>
    <t>Photojournalism</t>
  </si>
  <si>
    <t>BPAM-1,BIRDS-3</t>
  </si>
  <si>
    <t>BPA111</t>
  </si>
  <si>
    <t>Public Administration and Management</t>
  </si>
  <si>
    <t>PLM312</t>
  </si>
  <si>
    <t>Contract Management and Administration</t>
  </si>
  <si>
    <t>BBA-3,DBA-3,BPAM-5</t>
  </si>
  <si>
    <t>BBA215/DBA215</t>
  </si>
  <si>
    <t>Human Resource Management</t>
  </si>
  <si>
    <t>BCS-3,DIT-4,DCS-4,BSE-3,BIT-3</t>
  </si>
  <si>
    <t>BIT214</t>
  </si>
  <si>
    <t>Computer Networks and Data Communications</t>
  </si>
  <si>
    <t>BBF322</t>
  </si>
  <si>
    <t>Regulatory Framework of Financial Institutions</t>
  </si>
  <si>
    <t>BPH121</t>
  </si>
  <si>
    <t>First Aid and Emergency Rescue</t>
  </si>
  <si>
    <t>BPR322</t>
  </si>
  <si>
    <t>PR Strategies, Planning and Programming</t>
  </si>
  <si>
    <t>EHS322</t>
  </si>
  <si>
    <t>Health Policy Planning and Management</t>
  </si>
  <si>
    <t>BJC123</t>
  </si>
  <si>
    <t>Introduction to Broadcasting</t>
  </si>
  <si>
    <t>IRDS215</t>
  </si>
  <si>
    <t>Regional Integration and Globalization</t>
  </si>
  <si>
    <t>IRDS324</t>
  </si>
  <si>
    <t>Cyber Security and International Security</t>
  </si>
  <si>
    <t>BIT-5,BSE-6</t>
  </si>
  <si>
    <t>BIT313</t>
  </si>
  <si>
    <t>Communication Systems</t>
  </si>
  <si>
    <t>BPH211</t>
  </si>
  <si>
    <t>Public Health Nutrition</t>
  </si>
  <si>
    <t>IRDS227</t>
  </si>
  <si>
    <t>Advanced Theory of Diplomacy</t>
  </si>
  <si>
    <t>BPA313</t>
  </si>
  <si>
    <t>Civil Society Development and NGOs Management</t>
  </si>
  <si>
    <t>NGO316</t>
  </si>
  <si>
    <t>Resource Mobilization and Grants Administration</t>
  </si>
  <si>
    <t>COM311</t>
  </si>
  <si>
    <t>Compiler Design</t>
  </si>
  <si>
    <t>BPA325</t>
  </si>
  <si>
    <t>Human Rights and Social Justice</t>
  </si>
  <si>
    <t>PLM323</t>
  </si>
  <si>
    <t>Material and Warehousing Operations</t>
  </si>
  <si>
    <t>BBF313</t>
  </si>
  <si>
    <t>Banking Operations</t>
  </si>
  <si>
    <t>BJC211</t>
  </si>
  <si>
    <t>Audience Analysis and Media Research</t>
  </si>
  <si>
    <t xml:space="preserve">BPA226 </t>
  </si>
  <si>
    <t xml:space="preserve">Demography and Population Studies </t>
  </si>
  <si>
    <t>Sat</t>
  </si>
  <si>
    <t>LLM726</t>
  </si>
  <si>
    <t>Intellectual Property II</t>
  </si>
  <si>
    <t>BBA-1W</t>
  </si>
  <si>
    <t>BBA-3W</t>
  </si>
  <si>
    <t>BEHS-5</t>
  </si>
  <si>
    <t>BEHS-1</t>
  </si>
  <si>
    <t>Principles of Epidemiology</t>
  </si>
  <si>
    <t>MBA-M</t>
  </si>
  <si>
    <t>MBA815</t>
  </si>
  <si>
    <t>Organisational Leadership</t>
  </si>
  <si>
    <t>SI-102</t>
  </si>
  <si>
    <t>Lab</t>
  </si>
  <si>
    <t>MPH-2</t>
  </si>
  <si>
    <t>MPH721</t>
  </si>
  <si>
    <t>Infectious and Non-infectious Diseases Control</t>
  </si>
  <si>
    <t>MBA-HRM,MPM-2,MED-3</t>
  </si>
  <si>
    <t>MBA727</t>
  </si>
  <si>
    <t>MBA-1,MIRDS-2,MSS-1,MPM-1,MED-1</t>
  </si>
  <si>
    <t>RSC003</t>
  </si>
  <si>
    <t>Research Methodology and Consultancy</t>
  </si>
  <si>
    <t>BEHS-4</t>
  </si>
  <si>
    <t>EHS222</t>
  </si>
  <si>
    <t>Town and Country Planning</t>
  </si>
  <si>
    <t>BEHS-2</t>
  </si>
  <si>
    <t>EHS124</t>
  </si>
  <si>
    <t>Introduction to Hydrology and Hydraulics</t>
  </si>
  <si>
    <t>BEHS-3</t>
  </si>
  <si>
    <t>EHS212</t>
  </si>
  <si>
    <t>Environmental Pollution</t>
  </si>
  <si>
    <t>BBA-2W</t>
  </si>
  <si>
    <t>Sun</t>
  </si>
  <si>
    <t>MED-3</t>
  </si>
  <si>
    <t>MED812</t>
  </si>
  <si>
    <t>Educational Policy Making and Analysis</t>
  </si>
  <si>
    <t>MSS-3</t>
  </si>
  <si>
    <t>MSS813</t>
  </si>
  <si>
    <t xml:space="preserve">Geopolitical Studies, Global Peace and Security  </t>
  </si>
  <si>
    <t>MSS-2</t>
  </si>
  <si>
    <t>MSS724</t>
  </si>
  <si>
    <t>Natural Resources-Conflicts and Contemporary Wars</t>
  </si>
  <si>
    <t>SI-B12</t>
  </si>
  <si>
    <t>LLM-1</t>
  </si>
  <si>
    <t>LLM718</t>
  </si>
  <si>
    <t>Public International Law</t>
  </si>
  <si>
    <t>BEHS-6</t>
  </si>
  <si>
    <t>MBA-2</t>
  </si>
  <si>
    <t>MBA726</t>
  </si>
  <si>
    <t>LLM7210</t>
  </si>
  <si>
    <t>Forced migration and refugee law</t>
  </si>
  <si>
    <t>MPM-3</t>
  </si>
  <si>
    <t xml:space="preserve">MPM813 </t>
  </si>
  <si>
    <t>Project Implementation and Control</t>
  </si>
  <si>
    <t>MBA811</t>
  </si>
  <si>
    <t>Business Decision Techniques</t>
  </si>
  <si>
    <t>MPH722</t>
  </si>
  <si>
    <t xml:space="preserve">Environmental and Occupational Health   </t>
  </si>
  <si>
    <t>BEHS-4,BBA-4W</t>
  </si>
  <si>
    <t>MED-1</t>
  </si>
  <si>
    <t>MED714</t>
  </si>
  <si>
    <t xml:space="preserve">Economics of Education                            </t>
  </si>
  <si>
    <t>MBA-HRM,MED-3</t>
  </si>
  <si>
    <t>MHR814</t>
  </si>
  <si>
    <t>Human Resource Information Systems</t>
  </si>
  <si>
    <t>EHS122</t>
  </si>
  <si>
    <t>Solid and Hazardous Wastes management</t>
  </si>
  <si>
    <t>MBA-AF</t>
  </si>
  <si>
    <t>MBF817</t>
  </si>
  <si>
    <t>Auditing and Assurance</t>
  </si>
  <si>
    <t>MED-2</t>
  </si>
  <si>
    <t>MED722</t>
  </si>
  <si>
    <t>Ethics in Higher Education</t>
  </si>
  <si>
    <t>MSS722</t>
  </si>
  <si>
    <t>Anti-Terrorism and Counter-Terrorism Strategies</t>
  </si>
  <si>
    <t>MSS-1</t>
  </si>
  <si>
    <t>MSS714</t>
  </si>
  <si>
    <t>Forensic Science and National Security</t>
  </si>
  <si>
    <t>MIRDS-3</t>
  </si>
  <si>
    <t>MIR815</t>
  </si>
  <si>
    <t>Conflict and Peace Studies</t>
  </si>
  <si>
    <t>MBF811</t>
  </si>
  <si>
    <t>Taxation Management</t>
  </si>
  <si>
    <t>MPH-1,MBA-1,MPM-1</t>
  </si>
  <si>
    <t>MBA711/MPM715</t>
  </si>
  <si>
    <t>Finance for Managers,Strategic Financial Management</t>
  </si>
  <si>
    <t>EHS321</t>
  </si>
  <si>
    <t>Natural and Alternative Medicine</t>
  </si>
  <si>
    <t>MBA-PS</t>
  </si>
  <si>
    <t>MSC720</t>
  </si>
  <si>
    <t>Strategic International Business Management</t>
  </si>
  <si>
    <t>MPM-2</t>
  </si>
  <si>
    <t>MPM721</t>
  </si>
  <si>
    <t>Project Finance and Techniques</t>
  </si>
  <si>
    <t>Bisaso Rita Regina</t>
  </si>
  <si>
    <t>Dr.Ahabyoona Faith</t>
  </si>
  <si>
    <t>MED723</t>
  </si>
  <si>
    <t>Educational Planning and Administration</t>
  </si>
  <si>
    <t>MPH727</t>
  </si>
  <si>
    <t>Monitoring and Evaluation for Health</t>
  </si>
  <si>
    <t>MPH-3</t>
  </si>
  <si>
    <t>MPH813</t>
  </si>
  <si>
    <t>Health Policy Planning and Analysis</t>
  </si>
  <si>
    <t>MBA-1</t>
  </si>
  <si>
    <t>MBA725</t>
  </si>
  <si>
    <t>Economics for Managers</t>
  </si>
  <si>
    <t>MPM-2,MED-1</t>
  </si>
  <si>
    <t>MPM720</t>
  </si>
  <si>
    <t>Project Planning and Analysis</t>
  </si>
  <si>
    <t>MBA721</t>
  </si>
  <si>
    <t>MPH-1</t>
  </si>
  <si>
    <t>MPH715</t>
  </si>
  <si>
    <t>Fundamentals of Public Health</t>
  </si>
  <si>
    <t>EHS315</t>
  </si>
  <si>
    <t>Environmental Impact Assessment-Elective</t>
  </si>
  <si>
    <t>EHS316</t>
  </si>
  <si>
    <t>Global health-Elective</t>
  </si>
  <si>
    <t>MSS721</t>
  </si>
  <si>
    <t xml:space="preserve">Human Security and Contemporary Wars </t>
  </si>
  <si>
    <t>MIRDS-1,LLM</t>
  </si>
  <si>
    <t>MIR714</t>
  </si>
  <si>
    <t>International Humanitarian Law</t>
  </si>
  <si>
    <t>MIR812</t>
  </si>
  <si>
    <t>The Politics of Intervention</t>
  </si>
  <si>
    <t>MIRDS-2</t>
  </si>
  <si>
    <t>MIR724</t>
  </si>
  <si>
    <t>MSS725</t>
  </si>
  <si>
    <t>Arms Proliferation, Disarmament and Arms Control</t>
  </si>
  <si>
    <t>MIRDS-1</t>
  </si>
  <si>
    <t>MIR712</t>
  </si>
  <si>
    <t>International Law</t>
  </si>
  <si>
    <t>EHS215</t>
  </si>
  <si>
    <t>Behavior Change Communication for Health</t>
  </si>
  <si>
    <t>BEHS-1,BBA-1W</t>
  </si>
  <si>
    <t>MBA-AF,MBA-M</t>
  </si>
  <si>
    <t>MBF813</t>
  </si>
  <si>
    <t>Management Accounting</t>
  </si>
  <si>
    <t>MSC810</t>
  </si>
  <si>
    <t>Supply Chain Operations Management</t>
  </si>
  <si>
    <t>BBA-4W</t>
  </si>
  <si>
    <t>MBA-HRM</t>
  </si>
  <si>
    <t>MHR815</t>
  </si>
  <si>
    <t>Industrial Relations and Labor Law</t>
  </si>
  <si>
    <t>BBA214</t>
  </si>
  <si>
    <t>LLM711</t>
  </si>
  <si>
    <t>Jurisprudence and Legal Theory</t>
  </si>
  <si>
    <t>MED713</t>
  </si>
  <si>
    <t xml:space="preserve">Cost Analysis and Financial Resource Management  </t>
  </si>
  <si>
    <t>Communicable and Non-communicable Diseases</t>
  </si>
  <si>
    <t>MBA-2,MPM-2,MED-2</t>
  </si>
  <si>
    <t>MBA728</t>
  </si>
  <si>
    <t>Scholarly Writing and Publications</t>
  </si>
  <si>
    <t>MBA-M,MPM-3</t>
  </si>
  <si>
    <t>MBA813</t>
  </si>
  <si>
    <t>Business Ethics and Corporate Governance</t>
  </si>
  <si>
    <t>MPH815</t>
  </si>
  <si>
    <t>Public health Nutrition</t>
  </si>
  <si>
    <t>MED813</t>
  </si>
  <si>
    <t>School Supervision and Inspection</t>
  </si>
  <si>
    <t>EHS224</t>
  </si>
  <si>
    <t>Building Technology I</t>
  </si>
  <si>
    <t>EHS111</t>
  </si>
  <si>
    <t>Human Environment</t>
  </si>
  <si>
    <t>04:45-06:45</t>
  </si>
  <si>
    <t xml:space="preserve">MPM811 </t>
  </si>
  <si>
    <t>Project Monitoring and Evaluation</t>
  </si>
  <si>
    <t>MSS810</t>
  </si>
  <si>
    <t>Homeland Security, Cyber Security and Human Rights</t>
  </si>
  <si>
    <t>MIR721</t>
  </si>
  <si>
    <t>Africa in International Relations</t>
  </si>
  <si>
    <t>MIR814</t>
  </si>
  <si>
    <t>Theory and Practice of Modern Diplomacy</t>
  </si>
  <si>
    <t>MSS716</t>
  </si>
  <si>
    <t xml:space="preserve">Criminology and Security </t>
  </si>
  <si>
    <t>MIR715</t>
  </si>
  <si>
    <t>Democracy and Human Rights</t>
  </si>
  <si>
    <t>MSC814</t>
  </si>
  <si>
    <t>Strategic Inventory Management</t>
  </si>
  <si>
    <t>MBA-1,MPM-1</t>
  </si>
  <si>
    <t>MBA712</t>
  </si>
  <si>
    <t>Marketing Management</t>
  </si>
  <si>
    <t>03:00-04:00</t>
  </si>
  <si>
    <t>04:00-05:00</t>
  </si>
  <si>
    <t>LLM725</t>
  </si>
  <si>
    <t>World Trade Organisation &amp; Regional Integration Law</t>
  </si>
  <si>
    <t>04:30-05:30</t>
  </si>
  <si>
    <t>LLM812</t>
  </si>
  <si>
    <t>Governance and Anti-Corruption II</t>
  </si>
  <si>
    <t>10:00-11:00</t>
  </si>
  <si>
    <t>LLM7211</t>
  </si>
  <si>
    <t>International Law of Banking and Financial Institutions</t>
  </si>
  <si>
    <t>12:00-01:00</t>
  </si>
  <si>
    <t>LLM713</t>
  </si>
  <si>
    <t>Corporate Governance</t>
  </si>
  <si>
    <t>LLM721</t>
  </si>
  <si>
    <t>Governance and Anti-Corruption I</t>
  </si>
  <si>
    <t>LLM811</t>
  </si>
  <si>
    <t>Research Methodology I (Compulsory)</t>
  </si>
  <si>
    <t>06:00-08:00</t>
  </si>
  <si>
    <t>LLM-2</t>
  </si>
  <si>
    <t>LLM729</t>
  </si>
  <si>
    <t>International Tax Law</t>
  </si>
  <si>
    <t>MPH713</t>
  </si>
  <si>
    <t>Online</t>
  </si>
  <si>
    <t>MPH714</t>
  </si>
  <si>
    <t>Epidemiology</t>
  </si>
  <si>
    <t>MBA-1,MPM-1,MED-1</t>
  </si>
  <si>
    <t>MBA710</t>
  </si>
  <si>
    <t>Management Theory and Practice</t>
  </si>
  <si>
    <t>MSS723</t>
  </si>
  <si>
    <t xml:space="preserve">Threat, Risk Analysis and Security Management </t>
  </si>
  <si>
    <t>EHS225</t>
  </si>
  <si>
    <t>Food Hygiene and Food Safety</t>
  </si>
  <si>
    <t>MPH810</t>
  </si>
  <si>
    <t>Health services management</t>
  </si>
  <si>
    <t>MSS811</t>
  </si>
  <si>
    <t xml:space="preserve">Civil-Military Relations and Security Sector </t>
  </si>
  <si>
    <t>LLM717</t>
  </si>
  <si>
    <t>Forensic Justice and Criminology  I</t>
  </si>
  <si>
    <t>LLM716</t>
  </si>
  <si>
    <t>Muhwezi Moses</t>
  </si>
  <si>
    <t>MBA-2,MPM-1</t>
  </si>
  <si>
    <t>MBA716</t>
  </si>
  <si>
    <t>MPH725</t>
  </si>
  <si>
    <t>MIRDS-1,MSS-1</t>
  </si>
  <si>
    <t>MSS712</t>
  </si>
  <si>
    <t>Security Studies | National,  International &amp; Global Security</t>
  </si>
  <si>
    <t>MED721</t>
  </si>
  <si>
    <t>Legal Aspects in Education Management</t>
  </si>
  <si>
    <t xml:space="preserve">Occupational Health and Safety </t>
  </si>
  <si>
    <t>EHS113</t>
  </si>
  <si>
    <t>Health Laboratory Management</t>
  </si>
  <si>
    <t>EHS216</t>
  </si>
  <si>
    <t>Vector and Vermin control</t>
  </si>
  <si>
    <t>MBA-PS,MPM-2</t>
  </si>
  <si>
    <t>MPM722</t>
  </si>
  <si>
    <t>Legal Aspects of Procurement / Project Management</t>
  </si>
  <si>
    <t>MHR811</t>
  </si>
  <si>
    <t>Organisational Development</t>
  </si>
  <si>
    <t>MIR813</t>
  </si>
  <si>
    <t>Complex Emergencies in the Global Arena</t>
  </si>
  <si>
    <t>Byaruhanga Mark</t>
  </si>
  <si>
    <t>MPH814</t>
  </si>
  <si>
    <t xml:space="preserve">Health in Disaster and Emergency Situations </t>
  </si>
  <si>
    <t>MBA729</t>
  </si>
  <si>
    <t>Computer Applications in Research</t>
  </si>
  <si>
    <t>EHS125</t>
  </si>
  <si>
    <t>Environmental Health Microbiology</t>
  </si>
  <si>
    <t>EHS213</t>
  </si>
  <si>
    <t>Excreta and Waste Water Management</t>
  </si>
  <si>
    <t>EHS323</t>
  </si>
  <si>
    <t>Institutional Health Management</t>
  </si>
  <si>
    <t>MBF815</t>
  </si>
  <si>
    <t>Corporate Finance and Financial Markets</t>
  </si>
  <si>
    <t>MIR722</t>
  </si>
  <si>
    <t>Foreign Policy Analysis</t>
  </si>
  <si>
    <t>MIR711</t>
  </si>
  <si>
    <t>Theories of International Relations</t>
  </si>
  <si>
    <t>MSS-3,MIRDS-3</t>
  </si>
  <si>
    <t>MIR811/MSS812</t>
  </si>
  <si>
    <t>International Politics of the Environment and National security</t>
  </si>
  <si>
    <t>EHS312</t>
  </si>
  <si>
    <t>Environmental and Public Health Law</t>
  </si>
  <si>
    <t>MHR722</t>
  </si>
  <si>
    <t>Organisational Behaviour</t>
  </si>
  <si>
    <t>MPH812</t>
  </si>
  <si>
    <t>Health Research Methodology</t>
  </si>
  <si>
    <t>LLM727</t>
  </si>
  <si>
    <t>Forensic Justice and Criminology  II</t>
  </si>
  <si>
    <t>MSC721</t>
  </si>
  <si>
    <t>Project Risk and Procurement Management</t>
  </si>
  <si>
    <t>MBF816</t>
  </si>
  <si>
    <t>Advanced Accounting and Financial Reporting</t>
  </si>
  <si>
    <t>MBA724</t>
  </si>
  <si>
    <t>MPM814</t>
  </si>
  <si>
    <t>Management Consultancy</t>
  </si>
  <si>
    <t>EHS314</t>
  </si>
  <si>
    <t>Building Technology II</t>
  </si>
  <si>
    <t>EHS221</t>
  </si>
  <si>
    <t>Safe Water Management</t>
  </si>
  <si>
    <t>MPH716</t>
  </si>
  <si>
    <t>Demography and Population Dynamics</t>
  </si>
  <si>
    <t>MSS814</t>
  </si>
  <si>
    <t>World of Intelligence and Espionage</t>
  </si>
  <si>
    <t>MIR723</t>
  </si>
  <si>
    <t>International Organisations</t>
  </si>
  <si>
    <t>MPH726</t>
  </si>
  <si>
    <t>Health Promotion</t>
  </si>
  <si>
    <t>LLM817</t>
  </si>
  <si>
    <t>International Commercial Transactions</t>
  </si>
  <si>
    <t>LLM813</t>
  </si>
  <si>
    <t>11:00-12:00</t>
  </si>
  <si>
    <t>LLM714</t>
  </si>
  <si>
    <t>International Criminal Law</t>
  </si>
  <si>
    <t>LLM712</t>
  </si>
  <si>
    <t>Oil and Gas Law</t>
  </si>
  <si>
    <t>LLM722</t>
  </si>
  <si>
    <t>Natural Resources I</t>
  </si>
  <si>
    <t>LLM818</t>
  </si>
  <si>
    <t>Natural Resources II</t>
  </si>
  <si>
    <t>LLM715</t>
  </si>
  <si>
    <t>International &amp; Regional Child Law</t>
  </si>
  <si>
    <t>TEACHING TIMETABLE JAN-MAY 2023</t>
  </si>
  <si>
    <t>BACHELORS OF PUBLIC HEALTH (YEAR ONE SEM ONE)</t>
  </si>
  <si>
    <t>MON</t>
  </si>
  <si>
    <t>TUE</t>
  </si>
  <si>
    <t>WED</t>
  </si>
  <si>
    <t>THU</t>
  </si>
  <si>
    <t>FRI</t>
  </si>
  <si>
    <t>SAT</t>
  </si>
  <si>
    <t>SUN</t>
  </si>
  <si>
    <t>BJC110:Communication Skills and Learning Skills for Employability</t>
  </si>
  <si>
    <t>BPH212:Principles of Environmental Health</t>
  </si>
  <si>
    <t>Lecturer</t>
  </si>
  <si>
    <t>Namakula Elizabeth</t>
  </si>
  <si>
    <t>Murami Taibu</t>
  </si>
  <si>
    <t>BPH112:Health and Health Behavior</t>
  </si>
  <si>
    <t>BPH114:Introduction to Public Health and Ethics</t>
  </si>
  <si>
    <t>Khawa Namajja</t>
  </si>
  <si>
    <t>Juliet Bandaru</t>
  </si>
  <si>
    <t>BIT110:Introduction to Information and Communication Technologies</t>
  </si>
  <si>
    <t>BPH113:Human Biology</t>
  </si>
  <si>
    <t>Nanyonjo Eva</t>
  </si>
  <si>
    <t>Bruce Nabaasa</t>
  </si>
  <si>
    <t>BACHELORS OF SOFTWARE ENGINEERING (YEAR ONE SEM ONE)</t>
  </si>
  <si>
    <t>BSE1101:Calculus for software engineering</t>
  </si>
  <si>
    <t>Deborah Mackenzie</t>
  </si>
  <si>
    <t>BIT111:Discrete Mathematics</t>
  </si>
  <si>
    <t>Maganda Evans</t>
  </si>
  <si>
    <t>COM113:Computer Architecture and Organisation</t>
  </si>
  <si>
    <t>BACHELORS OF BUSINESS ADMIN. ACCOUNTING AND FINANCE,BANKING , DIPLOMA IN BUSINESS ADM.(YEAR ONE SEM ONE)</t>
  </si>
  <si>
    <t>BBA116/DBA116:Basic Statistics</t>
  </si>
  <si>
    <t>Kawiso Martin Wilfred</t>
  </si>
  <si>
    <t>BBA112:Microeconomics</t>
  </si>
  <si>
    <t>Bamuswankwire Charles</t>
  </si>
  <si>
    <t>BBA113/DBA113:Business Administration</t>
  </si>
  <si>
    <t>BBA115:Financial Accounting</t>
  </si>
  <si>
    <t>Bakyayita Davd</t>
  </si>
  <si>
    <t>BACHELORS OF BUSINESS ADMIN. PROCUREMENT, GENERIC, HUMAN RESOURCE (YEAR ONE SEM ONE)</t>
  </si>
  <si>
    <t>BACHELORS OFJOURNALISM AND MASS COMMUNICATION (YEAR ONE SEM ONE)</t>
  </si>
  <si>
    <t>BJC125:History of Media and Communication</t>
  </si>
  <si>
    <t xml:space="preserve">Nnagadya Sumayah </t>
  </si>
  <si>
    <t>BJC116:Basic Academic Writing Skills</t>
  </si>
  <si>
    <t>Dr. Fiona Tumusiime</t>
  </si>
  <si>
    <t>BJC115:Introduction to Journalism</t>
  </si>
  <si>
    <t>BJC112:Introduction to Behavioral Science</t>
  </si>
  <si>
    <t>Mudoola Herbert</t>
  </si>
  <si>
    <t>Dr. Kibukamusoke Martha</t>
  </si>
  <si>
    <t>BACHELORS OF INTERNATIONAL RELATIONS (YEAR ONE SEM ONE)</t>
  </si>
  <si>
    <t>IRDS112:Introduction to Diplomacy</t>
  </si>
  <si>
    <t xml:space="preserve">Dr. Thomas Russel </t>
  </si>
  <si>
    <t>IRDS114:Protocol and Etiquette</t>
  </si>
  <si>
    <t>Mr. Denis Wamimbi</t>
  </si>
  <si>
    <t xml:space="preserve">IRDS111:Introduction to International Relations </t>
  </si>
  <si>
    <t>Mr. Jonathan Tabalanga</t>
  </si>
  <si>
    <t>BACHELORS OF PUBLIC ADMINSTRATION (YEAR ONE SEM ONE)</t>
  </si>
  <si>
    <t>BPA112:Public Finance Administration and Management</t>
  </si>
  <si>
    <t>Dr. Abdulrazak Yugua Madu</t>
  </si>
  <si>
    <t>BPA111:Public Administration and Management</t>
  </si>
  <si>
    <t>Prof. Love Aruguobiani</t>
  </si>
  <si>
    <t>BPA116:Theory and Management of Organisations</t>
  </si>
  <si>
    <t>Namajja Iriet Carol</t>
  </si>
  <si>
    <t>BACHELORS OF INFORMATION TECHONOLGY (YEAR ONE SEM ONE)</t>
  </si>
  <si>
    <t>BIT113:Fundamentals of Information Systems</t>
  </si>
  <si>
    <t>Kimwise A Dr.</t>
  </si>
  <si>
    <t>BACHELORS OF COMPUTER SCIENCE (YEAR ONE SEM ONE)</t>
  </si>
  <si>
    <t>COM111:Mathematics for Computing</t>
  </si>
  <si>
    <t>Taremwa Danson</t>
  </si>
  <si>
    <t>DIPLOMA IN IT &amp; COMPUTER SCIENCE (YEAR ONE SEM ONE)</t>
  </si>
  <si>
    <t>DCS112:Introduction to Operating Systems</t>
  </si>
  <si>
    <t>DCS111:Fundamentals of Mathematics</t>
  </si>
  <si>
    <t>Nabbanja Teddy</t>
  </si>
  <si>
    <t>HEC-HUMANITIES (YEAR ONE SEM ONE)</t>
  </si>
  <si>
    <t>FOU112:Communication Skills</t>
  </si>
  <si>
    <t>HEC111:Computing and Study Skills</t>
  </si>
  <si>
    <t>Tuhaise Robert</t>
  </si>
  <si>
    <t>HEC113:Reading and writing skills for beginners</t>
  </si>
  <si>
    <t>FOU114:English</t>
  </si>
  <si>
    <t>FOU110:Foundational Mathematics</t>
  </si>
  <si>
    <t>HEC-PHYSICAL SCIENCE (YEAR ONE SEM ONE)</t>
  </si>
  <si>
    <t>FOS111:Foundation Physics and Inorganic Chemistry</t>
  </si>
  <si>
    <t>FOS112: Foundation Physics I</t>
  </si>
  <si>
    <t>Namazzi Sarah</t>
  </si>
  <si>
    <t>Kagona Edson</t>
  </si>
  <si>
    <t>TEACHING TIMETABLE FOR AUG-DEC 2023</t>
  </si>
  <si>
    <t>INSTRUCTOR</t>
  </si>
  <si>
    <t>Week 1</t>
  </si>
  <si>
    <t>Yes</t>
  </si>
  <si>
    <t>Lessons</t>
  </si>
  <si>
    <t>Attended</t>
  </si>
  <si>
    <t>%age attendance</t>
  </si>
  <si>
    <t>No</t>
  </si>
  <si>
    <t>PLM318</t>
  </si>
  <si>
    <t>PLM319</t>
  </si>
  <si>
    <t>Logistics &amp; Supply Chain Management</t>
  </si>
  <si>
    <t>BBA-PL-1,BBA-HRM-1,BBA-G-1,BBA-MKT-1</t>
  </si>
  <si>
    <t>BBA-AF-1,BBA-BF-1,DBA-1,BBA-ENT-1</t>
  </si>
  <si>
    <t>BIT-6,DIT-4,BCS-6</t>
  </si>
  <si>
    <t>BIT321/BSE427</t>
  </si>
  <si>
    <t>MIT-1</t>
  </si>
  <si>
    <t>MIT718</t>
  </si>
  <si>
    <t>Legal and Ethical aspects of Computing</t>
  </si>
  <si>
    <t>MIT-2</t>
  </si>
  <si>
    <t>MIT727</t>
  </si>
  <si>
    <t xml:space="preserve">Information Technology Project Management </t>
  </si>
  <si>
    <t>BBA-BF-1,BBA-AF-1,DBA-1,BBA-ENT-1</t>
  </si>
  <si>
    <t>BBA-BF-6,BBA-BF-5</t>
  </si>
  <si>
    <t>BJC-6,BJC-5</t>
  </si>
  <si>
    <t>BJC-6-PR,BJC-5</t>
  </si>
  <si>
    <t>HEC-H2,HEC-P2</t>
  </si>
  <si>
    <t>BCS-4,BIT-4,BSE-4,DIT-4</t>
  </si>
  <si>
    <t>02:30-04:30</t>
  </si>
  <si>
    <t>MIT728</t>
  </si>
  <si>
    <t>Data Analytics and Visualization</t>
  </si>
  <si>
    <t>HEC-H2</t>
  </si>
  <si>
    <t>BIT-3,BSE-2,DIT-3,BCS-2</t>
  </si>
  <si>
    <t>BBA-G-5,DBA-3,BIT-2</t>
  </si>
  <si>
    <t>MIT712</t>
  </si>
  <si>
    <t>Management Information System</t>
  </si>
  <si>
    <t>MIT729</t>
  </si>
  <si>
    <t xml:space="preserve">Research Methods in Information Technology </t>
  </si>
  <si>
    <t>MBA-2,MPM-2,MED-2,MIT-2</t>
  </si>
  <si>
    <t>MBA-HRM,MED-3,MIT-2</t>
  </si>
  <si>
    <t>MBA-2,MPM-2,MED-2,MIT-1</t>
  </si>
  <si>
    <t>HEC-H2,BPAM-4</t>
  </si>
  <si>
    <t>FOA122/BPA113</t>
  </si>
  <si>
    <t>HEC-H1</t>
  </si>
  <si>
    <t>DCS111</t>
  </si>
  <si>
    <t>HEC-P2</t>
  </si>
  <si>
    <t>MIT717</t>
  </si>
  <si>
    <t>Requirement Engineering</t>
  </si>
  <si>
    <t>MBA-1,MIRDS-2,MSS-1,MPM-1,MED-1,MIRDS-1</t>
  </si>
  <si>
    <t xml:space="preserve">Investment Analysis </t>
  </si>
  <si>
    <t>BBA-3,DBA-4</t>
  </si>
  <si>
    <t>PLM328</t>
  </si>
  <si>
    <t xml:space="preserve"> E-Procurement &amp; Software Applications </t>
  </si>
  <si>
    <t>PLM327</t>
  </si>
  <si>
    <t>Procurement Audit &amp; Investigations</t>
  </si>
  <si>
    <t>HEC-P1</t>
  </si>
  <si>
    <t>HEC-B2,HEC-P2</t>
  </si>
  <si>
    <t>BBA-AF-1,BBA-BF-1,BIT-1,BCS-1,DBA-1,BBA-ENT-1</t>
  </si>
  <si>
    <t>MIT725</t>
  </si>
  <si>
    <t xml:space="preserve">Data Warehousing and Data Mining </t>
  </si>
  <si>
    <t>DIT-4,BIT-5</t>
  </si>
  <si>
    <t>BIT315/DIT224</t>
  </si>
  <si>
    <t>MIT716</t>
  </si>
  <si>
    <t>ICT for Development &amp; Innovation</t>
  </si>
  <si>
    <t>MIRDS-3,MSS-2</t>
  </si>
  <si>
    <t>Natural Resources Conflicts and Contemporary Wars</t>
  </si>
  <si>
    <t>BPA226</t>
  </si>
  <si>
    <t>BBF317</t>
  </si>
  <si>
    <t>Company Law</t>
  </si>
  <si>
    <t>BPH224</t>
  </si>
  <si>
    <t>MIT715</t>
  </si>
  <si>
    <t>E-Governance</t>
  </si>
  <si>
    <t>BBA-BF-6,BBA-G-5</t>
  </si>
  <si>
    <t>BBA-BF-1,BBA-AF-1,DBA-1,BJC-1,BPAM-1,BIRDS-1,BBA-ENT-1</t>
  </si>
  <si>
    <t>HEC-H1,HEC-P1,HEC-B1</t>
  </si>
  <si>
    <t>HEC-H1,HEC-P1</t>
  </si>
  <si>
    <t>HEC-B2</t>
  </si>
  <si>
    <t>HEC126</t>
  </si>
  <si>
    <t>Introduction to Physical Chemistry</t>
  </si>
  <si>
    <t>HEC124</t>
  </si>
  <si>
    <t>Introduction to Plant Physiology</t>
  </si>
  <si>
    <t>HEC-B1,HEC-B1</t>
  </si>
  <si>
    <t>MSC722/MPM722</t>
  </si>
  <si>
    <t>BBA-BF-1,BBA-AF-1,BJC-1,BPAM-1,BIRDS-1,DBA-1,BBA-ENT-1</t>
  </si>
  <si>
    <t>BCS-4,BSE-3,BIT-3,DIT-4</t>
  </si>
  <si>
    <t>HRM323</t>
  </si>
  <si>
    <t xml:space="preserve">Strategic Human Resource Management </t>
  </si>
  <si>
    <t>BPH-4,BJC-4,BIRDS-4,DBA3-BPAM-4</t>
  </si>
  <si>
    <t>BBA-2</t>
  </si>
  <si>
    <t>PLM317</t>
  </si>
  <si>
    <t>HEC-B1</t>
  </si>
  <si>
    <t>HEC112</t>
  </si>
  <si>
    <t>Foundation Biology I</t>
  </si>
  <si>
    <t>HEC115</t>
  </si>
  <si>
    <t>Introduction to Animal Physiology</t>
  </si>
  <si>
    <t>HEC123</t>
  </si>
  <si>
    <t>Foundation Biology II</t>
  </si>
  <si>
    <t>BBA-HRM-5,BBA-G-5</t>
  </si>
  <si>
    <t>HRM316</t>
  </si>
  <si>
    <t>BSE-8</t>
  </si>
  <si>
    <t>BSE422</t>
  </si>
  <si>
    <t>Managing Software Engineering Projects</t>
  </si>
  <si>
    <t>BSE324</t>
  </si>
  <si>
    <t>Mobile Communications Systems and Applications</t>
  </si>
  <si>
    <t>BSE417</t>
  </si>
  <si>
    <t>Network Application Development</t>
  </si>
  <si>
    <t>BSE426</t>
  </si>
  <si>
    <t>Software Security</t>
  </si>
  <si>
    <t>Lecture</t>
  </si>
  <si>
    <t>Check colusion</t>
  </si>
  <si>
    <t>Mon:02:00-04:00:LLB-1</t>
  </si>
  <si>
    <t>LLB112:Constitutional History||Dr. Daniel Walyemera</t>
  </si>
  <si>
    <t>Mon:10:00-12:00:LLB-6</t>
  </si>
  <si>
    <t>LLB322:Jurisprudence II||Dr. Daniel Walyemera</t>
  </si>
  <si>
    <t>Tue:08:00-10:00:LLB-1</t>
  </si>
  <si>
    <t>Tue:04:00-06:00:LLB-6</t>
  </si>
  <si>
    <t>Mon:04:00-06:00:LLB-8</t>
  </si>
  <si>
    <t>LLB424:International Law II||Dr. Emmanuel Bagenda</t>
  </si>
  <si>
    <t>Tue:10:00-12:00:LLB-8</t>
  </si>
  <si>
    <t>Wed:10:00-12:00:LLB-7</t>
  </si>
  <si>
    <t>LLB413:International Law I||Dr. Emmanuel Bagenda</t>
  </si>
  <si>
    <t>Wed:12:00-02:00:LLB-1</t>
  </si>
  <si>
    <t>LLB115:Law &amp; Development||Dr. Emmanuel Bagenda</t>
  </si>
  <si>
    <t>Thu:02:00-04:00:LLB-7</t>
  </si>
  <si>
    <t>Thu:08:00-10:00:LLB-1</t>
  </si>
  <si>
    <t>Thu:02:45-04:45:LLB-4</t>
  </si>
  <si>
    <t>Thu:4:00-06:00:LLB-4</t>
  </si>
  <si>
    <t>LLB224-D</t>
  </si>
  <si>
    <t>Wed:02:45-04:45:LLB-4</t>
  </si>
  <si>
    <t>Fri:10:00-12:00:LLB-4</t>
  </si>
  <si>
    <t>Wed:08:00-10:00:LLB-7</t>
  </si>
  <si>
    <t>LLB411:Civil Procedure I||Mr. Allen Yoboka</t>
  </si>
  <si>
    <t>Wed:10:00-12:00:LLB-5</t>
  </si>
  <si>
    <t>LLB313:Jurisprudence I||Mr. Allen Yoboka</t>
  </si>
  <si>
    <t>Fri:08:00-10:00:LLB-7</t>
  </si>
  <si>
    <t>Fri:12:00-02:00:LLB-5</t>
  </si>
  <si>
    <t>Mon:02:00-04:00:LLB-3</t>
  </si>
  <si>
    <t>LLB215:Equity and Trusts||Mr. Godfrey Ayeranga</t>
  </si>
  <si>
    <t>LLB113-D</t>
  </si>
  <si>
    <t>Mon:12:00-02:00:LLB-1</t>
  </si>
  <si>
    <t>Mon:08:00-10:00:LLB-6</t>
  </si>
  <si>
    <t>LLB323:Business Associations II||Mr. Alex Nabwiso</t>
  </si>
  <si>
    <t>Fri:08:00-10:00:LLB-6</t>
  </si>
  <si>
    <t>Fri:02:00-04:00:LLB-3</t>
  </si>
  <si>
    <t>Fri:12:00-02:00:LLB-1</t>
  </si>
  <si>
    <t>Tue:02:00-04:00:LLB-6</t>
  </si>
  <si>
    <t>LLB324:Alternative Dispute Resolution||Mr. Hakim Salum</t>
  </si>
  <si>
    <t>Wed:12:00-02:00:LLB-7</t>
  </si>
  <si>
    <t>LLB414:Labour Law||Mr. Hakim Salum</t>
  </si>
  <si>
    <t>Thu:10:00-12:00:LLB-7</t>
  </si>
  <si>
    <t>Fri:10:00-12:00:LLB-6</t>
  </si>
  <si>
    <t>Mon:10:00-12:00:LLB-2</t>
  </si>
  <si>
    <t>LLB123:Criminal Law II||Mr. Herman Tuhairwe</t>
  </si>
  <si>
    <t>Mon:12:00-02:00:LLB-5</t>
  </si>
  <si>
    <t>LLB311:Criminal Procedure||Mr. Herman Tuhairwe</t>
  </si>
  <si>
    <t>Tue:10:00-12:00:LLB-4</t>
  </si>
  <si>
    <t>LLB223:Evidence Law II||Mr. Herman Tuhairwe</t>
  </si>
  <si>
    <t>Wed:08:00-10:00:LLB-4</t>
  </si>
  <si>
    <t>Wed:10:00-12:00:LLB-2</t>
  </si>
  <si>
    <t>LLB123:Criminal Law II ||Mr. Herman Tuhairwe</t>
  </si>
  <si>
    <t>Wed:12:00-02:00:LLB-5</t>
  </si>
  <si>
    <t>Mon:02:00-04:00:LLB-8</t>
  </si>
  <si>
    <t xml:space="preserve">LLB426:Intellectual Property Law II||Mr. Moses Kayima Nyanzi </t>
  </si>
  <si>
    <t>Mon:12:00-02:00:LLB-8</t>
  </si>
  <si>
    <t>Tue:02:00-04:00:LLB-2</t>
  </si>
  <si>
    <t xml:space="preserve">LLB122:Constitutional Law ||Mr. Moses Kayima Nyanzi </t>
  </si>
  <si>
    <t>Tue:12:00-02:00:LLB-5</t>
  </si>
  <si>
    <t xml:space="preserve">LLB315:Law of Banking||Mr. Moses Kayima Nyanzi </t>
  </si>
  <si>
    <t>Thu:10:00-12:00:LLB-5</t>
  </si>
  <si>
    <t>Thu:12:00-02:00:LLB-2</t>
  </si>
  <si>
    <t>Tue:02:00-04:00:LLB-7</t>
  </si>
  <si>
    <t xml:space="preserve">LLB416:Intellectual Property Law I||Mr. Samson Rubayihayo </t>
  </si>
  <si>
    <t>Tue:12:00-02:00:LLB-8</t>
  </si>
  <si>
    <t>LLB422:Revenue Law and Taxation II||Mr. Sostine Ngabirano</t>
  </si>
  <si>
    <t>Fri:04:00-06:00:LLB-8</t>
  </si>
  <si>
    <t>Thu:12:00-02:00:LLB-7</t>
  </si>
  <si>
    <t>Mon:08:00-10:00:LLB-2</t>
  </si>
  <si>
    <t>LLB121:Legal Methods||Ms. Agnes Wandira Ntende</t>
  </si>
  <si>
    <t>Mon:10:00-12:00:LLB-1</t>
  </si>
  <si>
    <t>LLB111:Introducing Law||Ms. Agnes Wandira Ntende</t>
  </si>
  <si>
    <t>Tue:08:00-10:00:LLB-6</t>
  </si>
  <si>
    <t>LLB325:Computers and the Law||Ms. Agnes Wandira Ntende</t>
  </si>
  <si>
    <t>Tue:10:00-12:00:LLB-2</t>
  </si>
  <si>
    <t>Wed:08:00-10:00:LLB-6</t>
  </si>
  <si>
    <t>Wed:10:00-12:00:LLB-1</t>
  </si>
  <si>
    <t>Mon:02:00-04:00:LLB-2</t>
  </si>
  <si>
    <t>LLB124:Law of Contract II||Ms. Catherine Nansubuga</t>
  </si>
  <si>
    <t>Mon:04:00-06:00:LLB-6</t>
  </si>
  <si>
    <t>LLB327:Insurance Law||Ms. Catherine Nansubuga</t>
  </si>
  <si>
    <t>Wed:10:00-12:00:LLB-4</t>
  </si>
  <si>
    <t>LLB222:Land Law II||Ms. Catherine Nansubuga</t>
  </si>
  <si>
    <t>Wed:12:00-02:00:LLB-4</t>
  </si>
  <si>
    <t>Thu:02:00-04:00:LLB-2</t>
  </si>
  <si>
    <t>Thu:04:00-06:00:LLB-6</t>
  </si>
  <si>
    <t>Mon:08:00-10:00:LLB-3</t>
  </si>
  <si>
    <t>LLB213:Evidence Law I||Ms. Denise Babirye</t>
  </si>
  <si>
    <t>Tue:08:00-10:00:LLB-2</t>
  </si>
  <si>
    <t>LLB125:Nature &amp; History of Torts||Ms. Denise Babirye</t>
  </si>
  <si>
    <t>Tue:12:00-02:00:LLB-3</t>
  </si>
  <si>
    <t>LLB214:Negligence &amp; Strict Liability||Ms. Denise Babirye</t>
  </si>
  <si>
    <t>Wed:08:00-10:00:LLB-2</t>
  </si>
  <si>
    <t>Thu:08:00-10:00:LLB-3</t>
  </si>
  <si>
    <t>Thu:12:00-02:00:LLB-3</t>
  </si>
  <si>
    <t>Tue:02:00-04:00:LLB-5</t>
  </si>
  <si>
    <t>LLB312:Business Associations I||Ms. Lelia Katusiime</t>
  </si>
  <si>
    <t>Wed:08:00-10:00:LLB-5</t>
  </si>
  <si>
    <t>LLB314:Sale of Goods||Ms. Lelia Katusiime</t>
  </si>
  <si>
    <t>Tue:08:00-10:00:LLB-4</t>
  </si>
  <si>
    <t>LLB221:Family Law II||Ms. Lelia Katusiime</t>
  </si>
  <si>
    <t>Wed:02:00-04:00:LLB-5</t>
  </si>
  <si>
    <t>Fri:02:00-04:00:LLB-5</t>
  </si>
  <si>
    <t>Wed:04:00-06:00:LLB-4</t>
  </si>
  <si>
    <t>Mon:02:00-04:00:LLB-7</t>
  </si>
  <si>
    <t>LLB412:Revenue and Taxation Law I||Ms. Mary Nyachieo</t>
  </si>
  <si>
    <t>Mon:10:00-12:00:LLB-3</t>
  </si>
  <si>
    <t>LLB212:Land Law I||Ms. Mary Nyachieo</t>
  </si>
  <si>
    <t>Tue:08:00-10:00:LLB-8</t>
  </si>
  <si>
    <t>LLB421:Civil Procedure II||Ms. Mary Nyachieo</t>
  </si>
  <si>
    <t>Tue:10:00-12:00:LLB-3</t>
  </si>
  <si>
    <t>Tue:12:00-02:00:LLB-7</t>
  </si>
  <si>
    <t>Thu:08:00-10:00:LLB-8</t>
  </si>
  <si>
    <t>Mon:12:00-02:00:LLB-3</t>
  </si>
  <si>
    <t>LLB211:Family Law I||Mr. Brian Kirima</t>
  </si>
  <si>
    <t>Thu:02:00-04:00:LLB-3</t>
  </si>
  <si>
    <t>Thu:10:00-12:00:LLB-1</t>
  </si>
  <si>
    <t>LLB114:Law of Contract I||Assoc. Prof. Norman Mugarura</t>
  </si>
  <si>
    <t>Thu:12:00-02:00:LLB-1</t>
  </si>
  <si>
    <t>FAC</t>
  </si>
  <si>
    <t>Sat:08:00-10:00:LLB-7</t>
  </si>
  <si>
    <t>Sat:08:00-10:00:LLB-6</t>
  </si>
  <si>
    <t>Sat:08:00-10:00:LLB-4</t>
  </si>
  <si>
    <t>Sat:08:00-10:00:LLB-2</t>
  </si>
  <si>
    <t>Sat:08:00-10:00:LLB-8</t>
  </si>
  <si>
    <t>Sat:08:00-10:00:LLB-1</t>
  </si>
  <si>
    <t>Sat:08:00-10:00:LLB-3</t>
  </si>
  <si>
    <t>Sat:08:00-10:00:LLB-5</t>
  </si>
  <si>
    <t>Sat:04:30-05:30:LLB-7</t>
  </si>
  <si>
    <t>Sat:10:00-11:00:LLB-7</t>
  </si>
  <si>
    <t>LLB224-W</t>
  </si>
  <si>
    <t>Sun:08:00-10:00:LLB-7</t>
  </si>
  <si>
    <t>Sun:08:00-10:00:LLB-6</t>
  </si>
  <si>
    <t>Sun:08:00-10:00:LLB-1</t>
  </si>
  <si>
    <t>Sun:08:00-10:00:LLB-3</t>
  </si>
  <si>
    <t>Sun:08:00-10:00:LLB-4</t>
  </si>
  <si>
    <t>Sun:08:00-10:00:LLB-8</t>
  </si>
  <si>
    <t>Sun:08:00-10:00:LLB-2</t>
  </si>
  <si>
    <t>Sun:08:00-10:00:LLB-5</t>
  </si>
  <si>
    <t>LLB113-W</t>
  </si>
  <si>
    <t>Mr. Allen Yoboka</t>
  </si>
  <si>
    <t>Dr. Robert Mugagga</t>
  </si>
  <si>
    <t>Mr. Sostine Ngabirano</t>
  </si>
  <si>
    <t>Mr. Innocent Mutambuze</t>
  </si>
  <si>
    <t>Mr. Richard Watenyera</t>
  </si>
  <si>
    <t>LLM719</t>
  </si>
  <si>
    <t>Dr. Daniel Walyemera</t>
  </si>
  <si>
    <t>Mr. Hakim Salum</t>
  </si>
  <si>
    <t>LLM814</t>
  </si>
  <si>
    <t xml:space="preserve">International and Regional Human Rights Law </t>
  </si>
  <si>
    <t>DPL-1</t>
  </si>
  <si>
    <t>DPS113</t>
  </si>
  <si>
    <t>Criminal law</t>
  </si>
  <si>
    <t>Mr. Brian Kirima</t>
  </si>
  <si>
    <t>DPS112</t>
  </si>
  <si>
    <t>General Principles of Constitutional law</t>
  </si>
  <si>
    <t>Mr. Alex Nabwiso</t>
  </si>
  <si>
    <t>DPS115</t>
  </si>
  <si>
    <t>DPS111</t>
  </si>
  <si>
    <t>Introduction to law &amp; Legal Systems</t>
  </si>
  <si>
    <t>DPS116</t>
  </si>
  <si>
    <t xml:space="preserve">Law of Evidence </t>
  </si>
  <si>
    <t>DPS114</t>
  </si>
  <si>
    <t>Contract Law</t>
  </si>
  <si>
    <t>YEAR ONE SEMESTER ONE</t>
  </si>
  <si>
    <t>YEAR ONE SEMESTER TWO</t>
  </si>
  <si>
    <t>YEAR TWO SEMESTER ONE</t>
  </si>
  <si>
    <t>Mr. Esibo Omada</t>
  </si>
  <si>
    <t>Finance for Managers</t>
  </si>
  <si>
    <t>MKT810</t>
  </si>
  <si>
    <t>Strategic Marketing</t>
  </si>
  <si>
    <t>MKT722</t>
  </si>
  <si>
    <t>New Product Development and Service Marketing</t>
  </si>
  <si>
    <t>MKT723</t>
  </si>
  <si>
    <t>Marketing Research</t>
  </si>
  <si>
    <t>MKT812</t>
  </si>
  <si>
    <t>Global Marketing</t>
  </si>
  <si>
    <t>MKT814</t>
  </si>
  <si>
    <t>Brand Marketing and Communication Management</t>
  </si>
  <si>
    <t>YEAR TWO SEMESTER TWO</t>
  </si>
  <si>
    <t>RSC001-H</t>
  </si>
  <si>
    <t xml:space="preserve">YEAR THREE SEMESTER ONE </t>
  </si>
  <si>
    <t xml:space="preserve">Institutional Health Management </t>
  </si>
  <si>
    <t>BPH323/ADHM1106</t>
  </si>
  <si>
    <t xml:space="preserve">Health Service Management </t>
  </si>
  <si>
    <t>MKN-14</t>
  </si>
  <si>
    <t>MKN-15</t>
  </si>
  <si>
    <t>MKN-16</t>
  </si>
  <si>
    <t>MKN-17</t>
  </si>
  <si>
    <t>MKN-18</t>
  </si>
  <si>
    <t>MIT822</t>
  </si>
  <si>
    <t>Security of Information systems</t>
  </si>
  <si>
    <t>MIT821</t>
  </si>
  <si>
    <t>MIT722</t>
  </si>
  <si>
    <t>Advanced Database Systems</t>
  </si>
  <si>
    <t>MIT823</t>
  </si>
  <si>
    <t xml:space="preserve">Artificial Intelligence &amp; Intelligent system </t>
  </si>
  <si>
    <t>MIT723</t>
  </si>
  <si>
    <t>Web Application Engineering</t>
  </si>
  <si>
    <t>MIT721</t>
  </si>
  <si>
    <t>Computer Networks &amp; Telecommunications</t>
  </si>
  <si>
    <t>HEC111-S</t>
  </si>
  <si>
    <t>FOU110-S</t>
  </si>
  <si>
    <t>FOU113-P</t>
  </si>
  <si>
    <t>Email</t>
  </si>
  <si>
    <t>BBF323</t>
  </si>
  <si>
    <t>Risk &amp; Insurance Management</t>
  </si>
  <si>
    <t>BBA311</t>
  </si>
  <si>
    <t>BJC-5-Journalism</t>
  </si>
  <si>
    <t>BJC-5-PR</t>
  </si>
  <si>
    <t>BBA211/DBA211</t>
  </si>
  <si>
    <t>BBA-G-6,HRM-6</t>
  </si>
  <si>
    <t>BBA-BF-6,AF-6</t>
  </si>
  <si>
    <t xml:space="preserve">BAC321 </t>
  </si>
  <si>
    <t>BBA123</t>
  </si>
  <si>
    <t>BBA-G-5,BF-5</t>
  </si>
  <si>
    <t>BBA-PL-1,BBA-HRM-1,BBA-G-1,BBA-MKT-1,BIT-1,BCS-1,BSE-1,DIT-1,BPH-1</t>
  </si>
  <si>
    <t>BJC110 (SES)</t>
  </si>
  <si>
    <t>BJC-6-J</t>
  </si>
  <si>
    <t>BJC327</t>
  </si>
  <si>
    <t>Public Procurement &amp; Contract Management</t>
  </si>
  <si>
    <t>PLM326</t>
  </si>
  <si>
    <t>Inventory &amp; Warehousing Operations</t>
  </si>
  <si>
    <t xml:space="preserve">E-Procurement &amp; Software Applications </t>
  </si>
  <si>
    <t>DPL-3</t>
  </si>
  <si>
    <t>DPS211</t>
  </si>
  <si>
    <t>Health and the Law</t>
  </si>
  <si>
    <t>BPR327</t>
  </si>
  <si>
    <t xml:space="preserve">Public Relation Consultancy and Media Monitoring </t>
  </si>
  <si>
    <t>Health Informatics</t>
  </si>
  <si>
    <t>BSE412/COM225</t>
  </si>
  <si>
    <t>BPH326</t>
  </si>
  <si>
    <t>BSE-7,BSE-8</t>
  </si>
  <si>
    <t>BJC-6-J,BJC-6-PR</t>
  </si>
  <si>
    <t>DPS212</t>
  </si>
  <si>
    <t>Introduction to Human Rights</t>
  </si>
  <si>
    <t>DPS213</t>
  </si>
  <si>
    <t>Forensic Justice and Criminology 2</t>
  </si>
  <si>
    <t>DPS214</t>
  </si>
  <si>
    <t>Elements of Commercial Law</t>
  </si>
  <si>
    <t>DPS215</t>
  </si>
  <si>
    <t>Labour law</t>
  </si>
  <si>
    <t>DPS216</t>
  </si>
  <si>
    <t>Civil Procedure</t>
  </si>
  <si>
    <t>BPR329</t>
  </si>
  <si>
    <t>Digital Content for Brand Communications</t>
  </si>
  <si>
    <t>BJC328</t>
  </si>
  <si>
    <t>Fake news and media production</t>
  </si>
  <si>
    <t xml:space="preserve">Marketing Strategy </t>
  </si>
  <si>
    <t>BJC329</t>
  </si>
  <si>
    <t>Online and Digital Journalism</t>
  </si>
  <si>
    <t>MIRDS-3,MSS-3</t>
  </si>
  <si>
    <t>SCI</t>
  </si>
  <si>
    <t>MIT-3</t>
  </si>
  <si>
    <t xml:space="preserve">Organisational Leadership </t>
  </si>
  <si>
    <t xml:space="preserve">International Finance </t>
  </si>
  <si>
    <t xml:space="preserve">Management Information Systems </t>
  </si>
  <si>
    <t>Mr.Alex Oriokot Tukuei</t>
  </si>
  <si>
    <t>Dr.Shallon Atuhaire</t>
  </si>
  <si>
    <t>Prof.Atulomah Nnodimele</t>
  </si>
  <si>
    <t>Dr.Kabangi Moses</t>
  </si>
  <si>
    <t>Mr.Hassan Tugume</t>
  </si>
  <si>
    <t>Dr. Mugabi</t>
  </si>
  <si>
    <t>Mr.Ayasi Bin-Asadi</t>
  </si>
  <si>
    <t>Ms.Noam Everlyn Abenakyo</t>
  </si>
  <si>
    <t>Mr.Bakyayita David</t>
  </si>
  <si>
    <t>Mr.Balirwa Moses</t>
  </si>
  <si>
    <t>Mr.Bamuswankwire Charles</t>
  </si>
  <si>
    <t>Ms.Barbra Kisakye</t>
  </si>
  <si>
    <t>Ms.Bisaso Rita Regina</t>
  </si>
  <si>
    <t>Mr.Bruce Nabaasa</t>
  </si>
  <si>
    <t>Mr.Byarugaba Mark</t>
  </si>
  <si>
    <t>Mr.Mudoola Herbert</t>
  </si>
  <si>
    <t>Mr.Deo Nsubuga</t>
  </si>
  <si>
    <t>Dr. Akampurira Patience</t>
  </si>
  <si>
    <t>Dr. Anyona O. Evans</t>
  </si>
  <si>
    <t>Dr. Ashiru Tukur Inuwa</t>
  </si>
  <si>
    <t>Dr. Emmanuel Bagenda</t>
  </si>
  <si>
    <t>Dr. Huthaifah Busulwa</t>
  </si>
  <si>
    <t>Prof. Kibukamusoke Martha</t>
  </si>
  <si>
    <t>Mr.Opio Gregory</t>
  </si>
  <si>
    <t>Dr.Kimwise Alone</t>
  </si>
  <si>
    <t>Dr. Koshaba Meshach Ampwera</t>
  </si>
  <si>
    <t>Dr. Lutaaya Sadat Ssemwanga</t>
  </si>
  <si>
    <t>Dr. Mayanja Samuel</t>
  </si>
  <si>
    <t>Dr. Thomas Russel</t>
  </si>
  <si>
    <t>Dr. Wabule Alice</t>
  </si>
  <si>
    <t>Dr.Ssegawa James</t>
  </si>
  <si>
    <t>Dr.Wilberforce Tindyebwa</t>
  </si>
  <si>
    <t>Ms.Iriet Caroline Namajja</t>
  </si>
  <si>
    <t>Mr.Ivan Mugumya</t>
  </si>
  <si>
    <t>Mr.Jimmy Mwesigye</t>
  </si>
  <si>
    <t>Mr.Rubaihayo Samson</t>
  </si>
  <si>
    <t>Ms.Kabasinguzi Christine</t>
  </si>
  <si>
    <t>Ms.Nakazzi Maria</t>
  </si>
  <si>
    <t>Mr.Watiti Kenneth</t>
  </si>
  <si>
    <t>Mr.Kumakech Michael</t>
  </si>
  <si>
    <t>Mr.Kawiso Martin Wilfred</t>
  </si>
  <si>
    <t>Ms.Juliet Bandaru</t>
  </si>
  <si>
    <t>Ms.Khawa Namajja</t>
  </si>
  <si>
    <t>Oscar Correia</t>
  </si>
  <si>
    <t>Mr.Maganda Evans Tabingwa</t>
  </si>
  <si>
    <t>Mr.Makwasi Christopher</t>
  </si>
  <si>
    <t xml:space="preserve">Dr.Mbabazi Annet </t>
  </si>
  <si>
    <t>Mr. Godfrey Ayeranga</t>
  </si>
  <si>
    <t>Mr. Herman Tuhairwe</t>
  </si>
  <si>
    <t>Mr. Moses Kayima</t>
  </si>
  <si>
    <t>Mr. Opio Gregory</t>
  </si>
  <si>
    <t>Mr. Vicent Ssekundi</t>
  </si>
  <si>
    <t>Ms. Agnes Wandira Ntende</t>
  </si>
  <si>
    <t>Ms. Catherine Nansubuga</t>
  </si>
  <si>
    <t>Ms. Denise Babirye</t>
  </si>
  <si>
    <t>Ms. Lelia Katusiime</t>
  </si>
  <si>
    <t>Ms. Mary Nyachieo</t>
  </si>
  <si>
    <t>Prof. Norman Mugarura</t>
  </si>
  <si>
    <t>Mr.Murami Taibu</t>
  </si>
  <si>
    <t>Ms.Nabbanja Teddy</t>
  </si>
  <si>
    <t>Ms.Namakula Elizabeth</t>
  </si>
  <si>
    <t>Ms.Namazzi Sarah</t>
  </si>
  <si>
    <t>Ms.Nansereko Racheal Kabuye</t>
  </si>
  <si>
    <t>Ms.Nanyonjo Evelyn</t>
  </si>
  <si>
    <t>Mr.Wairindi Daniel Katongole</t>
  </si>
  <si>
    <t>Ms.Nassozi Beatrice</t>
  </si>
  <si>
    <t>Ms.Nimusiima Edinnah</t>
  </si>
  <si>
    <t xml:space="preserve">Ms.Nnagadya Sumayah </t>
  </si>
  <si>
    <t>Mr.Ochwo Geoffrey</t>
  </si>
  <si>
    <t>Prof.Musa Dahiru</t>
  </si>
  <si>
    <t xml:space="preserve">Dr.Charlotte Aguti </t>
  </si>
  <si>
    <t>Mr.Pule Samuel</t>
  </si>
  <si>
    <t>Mr.Ronald Olar</t>
  </si>
  <si>
    <t>Mr.Ssemakula Habiib Musa</t>
  </si>
  <si>
    <t>Mr.Taremwa Danson</t>
  </si>
  <si>
    <t>Mr.Tuhaise Robert</t>
  </si>
  <si>
    <t>BIT122/BSE121/DDA1204</t>
  </si>
  <si>
    <t xml:space="preserve">Research Methodology in Computing </t>
  </si>
  <si>
    <t xml:space="preserve">Computer Applications </t>
  </si>
  <si>
    <t xml:space="preserve">Internet Technology &amp; Web Design </t>
  </si>
  <si>
    <t xml:space="preserve">Database Development and Management I </t>
  </si>
  <si>
    <t xml:space="preserve">E-Commerce </t>
  </si>
  <si>
    <t>Principles of programming</t>
  </si>
  <si>
    <t xml:space="preserve">Systems Analysis and Design </t>
  </si>
  <si>
    <t xml:space="preserve">Database Development and Management II </t>
  </si>
  <si>
    <t xml:space="preserve">Entrepreneurship &amp; Small Business Management </t>
  </si>
  <si>
    <t>Web Development and Management</t>
  </si>
  <si>
    <t xml:space="preserve">Computer Networks &amp; Data Communications </t>
  </si>
  <si>
    <t>Software Engineering Principles</t>
  </si>
  <si>
    <t>Multimedia systems</t>
  </si>
  <si>
    <t>Mobile Application Development</t>
  </si>
  <si>
    <t xml:space="preserve">YEAR THREE SEMESTER TWO </t>
  </si>
  <si>
    <t>Internet and Web Programming</t>
  </si>
  <si>
    <t>COM123,DDA1201</t>
  </si>
  <si>
    <t>Object Oriented Programming</t>
  </si>
  <si>
    <t>ADHM1106</t>
  </si>
  <si>
    <t xml:space="preserve">Health Systems Management </t>
  </si>
  <si>
    <t>ADHM1103</t>
  </si>
  <si>
    <t>Managing Primary Health Care Services</t>
  </si>
  <si>
    <t>ADHM1102</t>
  </si>
  <si>
    <t>Basic English Language Communication Skills</t>
  </si>
  <si>
    <t>ADHM1105</t>
  </si>
  <si>
    <t xml:space="preserve">Fundamentals of Financial Management in Health care   </t>
  </si>
  <si>
    <t>ADHM1101</t>
  </si>
  <si>
    <t>Information technology in Health Services Management</t>
  </si>
  <si>
    <t>ADHM1104</t>
  </si>
  <si>
    <t>Fundamentals of Epidemiology and Biostatistics</t>
  </si>
  <si>
    <t>ADHM1201</t>
  </si>
  <si>
    <t>Environmental and Occupational Health and Safety</t>
  </si>
  <si>
    <t>ADHM1202</t>
  </si>
  <si>
    <t>ADHM1203</t>
  </si>
  <si>
    <t>Management and Maintenance of Health Material Resources</t>
  </si>
  <si>
    <t>ADHM1204</t>
  </si>
  <si>
    <t>ADHM1205</t>
  </si>
  <si>
    <t>Mobilization of Resources for Health Services</t>
  </si>
  <si>
    <t>ADHM1206</t>
  </si>
  <si>
    <t>Fundamentals of Action Research in Health Services Research</t>
  </si>
  <si>
    <t>ROOM AVAILABILITY CHECK - ALL CAMPUSES</t>
  </si>
  <si>
    <t>BIT-5,BCS-5,BSE-8</t>
  </si>
  <si>
    <t>ICT Project Planning and Management | Managing Software Engineering Projects</t>
  </si>
  <si>
    <t>BCS-2,BSE-2,BIT-2,DIT-2,DDA-2</t>
  </si>
  <si>
    <t>BCS-6,BCS-3</t>
  </si>
  <si>
    <t>BBA-HRM-6,BPAM-2</t>
  </si>
  <si>
    <t>DDA-1,BDA-1</t>
  </si>
  <si>
    <t>DDA1106</t>
  </si>
  <si>
    <t>Digital Electronics</t>
  </si>
  <si>
    <t>BIT-6,DIT-4,BCS-6,BSE-8</t>
  </si>
  <si>
    <t>BCS-2,BSE-2,DDA-2</t>
  </si>
  <si>
    <t>BSE-6,BCS-6</t>
  </si>
  <si>
    <t>BBA-PL-1,BBA-HRM-1,BBA-G-1,BBA-MKT-1,DDA-1</t>
  </si>
  <si>
    <t>BBA-AF-1,BBA-BF-1,BIT-1,BCS-1,DBA-1,BBA-ENT-1,BDA-1</t>
  </si>
  <si>
    <t>BIT-1,BSE-1,BCS-1,BDA-1</t>
  </si>
  <si>
    <t>HEC-B1,HEC-P1</t>
  </si>
  <si>
    <t>Foundational Mathematics - Group 1</t>
  </si>
  <si>
    <t>MKN-05</t>
  </si>
  <si>
    <t>DIT-1,DDA-1</t>
  </si>
  <si>
    <t>BIT-1,BCS-1,BSE-1,DIT-1,BPH-1,DDA-1,BDA-1</t>
  </si>
  <si>
    <t>BSE-1,BDA-1</t>
  </si>
  <si>
    <t>DDA-2</t>
  </si>
  <si>
    <t>DDA1205</t>
  </si>
  <si>
    <t xml:space="preserve">Data Science Essentials  </t>
  </si>
  <si>
    <t>BSE-5,DDA-2</t>
  </si>
  <si>
    <t>BSE-4,BCS-4,DDA-1,BDA-1</t>
  </si>
  <si>
    <t>SI-202 | Online</t>
  </si>
  <si>
    <t>Foundational Mathematics - Group 2</t>
  </si>
  <si>
    <t>BBA-PL-1,BBA-HRM-1,BBA-G-1,BBA-MKT-1,BIT-1,BCS-1,BSE-1,DIT-1,BPH-1,DDA-1,BDA-1</t>
  </si>
  <si>
    <t>MKN-08</t>
  </si>
  <si>
    <t>BDA1202,DDA1203</t>
  </si>
  <si>
    <t xml:space="preserve"> R Programming</t>
  </si>
  <si>
    <t>BDA1201,DDA1206</t>
  </si>
  <si>
    <t xml:space="preserve">Design Thinking </t>
  </si>
  <si>
    <t>BPH</t>
  </si>
  <si>
    <t>MKN-15|Online</t>
  </si>
  <si>
    <t>MKT311</t>
  </si>
  <si>
    <t>Consumer Behaviour</t>
  </si>
  <si>
    <t>ENT312</t>
  </si>
  <si>
    <t>Electronic Business</t>
  </si>
  <si>
    <t>MKT312</t>
  </si>
  <si>
    <t>Service Marketing</t>
  </si>
  <si>
    <t>MKT313</t>
  </si>
  <si>
    <t>Marketing Research &amp; Planning</t>
  </si>
  <si>
    <t>Unnamed: 0</t>
  </si>
  <si>
    <t>Check colusion.1</t>
  </si>
  <si>
    <t>Unnamed: 12</t>
  </si>
  <si>
    <t>Unnamed: 13</t>
  </si>
  <si>
    <t>Lecturer.1</t>
  </si>
  <si>
    <t>Lecturer.2</t>
  </si>
  <si>
    <t>Lecturer.3</t>
  </si>
  <si>
    <t>aasadi@cavendish.ac.ug</t>
  </si>
  <si>
    <t>Mon02:45-04:45KG-11</t>
  </si>
  <si>
    <t>Mon:02:45-04:45:Mr.Ayasi Bin-Asadi</t>
  </si>
  <si>
    <t>Mon:02:45-04:45:BBA-PL-5</t>
  </si>
  <si>
    <t>PLM318:Risk &amp; Insurance Management||Mr.Ayasi Bin-Asadi</t>
  </si>
  <si>
    <t>moses.balirwa@cavendish.ac.ug</t>
  </si>
  <si>
    <t>Mon12:30-02:30SI-112</t>
  </si>
  <si>
    <t>Mon:12:30-02:30:Mr.Balirwa Moses</t>
  </si>
  <si>
    <t>Mon:12:30-02:30:BIT-5,BCS-5,BSE-8</t>
  </si>
  <si>
    <t>BIT311:ICT Project Planning and Management | Managing Software Engineering Projects||Mr.Balirwa Moses</t>
  </si>
  <si>
    <t>bkisakye@cavendish.ac.ug</t>
  </si>
  <si>
    <t>Mon02:45-04:45SI-105</t>
  </si>
  <si>
    <t>Mon:02:45-04:45:Ms.Barbra Kisakye</t>
  </si>
  <si>
    <t>Mon:02:45-04:45:BIT-5,BCS-4</t>
  </si>
  <si>
    <t>BIS313:Business Systems Modelling||Ms.Barbra Kisakye</t>
  </si>
  <si>
    <t>Dr. Dorcus Kalembe</t>
  </si>
  <si>
    <t>dkalembe@cavendish.ac.ug</t>
  </si>
  <si>
    <t>Mon08:00-10:00KG-11</t>
  </si>
  <si>
    <t>Mon:08:00-10:00:Dr. Dorcus Kalembe</t>
  </si>
  <si>
    <t>Mon:08:00-10:00:BBA-AF-5</t>
  </si>
  <si>
    <t>BAC313:Advanced Accounting I||Dr. Dorcus Kalembe</t>
  </si>
  <si>
    <t>Brenda Tusingwire Jakira</t>
  </si>
  <si>
    <t>btusingwire@cavendish.ac.ug</t>
  </si>
  <si>
    <t>Mon12:30-02:30KG-9</t>
  </si>
  <si>
    <t>Mon:12:30-02:30:Brenda Tusingwire Jakira</t>
  </si>
  <si>
    <t>Mon:12:30-02:30:BJC-5</t>
  </si>
  <si>
    <t>BJC315:Investigative Journalism||Brenda Tusingwire Jakira</t>
  </si>
  <si>
    <t>Kayanja Joseph</t>
  </si>
  <si>
    <t>jKayanga@cavendish.ac.ug</t>
  </si>
  <si>
    <t>Mon02:45-04:45KG-9</t>
  </si>
  <si>
    <t>Mon:02:45-04:45:Kayanja Joseph</t>
  </si>
  <si>
    <t>Mon:02:45-04:45:BJC-5-PR</t>
  </si>
  <si>
    <t>BPR322:PR Strategies, Planning and Programming||Kayanja Joseph</t>
  </si>
  <si>
    <t>Dr. Abdulrazak Yuguda Madu</t>
  </si>
  <si>
    <t>amadu@cavendish.ac.ug</t>
  </si>
  <si>
    <t>Mon04:00-06:00Online</t>
  </si>
  <si>
    <t>Mon:04:00-06:00:Dr. Abdulrazak Yuguda Madu</t>
  </si>
  <si>
    <t>Mon:04:00-06:00:BPAM-3</t>
  </si>
  <si>
    <t>BPA215:Environmental Management and Sustainable Development||Dr. Abdulrazak Yuguda Madu</t>
  </si>
  <si>
    <t>Mon02:45-04:45Online</t>
  </si>
  <si>
    <t>Mon:02:45-04:45:Dr. Abdulrazak Yuguda Madu</t>
  </si>
  <si>
    <t>Mon:02:45-04:45:BJC-5-Journalism</t>
  </si>
  <si>
    <t>BJC324:Politics of  Developments||Dr. Abdulrazak Yuguda Madu</t>
  </si>
  <si>
    <t>iashiru@cavendish.ac.ug</t>
  </si>
  <si>
    <t>Mon12:30-02:30Online</t>
  </si>
  <si>
    <t>Mon:12:30-02:30:Dr. Ashiru Tukur Inuwa</t>
  </si>
  <si>
    <t>Mon:12:30-02:30:BJC-4</t>
  </si>
  <si>
    <t>BJC226:Media Law &amp; Ethics||Dr. Ashiru Tukur Inuwa</t>
  </si>
  <si>
    <t>Mon02:45-04:45KG-10</t>
  </si>
  <si>
    <t>Mon:02:45-04:45:Brenda Tusingwire Jakira</t>
  </si>
  <si>
    <t>Mon:02:45-04:45:BJC-2</t>
  </si>
  <si>
    <t>BJC123:Introduction to Broadcasting||Brenda Tusingwire Jakira</t>
  </si>
  <si>
    <t>Mon10:15-12:15Online</t>
  </si>
  <si>
    <t>Mon:10:15-12:15:Dr. Ashiru Tukur Inuwa</t>
  </si>
  <si>
    <t>Mon:10:15-12:15:BJC-2</t>
  </si>
  <si>
    <t>BJC121:Mass Media and Society||Dr. Ashiru Tukur Inuwa</t>
  </si>
  <si>
    <t>Dr.Chinwe Peace</t>
  </si>
  <si>
    <t>ichinwe@cavendish.ac.ug</t>
  </si>
  <si>
    <t>Mon08:00-10:00Online</t>
  </si>
  <si>
    <t>Mon:08:00-10:00:Dr.Chinwe Peace</t>
  </si>
  <si>
    <t>Mon:08:00-10:00:BCS-5,BSE-5</t>
  </si>
  <si>
    <t>COM312:Artificial Intelligence and Expert Systems||Dr.Chinwe Peace</t>
  </si>
  <si>
    <t>dwalyemera@cavendish.ac.ug</t>
  </si>
  <si>
    <t>Mon02:00-04:00LLB1</t>
  </si>
  <si>
    <t>Mon:02:00-04:00:Dr. Daniel Walyemera</t>
  </si>
  <si>
    <t>Mon10:00-12:00LLM</t>
  </si>
  <si>
    <t>Mon:10:00-12:00:Dr. Daniel Walyemera</t>
  </si>
  <si>
    <t>ebagenda@cavendish.ac.ug</t>
  </si>
  <si>
    <t>Mon04:00-06:00LLM</t>
  </si>
  <si>
    <t>Mon:04:00-06:00:Dr. Emmanuel Bagenda</t>
  </si>
  <si>
    <t>Dr. Huthaifah Busuulwa</t>
  </si>
  <si>
    <t>hbusuulwa@cavendish.ac.ug</t>
  </si>
  <si>
    <t>Mon04:45-06:45KG-13</t>
  </si>
  <si>
    <t>Mon:04:45-06:45:Dr. Huthaifah Busuulwa</t>
  </si>
  <si>
    <t>Mon:04:45-06:45:BIRDS-6</t>
  </si>
  <si>
    <t>IRDS325:International Public Relations and   Strategic Communication||Dr. Huthaifah Busuulwa</t>
  </si>
  <si>
    <t>Mon12:30-02:30KG-7</t>
  </si>
  <si>
    <t>Mon:12:30-02:30:Kayanja Joseph</t>
  </si>
  <si>
    <t>Mon:12:30-02:30:BJC-6-PR</t>
  </si>
  <si>
    <t>BPR324:Media and conflict management||Kayanja Joseph</t>
  </si>
  <si>
    <t>Ms. Habiba Njeri Ngugi</t>
  </si>
  <si>
    <t>hngugi@cavendish.ac.ug</t>
  </si>
  <si>
    <t>Mon08:00-10:00SI-112</t>
  </si>
  <si>
    <t>Mon:08:00-10:00:Ms. Habiba Njeri Ngugi</t>
  </si>
  <si>
    <t>Mon:08:00-10:00:BIT-3,BSE-2,DIT-3,BCS-2</t>
  </si>
  <si>
    <t>BIT212:Systems Analysis and Design||Ms. Habiba Njeri Ngugi</t>
  </si>
  <si>
    <t>Ms. Nassozi Beatrice</t>
  </si>
  <si>
    <t>bnassozi@cavendish.ac.ug</t>
  </si>
  <si>
    <t>Mon10:15-12:15KG-7</t>
  </si>
  <si>
    <t>Mon:10:15-12:15:Ms. Nassozi Beatrice</t>
  </si>
  <si>
    <t>Mon:10:15-12:15:BPAM-6</t>
  </si>
  <si>
    <t>BPA124:Organisational Psychology||Ms. Nassozi Beatrice</t>
  </si>
  <si>
    <t>trussel@cavendish.ac.ug</t>
  </si>
  <si>
    <t>Mon08:00-10:00KG-10</t>
  </si>
  <si>
    <t>Mon:08:00-10:00:Dr. Thomas Russel</t>
  </si>
  <si>
    <t>Mon:08:00-10:00:BIRDS-1</t>
  </si>
  <si>
    <t>IRDS112:Introduction to Diplomacy||Dr. Thomas Russel</t>
  </si>
  <si>
    <t>vssekundi@cavendish.ac.ug</t>
  </si>
  <si>
    <t>Mon02:45-04:45KG-15</t>
  </si>
  <si>
    <t>Mon:02:45-04:45:Mr. Vicent Ssekundi</t>
  </si>
  <si>
    <t>Mon:02:45-04:45:BIRDS-5</t>
  </si>
  <si>
    <t>IRDS315:International Development ||Mr. Vicent Ssekundi</t>
  </si>
  <si>
    <t>jtabalanga@cavendish.ac.ug</t>
  </si>
  <si>
    <t>Mon12:30-02:30KG-13</t>
  </si>
  <si>
    <t>Mon:12:30-02:30:Mr. Jonathan Tabalanga</t>
  </si>
  <si>
    <t>Mon:12:30-02:30:BIRDS-3</t>
  </si>
  <si>
    <t>IRDS215:Regional Integration and Globalization||Mr. Jonathan Tabalanga</t>
  </si>
  <si>
    <t>Mr. Ssekalo Ismael</t>
  </si>
  <si>
    <t>issekalo@cavendish.ac.ug</t>
  </si>
  <si>
    <t>Mon12:30-02:30SI-102</t>
  </si>
  <si>
    <t>Mon:12:30-02:30:Mr. Ssekalo Ismael</t>
  </si>
  <si>
    <t>Mon:12:30-02:30:BBA-HRM-6</t>
  </si>
  <si>
    <t>HRM322:Occupational Health and Safety||Mr. Ssekalo Ismael</t>
  </si>
  <si>
    <t>smayanja@cavendish.ac.ug</t>
  </si>
  <si>
    <t>Mon08:00-10:00KG-7</t>
  </si>
  <si>
    <t>Mon:08:00-10:00:Dr. Mayanja Samuel</t>
  </si>
  <si>
    <t>Mon:08:00-10:00:BBA-PL-5,G-5</t>
  </si>
  <si>
    <t>PLM314:Business Negotiations||Dr. Mayanja Samuel</t>
  </si>
  <si>
    <t>kssegawa@cavendish.ac.ug</t>
  </si>
  <si>
    <t>Mon12:30-02:30SI-205</t>
  </si>
  <si>
    <t>Mon:12:30-02:30:Dr.Ssegawa James</t>
  </si>
  <si>
    <t>Mon:12:30-02:30:BIT-4,BSE-3,BCS-4</t>
  </si>
  <si>
    <t>COM224/BSE212:Software Engineering/Principles of Software Engineering||Dr.Ssegawa James</t>
  </si>
  <si>
    <t>Mr. Nkoloogi Bulaisus</t>
  </si>
  <si>
    <t>nblasius@cavendish.ac.ug</t>
  </si>
  <si>
    <t>Mon12:30-02:30SI-214</t>
  </si>
  <si>
    <t>Mon:12:30-02:30:Mr. Nkoloogi Bulaisus</t>
  </si>
  <si>
    <t>Mon:12:30-02:30:BCS-2,BSE-2,BIT-2,DIT-2,DDA-2</t>
  </si>
  <si>
    <t>BIT122/BSE121/DDA1204:Internet Technology and Web design/Internet and Web Programming 1||Mr. Nkoloogi Bulaisus</t>
  </si>
  <si>
    <t>Ivan Mugumya</t>
  </si>
  <si>
    <t>imugumya@cavendish.ac.ug</t>
  </si>
  <si>
    <t>Mon12:30-02:30MKN-15</t>
  </si>
  <si>
    <t>Mon:12:30-02:30:Ivan Mugumya</t>
  </si>
  <si>
    <t>Mon:12:30-02:30:BPH-4</t>
  </si>
  <si>
    <t>EHS223:Occupational Health and Safety||Ivan Mugumya</t>
  </si>
  <si>
    <t>Mr. Kawiso Martin Wilfred</t>
  </si>
  <si>
    <t>mkawiso@cavendish.ac.ug</t>
  </si>
  <si>
    <t>Mon12:30-02:30MKN-14</t>
  </si>
  <si>
    <t>Mon:12:30-02:30:Mr. Kawiso Martin Wilfred</t>
  </si>
  <si>
    <t>Mon:12:30-02:30:HEC-B2,HEC-P2</t>
  </si>
  <si>
    <t>FOS125:Foundation Statistics||Mr. Kawiso Martin Wilfred</t>
  </si>
  <si>
    <t>mkumakech@cavendish.ac.ug</t>
  </si>
  <si>
    <t>Mon10:15-12:15SI-105</t>
  </si>
  <si>
    <t>Mon:10:15-12:15:Mr.Kumakech Michael</t>
  </si>
  <si>
    <t>Mon:10:15-12:15:BCS-6,BCS-3</t>
  </si>
  <si>
    <t>COM321:Simulation and Modeling||Mr.Kumakech Michael</t>
  </si>
  <si>
    <t>Mon08:00-10:00SI-B01</t>
  </si>
  <si>
    <t>Mon:08:00-10:00:Mr.Kumakech Michael</t>
  </si>
  <si>
    <t>Mon:08:00-10:00:BIT-4,BCS-4,BSE-3</t>
  </si>
  <si>
    <t>COM221:Operating Systems Principles||Mr.Kumakech Michael</t>
  </si>
  <si>
    <t>gayeranga@cavendish.ac.ug</t>
  </si>
  <si>
    <t>Mon02:00-04:00LLB3</t>
  </si>
  <si>
    <t>Mon:02:00-04:00:Mr. Godfrey Ayeranga</t>
  </si>
  <si>
    <t xml:space="preserve">Mr. Samson Rubayihayo </t>
  </si>
  <si>
    <t>rsamson@cavendish.ac.ug</t>
  </si>
  <si>
    <t>Mon12:00-02:00LLB1</t>
  </si>
  <si>
    <t xml:space="preserve">Mon:12:00-02:00:Mr. Samson Rubayihayo </t>
  </si>
  <si>
    <t xml:space="preserve">LLB113-D:Criminal Law I||Mr. Samson Rubayihayo </t>
  </si>
  <si>
    <t>anabwiso@cavendish.ac.ug</t>
  </si>
  <si>
    <t>Mon08:00-10:00LLB4</t>
  </si>
  <si>
    <t>Mon:08:00-10:00:Mr. Alex Nabwiso</t>
  </si>
  <si>
    <t>htuhairwe@cavendish.ac.ug</t>
  </si>
  <si>
    <t>Mon10:00-12:00LLB3</t>
  </si>
  <si>
    <t>Mon:10:00-12:00:Mr. Herman Tuhairwe</t>
  </si>
  <si>
    <t>Mon12:00-02:00LLB4</t>
  </si>
  <si>
    <t>Mon:12:00-02:00:Mr. Herman Tuhairwe</t>
  </si>
  <si>
    <t xml:space="preserve">Mr. Moses Kayima Nyanzi </t>
  </si>
  <si>
    <t>mkayima@cavendish.ac.ug</t>
  </si>
  <si>
    <t>Mon02:00-04:00LLM</t>
  </si>
  <si>
    <t xml:space="preserve">Mon:02:00-04:00:Mr. Moses Kayima Nyanzi </t>
  </si>
  <si>
    <t>Mon12:00-02:00LLM</t>
  </si>
  <si>
    <t xml:space="preserve">Mon:12:00-02:00:Mr. Moses Kayima Nyanzi </t>
  </si>
  <si>
    <t>rwatenyera@cavendish.ac.ug</t>
  </si>
  <si>
    <t>Mon10:15-12:15KG-10</t>
  </si>
  <si>
    <t>Mon:10:15-12:15:Mr. Richard Watenyera</t>
  </si>
  <si>
    <t>Mon:10:15-12:15:BIRDS-2</t>
  </si>
  <si>
    <t>IRDS129:Terrorism and Related Global Issues||Mr. Richard Watenyera</t>
  </si>
  <si>
    <t>Mon12:30-02:30KG-14</t>
  </si>
  <si>
    <t>Mon:12:30-02:30:Mr. Richard Watenyera</t>
  </si>
  <si>
    <t>Mon:12:30-02:30:BPAM-5</t>
  </si>
  <si>
    <t>BPA314:Constitutionalism and Administrative Law||Mr. Richard Watenyera</t>
  </si>
  <si>
    <t>Mon12:30-02:30SI-B01</t>
  </si>
  <si>
    <t>Mon:12:30-02:30:Mr. Vicent Ssekundi</t>
  </si>
  <si>
    <t>Mon:12:30-02:30:HEC-2A,BPAM-2,BIRDS-2,BJC-2</t>
  </si>
  <si>
    <t>IRDS121/BPA121/FOA124:Introduction to Political Science||Mr. Vicent Ssekundi</t>
  </si>
  <si>
    <t>Mon04:45-06:45KG-9</t>
  </si>
  <si>
    <t>Mon:04:45-06:45:Mr. Vicent Ssekundi</t>
  </si>
  <si>
    <t>Mon:04:45-06:45:BPAM-2</t>
  </si>
  <si>
    <t>BPA221:Economics for Public Administration and management ||Mr. Vicent Ssekundi</t>
  </si>
  <si>
    <t>antende@cavendish.ac.ug</t>
  </si>
  <si>
    <t>Mon08:00-10:00LLB2</t>
  </si>
  <si>
    <t>Mon:08:00-10:00:Ms. Agnes Wandira Ntende</t>
  </si>
  <si>
    <t>Mon10:00-12:00LLB1</t>
  </si>
  <si>
    <t>Mon:10:00-12:00:Ms. Agnes Wandira Ntende</t>
  </si>
  <si>
    <t>cnansubuga@cavendish.ac.ug</t>
  </si>
  <si>
    <t>Mon02:00-04:00LLB2</t>
  </si>
  <si>
    <t>Mon:02:00-04:00:Ms. Catherine Nansubuga</t>
  </si>
  <si>
    <t>Mon04:00-06:00LLB3</t>
  </si>
  <si>
    <t>Mon:04:00-06:00:Ms. Catherine Nansubuga</t>
  </si>
  <si>
    <t>dbabirye@cavendish.ac.ug</t>
  </si>
  <si>
    <t>Mon08:00-10:00LLB3</t>
  </si>
  <si>
    <t>Mon:08:00-10:00:Ms. Denise Babirye</t>
  </si>
  <si>
    <t>mnyachieo@cavendish.ac.ug</t>
  </si>
  <si>
    <t>Mon02:00-04:00LLB4</t>
  </si>
  <si>
    <t>Mon:02:00-04:00:Ms. Mary Nyachieo</t>
  </si>
  <si>
    <t>Mon10:00-12:00LLB2</t>
  </si>
  <si>
    <t>Mon:10:00-12:00:Ms. Mary Nyachieo</t>
  </si>
  <si>
    <t>bkirima@cavendish.ac.ug</t>
  </si>
  <si>
    <t>Mon12:00-02:00LLB3</t>
  </si>
  <si>
    <t>Mon:12:00-02:00:Mr. Brian Kirima</t>
  </si>
  <si>
    <t>hmudoola@cavendish.ac.ug</t>
  </si>
  <si>
    <t>Mon12:30-02:30KG-6</t>
  </si>
  <si>
    <t>Mon:12:30-02:30:Mr.Mudoola Herbert</t>
  </si>
  <si>
    <t>Mon:12:30-02:30:BJC-1</t>
  </si>
  <si>
    <t>BJC115:Introduction to Journalism &amp; Media organisation||Mr.Mudoola Herbert</t>
  </si>
  <si>
    <t>Mon02:45-04:45KG-6</t>
  </si>
  <si>
    <t>Mon:02:45-04:45:Mr.Mudoola Herbert</t>
  </si>
  <si>
    <t>Mon:02:45-04:45:BJC-4</t>
  </si>
  <si>
    <t>BJC224:Media Management||Mr.Mudoola Herbert</t>
  </si>
  <si>
    <t>Mon10:15-12:15KG-15</t>
  </si>
  <si>
    <t>Mon:10:15-12:15:Dr. Dorcus Kalembe</t>
  </si>
  <si>
    <t>Mon:10:15-12:15:BBA-BF-1,BBA-AF-1,DBA-1,BBA-ENT-1</t>
  </si>
  <si>
    <t>BBA115:Financial Accounting||Dr. Dorcus Kalembe</t>
  </si>
  <si>
    <t>Sarah Namazzi</t>
  </si>
  <si>
    <t>snamazzi@cavendish.ac.ug</t>
  </si>
  <si>
    <t>Mon10:15-12:15MKN-18</t>
  </si>
  <si>
    <t>Mon:10:15-12:15:Sarah Namazzi</t>
  </si>
  <si>
    <t>Mon:10:15-12:15:HEC-B2,HEC-P2</t>
  </si>
  <si>
    <t>FOS127:Foundation Organic and Analytic Chemistry||Sarah Namazzi</t>
  </si>
  <si>
    <t>Mon:10:15-12:15:BBA-HRM-6,BPAM-2</t>
  </si>
  <si>
    <t>HRM325:Industrial Psychology||Ms. Nassozi Beatrice</t>
  </si>
  <si>
    <t>spule@cavendish.ac.ug</t>
  </si>
  <si>
    <t>Mon12:30-02:30KG-11</t>
  </si>
  <si>
    <t>Mon:12:30-02:30:Mr.Pule Samuel</t>
  </si>
  <si>
    <t>Mon:12:30-02:30:BBA-PL-6</t>
  </si>
  <si>
    <t>PLM328:E-Procurement &amp; Software Applications ||Mr.Pule Samuel</t>
  </si>
  <si>
    <t>Mon10:15-12:15KG-5</t>
  </si>
  <si>
    <t>Mon:10:15-12:15:Mr.Mudoola Herbert</t>
  </si>
  <si>
    <t>Mon:10:15-12:15:BJC-6-PR</t>
  </si>
  <si>
    <t>BPR329:Digital Content for Brand Communications||Mr.Mudoola Herbert</t>
  </si>
  <si>
    <t>Mon10:15-12:15MKN-15</t>
  </si>
  <si>
    <t>Mon:10:15-12:15:Ivan Mugumya</t>
  </si>
  <si>
    <t>Mon:10:15-12:15:BPH-6</t>
  </si>
  <si>
    <t>EHS323:Institutional Health Management ||Ivan Mugumya</t>
  </si>
  <si>
    <t>Mon02:45-04:45SI-102</t>
  </si>
  <si>
    <t>Mon:02:45-04:45:Mr. Nkoloogi Bulaisus</t>
  </si>
  <si>
    <t>Mon:02:45-04:45:DDA-1,BDA-1</t>
  </si>
  <si>
    <t>DDA1106:Digital Electronics||Mr. Nkoloogi Bulaisus</t>
  </si>
  <si>
    <t>Tue08:00-10:00KG-9</t>
  </si>
  <si>
    <t>Tue:08:00-10:00:Mr.Ayasi Bin-Asadi</t>
  </si>
  <si>
    <t>Tue:08:00-10:00:BBA-PL-6</t>
  </si>
  <si>
    <t>PLM324:Strategic Procurement||Mr.Ayasi Bin-Asadi</t>
  </si>
  <si>
    <t>Tue12:30-02:30KG-9</t>
  </si>
  <si>
    <t>Tue:12:30-02:30:Mr.Ayasi Bin-Asadi</t>
  </si>
  <si>
    <t>Tue:12:30-02:30:BBA-PL-5</t>
  </si>
  <si>
    <t>PLM319:Logistics &amp; Supply Chain Management||Mr.Ayasi Bin-Asadi</t>
  </si>
  <si>
    <t>Tue10:15-12:15SI-112</t>
  </si>
  <si>
    <t>Tue:10:15-12:15:Mr.Balirwa Moses</t>
  </si>
  <si>
    <t>Tue:10:15-12:15:BIT-6,DIT-4,BCS-6,BSE-8</t>
  </si>
  <si>
    <t>BIT321/BSE427:Professional Issues in Computing||Mr.Balirwa Moses</t>
  </si>
  <si>
    <t>Dr. Mugabi Francis</t>
  </si>
  <si>
    <t>fmugabi@cavendish.ac.ug</t>
  </si>
  <si>
    <t>Tue10:15-12:15SI-105</t>
  </si>
  <si>
    <t>Tue:10:15-12:15:Dr. Mugabi Francis</t>
  </si>
  <si>
    <t>Tue:10:15-12:15:BCS-2,BSE-2,DDA-2</t>
  </si>
  <si>
    <t>COM123,DDA1201:Numerical Analysis and Computation||Dr. Mugabi Francis</t>
  </si>
  <si>
    <t>Ms.Nabbanja Teddy | Kato Ashiram</t>
  </si>
  <si>
    <t>tnabbanja@cavendish.ac.ug</t>
  </si>
  <si>
    <t>Tue08:00-10:00SI-214</t>
  </si>
  <si>
    <t>Tue:08:00-10:00:Ms.Nabbanja Teddy | Kato Ashiram</t>
  </si>
  <si>
    <t>Tue:08:00-10:00:HEC-H1</t>
  </si>
  <si>
    <t>HEC111:Computing and Study Skills||Ms.Nabbanja Teddy | Kato Ashiram</t>
  </si>
  <si>
    <t>Tue04:45-06:45KG-9</t>
  </si>
  <si>
    <t>Tue:04:45-06:45:Kayanja Joseph</t>
  </si>
  <si>
    <t>Tue:04:45-06:45:BJC-5-Journalism</t>
  </si>
  <si>
    <t>BJC323:Radio Production||Kayanja Joseph</t>
  </si>
  <si>
    <t>Tue08:00-10:00KG-7</t>
  </si>
  <si>
    <t>Tue:08:00-10:00:Brenda Tusingwire Jakira</t>
  </si>
  <si>
    <t>Tue:08:00-10:00:BJC-2</t>
  </si>
  <si>
    <t>BJC122:Introduction to Public Relations||Brenda Tusingwire Jakira</t>
  </si>
  <si>
    <t>Tue04:00-06:00Online</t>
  </si>
  <si>
    <t>Tue:04:00-06:00:Dr. Abdulrazak Yuguda Madu</t>
  </si>
  <si>
    <t>Tue:04:00-06:00:BPAM-1</t>
  </si>
  <si>
    <t>BPA112:Public Finance Administration and Management||Dr. Abdulrazak Yuguda Madu</t>
  </si>
  <si>
    <t>aondigi@cavendish.ac.ug</t>
  </si>
  <si>
    <t>Tue10:15-12:15SI-B01</t>
  </si>
  <si>
    <t>Tue:10:15-12:15:Dr. Anyona O. Evans</t>
  </si>
  <si>
    <t>Tue:10:15-12:15:HEC-H1</t>
  </si>
  <si>
    <t>HEC113:Reading and writing skills for beginners||Dr. Anyona O. Evans</t>
  </si>
  <si>
    <t>Tue12:30-02:30Online</t>
  </si>
  <si>
    <t>Tue:12:30-02:30:Dr.Chinwe Peace</t>
  </si>
  <si>
    <t>Tue:12:30-02:30:BSE-6,BCS-6</t>
  </si>
  <si>
    <t>COM324:Machine Learning ||Dr.Chinwe Peace</t>
  </si>
  <si>
    <t>Tue08:00-10:00LLB1</t>
  </si>
  <si>
    <t>Tue:08:00-10:00:Dr. Daniel Walyemera</t>
  </si>
  <si>
    <t>Tue04:00-06:00LLB3</t>
  </si>
  <si>
    <t>Tue:04:00-06:00:Dr. Daniel Walyemera</t>
  </si>
  <si>
    <t>Tue10:00-12:00LLM</t>
  </si>
  <si>
    <t>Tue:10:00-12:00:Dr. Emmanuel Bagenda</t>
  </si>
  <si>
    <t>Tue04:45-06:45KG-7</t>
  </si>
  <si>
    <t>Tue:04:45-06:45:Dr. Huthaifah Busuulwa</t>
  </si>
  <si>
    <t>Tue:04:45-06:45:BIRDS-5</t>
  </si>
  <si>
    <t>IRDS314:International Politics, Media and Conflict||Dr. Huthaifah Busuulwa</t>
  </si>
  <si>
    <t>Dr.Kimwise Alone| Kato Ashiram</t>
  </si>
  <si>
    <t>kalone@cavendish.ac.ug</t>
  </si>
  <si>
    <t>Tue12:30-02:30SI-205</t>
  </si>
  <si>
    <t>Tue:12:30-02:30:Dr.Kimwise Alone| Kato Ashiram</t>
  </si>
  <si>
    <t>Tue:12:30-02:30:BIT-1,DIT-1</t>
  </si>
  <si>
    <t>BIT113:Fundamentals of Information Systems||Dr.Kimwise Alone| Kato Ashiram</t>
  </si>
  <si>
    <t>Tue10:15-12:15KG-14</t>
  </si>
  <si>
    <t>Tue:10:15-12:15:Ms. Nassozi Beatrice</t>
  </si>
  <si>
    <t>Tue:10:15-12:15:BBA-3</t>
  </si>
  <si>
    <t>BBA212:Organisational Behavior ||Ms. Nassozi Beatrice</t>
  </si>
  <si>
    <t>Tue12:30-02:30SI-B01</t>
  </si>
  <si>
    <t>Tue:12:30-02:30:Dr. Thomas Russel</t>
  </si>
  <si>
    <t>Tue:12:30-02:30:HEC-H2,BPAM-4</t>
  </si>
  <si>
    <t>FOA122/BPA113:Introduction to Critical thinking||Dr. Thomas Russel</t>
  </si>
  <si>
    <t>Tue10:15-12:15KG-11</t>
  </si>
  <si>
    <t>Tue:10:15-12:15:Dr. Thomas Russel</t>
  </si>
  <si>
    <t>Tue:10:15-12:15:BIRDS-2</t>
  </si>
  <si>
    <t>IRDS128:The United Nations Systems   ||Dr. Thomas Russel</t>
  </si>
  <si>
    <t>Dr. Faith Ahabyoona Mugisha</t>
  </si>
  <si>
    <t>fahabyoona@cavendish.ac.ug</t>
  </si>
  <si>
    <t>Tue12:30-02:30KG-14</t>
  </si>
  <si>
    <t>Tue:12:30-02:30:Dr. Faith Ahabyoona Mugisha</t>
  </si>
  <si>
    <t>Tue:12:30-02:30:BBA-AF-6</t>
  </si>
  <si>
    <t>BAC322:Advanced Accounting II||Dr. Faith Ahabyoona Mugisha</t>
  </si>
  <si>
    <t>Ms. Nakazzi Maria</t>
  </si>
  <si>
    <t>Tue02:45-04:45KG-11</t>
  </si>
  <si>
    <t>Tue:02:45-04:45:Ms. Nakazzi Maria</t>
  </si>
  <si>
    <t>Tue:02:45-04:45:BBA-G-6,HRM-6</t>
  </si>
  <si>
    <t>BBA324:Managing Change in Organisations||Ms. Nakazzi Maria</t>
  </si>
  <si>
    <t>Tue02:00-04:00LLM</t>
  </si>
  <si>
    <t>Tue:02:00-04:00:Mr. Alex Nabwiso</t>
  </si>
  <si>
    <t>Tue:02:00-04:00:DPL-1</t>
  </si>
  <si>
    <t>DPS112:General Principles of Constitutional law||Mr. Alex Nabwiso</t>
  </si>
  <si>
    <t>Tue12:30-02:30KG-13</t>
  </si>
  <si>
    <t>Tue:12:30-02:30:Ms. Nakazzi Maria</t>
  </si>
  <si>
    <t>Tue:12:30-02:30:BPH-6,BBA-G-6,BBA-HRM-6,BPAM-6</t>
  </si>
  <si>
    <t>BBA322:Project Planning and Management||Ms. Nakazzi Maria</t>
  </si>
  <si>
    <t>ckabasinguzi@cavendish.ac.ug</t>
  </si>
  <si>
    <t>Tue02:45-04:45KG-14</t>
  </si>
  <si>
    <t>Tue:02:45-04:45:Ms.Kabasinguzi Christine</t>
  </si>
  <si>
    <t>Tue:02:45-04:45:BBA-2</t>
  </si>
  <si>
    <t>PLM311:Principles of Procurement and Logistics Management||Ms.Kabasinguzi Christine</t>
  </si>
  <si>
    <t>Dr. JB Ssemakula</t>
  </si>
  <si>
    <t>jbssemakula@cavendish.ac.ug</t>
  </si>
  <si>
    <t>Tue08:00-10:00SI-112</t>
  </si>
  <si>
    <t>Tue:08:00-10:00:Dr. JB Ssemakula</t>
  </si>
  <si>
    <t>Tue:08:00-10:00:BCS-3,DCS-3,BSE-3,BIT-3</t>
  </si>
  <si>
    <t>COM211:Object oriented programming||Dr. JB Ssemakula</t>
  </si>
  <si>
    <t>Tue08:00-10:00KG-15</t>
  </si>
  <si>
    <t>Tue:08:00-10:00:Mr. Kawiso Martin Wilfred</t>
  </si>
  <si>
    <t>Tue:08:00-10:00:BBA-PL-1,BBA-HRM-1,BBA-G-1,BBA-MKT-1,DDA-1</t>
  </si>
  <si>
    <t>BBA116/DBA116:Basic Statistics||Mr. Kawiso Martin Wilfred</t>
  </si>
  <si>
    <t>Tue12:30-02:30KG-15</t>
  </si>
  <si>
    <t>Tue:12:30-02:30:Mr. Kawiso Martin Wilfred</t>
  </si>
  <si>
    <t>Tue:12:30-02:30:BBA-2,DBA-2</t>
  </si>
  <si>
    <t>BBA122/DBA122:Quantitative Methods for Business||Mr. Kawiso Martin Wilfred</t>
  </si>
  <si>
    <t>Tue10:15-12:15KG-15</t>
  </si>
  <si>
    <t>Tue:10:15-12:15:Mr. Kawiso Martin Wilfred</t>
  </si>
  <si>
    <t>Tue:10:15-12:15:BBA-AF-1,BBA-BF-1,BIT-1,BCS-1,DBA-1,BBA-ENT-1,BDA-1</t>
  </si>
  <si>
    <t>emaganda@cavendish.ac.ug</t>
  </si>
  <si>
    <t>Tue02:45-04:45SI-202</t>
  </si>
  <si>
    <t>Tue:02:45-04:45:Mr.Maganda Evans Tabingwa</t>
  </si>
  <si>
    <t>Tue:02:45-04:45:BIT-6</t>
  </si>
  <si>
    <t>BIT325:Information Systems Audit||Mr.Maganda Evans Tabingwa</t>
  </si>
  <si>
    <t>Tue08:00-10:00SI-B01</t>
  </si>
  <si>
    <t>Tue:08:00-10:00:Mr.Maganda Evans Tabingwa</t>
  </si>
  <si>
    <t>Tue:08:00-10:00:BIT-1,BSE-1,BCS-1,BDA-1</t>
  </si>
  <si>
    <t>BIT111:Discrete Mathematics||Mr.Maganda Evans Tabingwa</t>
  </si>
  <si>
    <t>Tue12:30-02:30SI-105</t>
  </si>
  <si>
    <t>Tue:12:30-02:30:Mr.Maganda Evans Tabingwa</t>
  </si>
  <si>
    <t>Tue:12:30-02:30:BCS-1,DIT-2,BSE-1</t>
  </si>
  <si>
    <t>COM113:Computer Architecture and Organisation||Mr.Maganda Evans Tabingwa</t>
  </si>
  <si>
    <t>Makwasi Christopher</t>
  </si>
  <si>
    <t>cmakwasi@cavendish.ac.ug</t>
  </si>
  <si>
    <t>Tue12:30-02:30KG-10</t>
  </si>
  <si>
    <t>Tue:12:30-02:30:Makwasi Christopher</t>
  </si>
  <si>
    <t>Tue:12:30-02:30:BBA-4</t>
  </si>
  <si>
    <t>BBF222:Financial Management||Makwasi Christopher</t>
  </si>
  <si>
    <t>Tue10:15-12:15KG-6</t>
  </si>
  <si>
    <t>Tue:10:15-12:15:Makwasi Christopher</t>
  </si>
  <si>
    <t>Tue:10:15-12:15:BBA-AF-6</t>
  </si>
  <si>
    <t>BAC326:Computerized Accounting II||Makwasi Christopher</t>
  </si>
  <si>
    <t>awabule@cavendish.ac.ug</t>
  </si>
  <si>
    <t>Tue12:30-02:30MKN-14</t>
  </si>
  <si>
    <t>Tue:12:30-02:30:Dr. Wabule Alice</t>
  </si>
  <si>
    <t>Tue:12:30-02:30:HEC-B2,HEC-P2</t>
  </si>
  <si>
    <t>HEC128:Life Skills Education||Dr. Wabule Alice</t>
  </si>
  <si>
    <t>dwamimbi@cavendish.ac.ug</t>
  </si>
  <si>
    <t>Tue12:30-02:30KG-11</t>
  </si>
  <si>
    <t>Tue:12:30-02:30:Mr. Denis Wamimbi</t>
  </si>
  <si>
    <t>Tue:12:30-02:30:BIRDS-6</t>
  </si>
  <si>
    <t>IRDS323:Strategic Intelligence, Modern Warfare and Human Rights||Mr. Denis Wamimbi</t>
  </si>
  <si>
    <t>Tue10:15-12:15KG-7</t>
  </si>
  <si>
    <t>Tue:10:15-12:15:Mr. Denis Wamimbi</t>
  </si>
  <si>
    <t>Tue:10:15-12:15:BIRDS-1</t>
  </si>
  <si>
    <t>IRDS114:Protocol and Etiquette||Mr. Denis Wamimbi</t>
  </si>
  <si>
    <t>Rene Eno Akpa</t>
  </si>
  <si>
    <t>rnkongho@cavendish.ac.ug</t>
  </si>
  <si>
    <t>Thu10:15-12:15KG-10</t>
  </si>
  <si>
    <t>Thu:10:15-12:15:Rene Eno Akpa</t>
  </si>
  <si>
    <t>Thu:10:15-12:15:BIRDS-5</t>
  </si>
  <si>
    <t>IRDS313:International Justice Mechanisms and International Criminal Justice||Rene Eno Akpa</t>
  </si>
  <si>
    <t>hsalum@cavendish.ac.ug</t>
  </si>
  <si>
    <t>Tue02:00-04:00LLB3</t>
  </si>
  <si>
    <t>Tue:02:00-04:00:Mr. Hakim Salum</t>
  </si>
  <si>
    <t>Tue10:00-12:00LLB3</t>
  </si>
  <si>
    <t>Tue:10:00-12:00:Mr. Herman Tuhairwe</t>
  </si>
  <si>
    <t>Tue02:00-04:00LLB2</t>
  </si>
  <si>
    <t xml:space="preserve">Tue:02:00-04:00:Mr. Moses Kayima Nyanzi </t>
  </si>
  <si>
    <t>Tue12:00-02:00LLB2</t>
  </si>
  <si>
    <t xml:space="preserve">Tue:12:00-02:00:Mr. Moses Kayima Nyanzi </t>
  </si>
  <si>
    <t>Thu08:00-10:00KG-11</t>
  </si>
  <si>
    <t>Thu:08:00-10:00:Rene Eno Akpa</t>
  </si>
  <si>
    <t>Thu:08:00-10:00:BIRDS-2,BPAM-2</t>
  </si>
  <si>
    <t>IRDS125/BPA126:International Political Economy||Rene Eno Akpa</t>
  </si>
  <si>
    <t>Tue02:00-04:00LLB4</t>
  </si>
  <si>
    <t xml:space="preserve">Tue:02:00-04:00:Mr. Samson Rubayihayo </t>
  </si>
  <si>
    <t>sngabirano@cavendish.ac.ug</t>
  </si>
  <si>
    <t>Tue12:00-02:00LLM</t>
  </si>
  <si>
    <t>Tue:12:00-02:00:Mr. Sostine Ngabirano</t>
  </si>
  <si>
    <t>Tue08:00-10:00LLB3</t>
  </si>
  <si>
    <t>Tue:08:00-10:00:Ms. Agnes Wandira Ntende</t>
  </si>
  <si>
    <t>Tue10:00-12:00LLB1</t>
  </si>
  <si>
    <t>Tue:10:00-12:00:Ms. Agnes Wandira Ntende</t>
  </si>
  <si>
    <t>Tue08:00-10:00LLB2</t>
  </si>
  <si>
    <t>Tue:08:00-10:00:Ms. Denise Babirye</t>
  </si>
  <si>
    <t>Tue12:00-02:00Mootcourt</t>
  </si>
  <si>
    <t>Tue:12:00-02:00:Ms. Denise Babirye</t>
  </si>
  <si>
    <t>lkatusiime@cavendish.ac.ug</t>
  </si>
  <si>
    <t>Tue02:00-04:00LLB1</t>
  </si>
  <si>
    <t>Tue:02:00-04:00:Ms. Lelia Katusiime</t>
  </si>
  <si>
    <t>Tue08:00-10:00LAB</t>
  </si>
  <si>
    <t>Tue:08:00-10:00:Ms. Lelia Katusiime</t>
  </si>
  <si>
    <t>Tue08:00-10:00LLM</t>
  </si>
  <si>
    <t>Tue:08:00-10:00:Ms. Mary Nyachieo</t>
  </si>
  <si>
    <t>Tue10:00-12:00LLB2</t>
  </si>
  <si>
    <t>Tue:10:00-12:00:Ms. Mary Nyachieo</t>
  </si>
  <si>
    <t>Tue12:00-02:00LLB4</t>
  </si>
  <si>
    <t>Tue:12:00-02:00:Ms. Mary Nyachieo</t>
  </si>
  <si>
    <t>hssemakula@cavendish.ac.ug</t>
  </si>
  <si>
    <t>Tue10:15-12:15KG-5</t>
  </si>
  <si>
    <t>Tue:10:15-12:15:Mr.Ssemakula Habiib Musa</t>
  </si>
  <si>
    <t>Tue:10:15-12:15:BJC-6-PR</t>
  </si>
  <si>
    <t>BPR321:International Public Relations and Diplomacy||Mr.Ssemakula Habiib Musa</t>
  </si>
  <si>
    <t>dtaremwa@cavendish.ac.ug</t>
  </si>
  <si>
    <t>Tue08:00-10:00SI-205</t>
  </si>
  <si>
    <t>Tue:08:00-10:00:Mr.Taremwa Danson</t>
  </si>
  <si>
    <t>Tue:08:00-10:00:DIT-1</t>
  </si>
  <si>
    <t>DCS112:Introduction to Operating Systems||Mr.Taremwa Danson</t>
  </si>
  <si>
    <t>Mr. Bakyayita David</t>
  </si>
  <si>
    <t>dbakyayita@cavendish.ac.ug</t>
  </si>
  <si>
    <t>Tue10:15-12:15KG-9</t>
  </si>
  <si>
    <t>Tue:10:15-12:15:Mr. Bakyayita David</t>
  </si>
  <si>
    <t>Tue:10:15-12:15:BBA-HRM-5</t>
  </si>
  <si>
    <t>HRM315:Human Resource Training and Development||Mr. Bakyayita David</t>
  </si>
  <si>
    <t>inamaja@cavendish.ac.ug</t>
  </si>
  <si>
    <t>Tue12:30-02:30KG-6</t>
  </si>
  <si>
    <t>Tue:12:30-02:30:Ms.Iriet Caroline Namajja</t>
  </si>
  <si>
    <t>Tue:12:30-02:30:BPAM-5</t>
  </si>
  <si>
    <t>BPA312:Public Policy, Planning Analysis and Management||Ms.Iriet Caroline Namajja</t>
  </si>
  <si>
    <t>Tue08:00-10:00KG-14</t>
  </si>
  <si>
    <t>Tue:08:00-10:00:Dr. Anyona O. Evans</t>
  </si>
  <si>
    <t>Tue:08:00-10:00:BJC-1,BPAM-1,BIRDS-1</t>
  </si>
  <si>
    <t>BJC110 (SES):Communication Skills and Learning Skills for Employability||Dr. Anyona O. Evans</t>
  </si>
  <si>
    <t>Tue10:15-12:15MKN-18</t>
  </si>
  <si>
    <t>Tue:10:15-12:15:Sarah Namazzi</t>
  </si>
  <si>
    <t>Tue:10:15-12:15:HEC-B1,HEC-P1</t>
  </si>
  <si>
    <t>FOS111:Foundation Physics and Inorganic Chemistry||Sarah Namazzi</t>
  </si>
  <si>
    <t>enanyonjo@cavendish.ac.ug</t>
  </si>
  <si>
    <t>Tue10:15-12:15SI-214</t>
  </si>
  <si>
    <t>Tue:10:15-12:15:Ms.Nanyonjo Evelyn</t>
  </si>
  <si>
    <t>Tue:10:15-12:15:BBA-PL-1,BBA-HRM-1,BBA-G-1,BBA-MKT-1</t>
  </si>
  <si>
    <t>BIT110:Introduction to Information and Communication Technologies||Ms.Nanyonjo Evelyn</t>
  </si>
  <si>
    <t>Tue12:30-02:30SI-214</t>
  </si>
  <si>
    <t>Tue:12:30-02:30:Ms.Nanyonjo Evelyn</t>
  </si>
  <si>
    <t>Tue:12:30-02:30:BBA-BF-1,BBA-AF-1,BJC-1,BPAM-1,BIRDS-1,DBA-1,BBA-ENT-1</t>
  </si>
  <si>
    <t>Tue02:45-04:45SI-214</t>
  </si>
  <si>
    <t>Tue:02:45-04:45:Ms.Nanyonjo Evelyn</t>
  </si>
  <si>
    <t>Tue:02:45-04:45:BCS-4,BSE-3,BIT-3,DIT-4</t>
  </si>
  <si>
    <t>BIT215:Database Development and Management 2||Ms.Nanyonjo Evelyn</t>
  </si>
  <si>
    <t>Tue12:30-02:30KG-7</t>
  </si>
  <si>
    <t>Tue:12:30-02:30:Ms. Nassozi Beatrice</t>
  </si>
  <si>
    <t>Tue:12:30-02:30:BBA-HRM-5</t>
  </si>
  <si>
    <t>HRM313:Organisational Environment Management||Ms. Nassozi Beatrice</t>
  </si>
  <si>
    <t>Tue10:15-12:15KG-13</t>
  </si>
  <si>
    <t>Tue:10:15-12:15:Brenda Tusingwire Jakira</t>
  </si>
  <si>
    <t>Tue:10:15-12:15:BJC-6-J</t>
  </si>
  <si>
    <t>BJC327:Environmental Journalism||Brenda Tusingwire Jakira</t>
  </si>
  <si>
    <t>Kwesiga Bosco</t>
  </si>
  <si>
    <t>bkwesiga@cavendish.ac.ug</t>
  </si>
  <si>
    <t>Tue12:30-02:30MKN-16</t>
  </si>
  <si>
    <t>Tue:12:30-02:30:Kwesiga Bosco</t>
  </si>
  <si>
    <t>Tue:12:30-02:30:BPH-3</t>
  </si>
  <si>
    <t>BPH216:Principles of Disease Control ||Kwesiga Bosco</t>
  </si>
  <si>
    <t>Tue10:15-12:15KG-10</t>
  </si>
  <si>
    <t>Tue:10:15-12:15:Ms.Kabasinguzi Christine</t>
  </si>
  <si>
    <t>Tue:10:15-12:15:BBA-PL-5</t>
  </si>
  <si>
    <t>PLM317:Public Procurement &amp; Contract Management||Ms.Kabasinguzi Christine</t>
  </si>
  <si>
    <t>Tue10:00-12:00LLB-1</t>
  </si>
  <si>
    <t>Tue:10:00-12:00:Mr. Brian Kirima</t>
  </si>
  <si>
    <t>Tue:10:00-12:00:DPL-1</t>
  </si>
  <si>
    <t>DPS113:Criminal law||Mr. Brian Kirima</t>
  </si>
  <si>
    <t>Tue10:15-12:15SI-212</t>
  </si>
  <si>
    <t>Tue:10:15-12:15:Mr.Taremwa Danson</t>
  </si>
  <si>
    <t>Tue:10:15-12:15:BSE-4</t>
  </si>
  <si>
    <t>BSE222:Advanced Object Oriented Programming||Mr.Taremwa Danson</t>
  </si>
  <si>
    <t>Tue12:30-02:30SI-212</t>
  </si>
  <si>
    <t>Tue:12:30-02:30:Mr.Taremwa Danson</t>
  </si>
  <si>
    <t>Tue:12:30-02:30:BSE-7</t>
  </si>
  <si>
    <t>BSE321:Software Metrics||Mr.Taremwa Danson</t>
  </si>
  <si>
    <t>Tue02:45-04:45MKN-16</t>
  </si>
  <si>
    <t>Tue:02:45-04:45:Kwesiga Bosco</t>
  </si>
  <si>
    <t>Tue:02:45-04:45:BPH-1</t>
  </si>
  <si>
    <t>BPH212:Principles of Environmental Health||Kwesiga Bosco</t>
  </si>
  <si>
    <t>Ms Kembabazi Comfort</t>
  </si>
  <si>
    <t>ckembabazi@cavendish.ac.ug</t>
  </si>
  <si>
    <t>Tue02:45-04:45MKN-18</t>
  </si>
  <si>
    <t>Tue:02:45-04:45:Ms Kembabazi Comfort</t>
  </si>
  <si>
    <t>Tue:02:45-04:45:HEC-B2</t>
  </si>
  <si>
    <t>HEC123:Foundation Biology II||Ms Kembabazi Comfort</t>
  </si>
  <si>
    <t>Tue12:30-02:30MKN-18</t>
  </si>
  <si>
    <t>Tue:12:30-02:30:Ms Kembabazi Comfort</t>
  </si>
  <si>
    <t>Tue:12:30-02:30:HEC-B1</t>
  </si>
  <si>
    <t>HEC112:Foundation Biology I||Ms Kembabazi Comfort</t>
  </si>
  <si>
    <t>Tue12:30-02:30SI-112</t>
  </si>
  <si>
    <t>Tue:12:30-02:30:Dr. Mugabi Francis</t>
  </si>
  <si>
    <t>Tue:12:30-02:30:HEC-H1</t>
  </si>
  <si>
    <t>FOU110:Foundational Mathematics - Group 1||Dr. Mugabi Francis</t>
  </si>
  <si>
    <t>Tue12:30-02:30SI-202</t>
  </si>
  <si>
    <t>Tue:12:30-02:30:Dr. JB Ssemakula</t>
  </si>
  <si>
    <t>Tue:12:30-02:30:BSE-8</t>
  </si>
  <si>
    <t>BSE417:Network Application Development||Dr. JB Ssemakula</t>
  </si>
  <si>
    <t>Tue02:45-04:45KG-7</t>
  </si>
  <si>
    <t>Tue:02:45-04:45:Brenda Tusingwire Jakira</t>
  </si>
  <si>
    <t>Tue:02:45-04:45:BJC-6-J,BJC-6-PR</t>
  </si>
  <si>
    <t>BJC313:Television Production||Brenda Tusingwire Jakira</t>
  </si>
  <si>
    <t>Tue02:45-04:45KG-13</t>
  </si>
  <si>
    <t>Tue:02:45-04:45:Kayanja Joseph</t>
  </si>
  <si>
    <t>Tue:02:45-04:45:BJC-3</t>
  </si>
  <si>
    <t>BJC124:News Writing &amp; Reporting||Kayanja Joseph</t>
  </si>
  <si>
    <t>Tue02:45-04:45MKN-05</t>
  </si>
  <si>
    <t>Tue:02:45-04:45:Ms.Nabbanja Teddy | Kato Ashiram</t>
  </si>
  <si>
    <t>Tue:02:45-04:45:HEC-B1,HEC-P1</t>
  </si>
  <si>
    <t>HEC111-S:Computing and Study Skills||Ms.Nabbanja Teddy | Kato Ashiram</t>
  </si>
  <si>
    <t>Wed08:00-10:00KG-6</t>
  </si>
  <si>
    <t>Wed:08:00-10:00:Mr. Kawiso Martin Wilfred</t>
  </si>
  <si>
    <t>Wed:08:00-10:00:BBA-G-5</t>
  </si>
  <si>
    <t>BBA313:Quality Systems Management||Mr. Kawiso Martin Wilfred</t>
  </si>
  <si>
    <t>Wed08:00-10:00KG-14</t>
  </si>
  <si>
    <t>Wed:08:00-10:00:Mr. Bakyayita David</t>
  </si>
  <si>
    <t>Wed:08:00-10:00:BBA-PL-1,BBA-HRM-1,BBA-G-1,BBA-MKT-1</t>
  </si>
  <si>
    <t>BBA113/DBA113:Business Administration||Mr. Bakyayita David</t>
  </si>
  <si>
    <t>Wed10:15-12:15KG-14</t>
  </si>
  <si>
    <t>Wed:10:15-12:15:Mr. Bakyayita David</t>
  </si>
  <si>
    <t>Wed:10:15-12:15:BBA-AF-1,BBA-BF-1,DBA-1,BBA-ENT-1</t>
  </si>
  <si>
    <t>dkatongole@cavendish.ac.ug</t>
  </si>
  <si>
    <t>Wed10:15-12:15KG-15</t>
  </si>
  <si>
    <t>Wed:10:15-12:15:Mr.Wairindi Daniel Katongole</t>
  </si>
  <si>
    <t>Wed:10:15-12:15:BBA-PL-1,BBA-HRM-1,BBA-G-1,BBA-MKT-1</t>
  </si>
  <si>
    <t>BBA112/DBA112:Microeconomics||Mr.Wairindi Daniel Katongole</t>
  </si>
  <si>
    <t>Wed12:30-02:30KG-9</t>
  </si>
  <si>
    <t>Wed:12:30-02:30:Dr. Anyona O. Evans</t>
  </si>
  <si>
    <t>Wed:12:30-02:30:BJC-1,BPAM-1,BIRDS-1</t>
  </si>
  <si>
    <t>BJC116:Basic Academic Writing Skills||Dr. Anyona O. Evans</t>
  </si>
  <si>
    <t>Wed08:00-10:00KG-10</t>
  </si>
  <si>
    <t>Wed:08:00-10:00:Dr. Anyona O. Evans</t>
  </si>
  <si>
    <t>Wed:08:00-10:00:BJC-4</t>
  </si>
  <si>
    <t>BJC212:Advanced Writing   ||Dr. Anyona O. Evans</t>
  </si>
  <si>
    <t>Wed10:00-12:00LLM</t>
  </si>
  <si>
    <t>Wed:10:00-12:00:Dr. Emmanuel Bagenda</t>
  </si>
  <si>
    <t>Wed12:00-02:00LLB1</t>
  </si>
  <si>
    <t>Wed:12:00-02:00:Dr. Emmanuel Bagenda</t>
  </si>
  <si>
    <t>amkibukamusoke@cavendish.ac.ug</t>
  </si>
  <si>
    <t>Wed10:15-12:15SI-012</t>
  </si>
  <si>
    <t>Wed:10:15-12:15:Prof. Kibukamusoke Martha</t>
  </si>
  <si>
    <t>Wed:10:15-12:15:BJC-3</t>
  </si>
  <si>
    <t>BJC225:Development Communication||Prof. Kibukamusoke Martha</t>
  </si>
  <si>
    <t>Wed02:45-04:45LLB1</t>
  </si>
  <si>
    <t>Wed:02:45-04:45:Mr. Alex Nabwiso</t>
  </si>
  <si>
    <t>LLB224-D:Administrative Law||Mr. Alex Nabwiso</t>
  </si>
  <si>
    <t>Wed10:15-12:15KG-7</t>
  </si>
  <si>
    <t>Wed:10:15-12:15:Dr. Faith Ahabyoona Mugisha</t>
  </si>
  <si>
    <t>Wed:10:15-12:15:DBA-4</t>
  </si>
  <si>
    <t>DBA222:Financial Management||Dr. Faith Ahabyoona Mugisha</t>
  </si>
  <si>
    <t>Wed12:30-02:30KG-15</t>
  </si>
  <si>
    <t>Wed:12:30-02:30:Dr. Faith Ahabyoona Mugisha</t>
  </si>
  <si>
    <t>Wed:12:30-02:30:BBA-AF-5,BF-5,G-5</t>
  </si>
  <si>
    <t>BBF316:Public Finance||Dr. Faith Ahabyoona Mugisha</t>
  </si>
  <si>
    <t>Wed10:15-12:15SI-202</t>
  </si>
  <si>
    <t>Wed:10:15-12:15:Dr.Ssegawa James</t>
  </si>
  <si>
    <t>Wed:10:15-12:15:BSE-4</t>
  </si>
  <si>
    <t>BSE221:Formal Methods in Software Engineering||Dr.Ssegawa James</t>
  </si>
  <si>
    <t>Wed08:00-10:00SI-205</t>
  </si>
  <si>
    <t>Wed:08:00-10:00:Dr. Mugabi Francis</t>
  </si>
  <si>
    <t>Wed:08:00-10:00:DIT-1,DDA-1</t>
  </si>
  <si>
    <t>DCS111:Fundamentals of Mathematics||Dr. Mugabi Francis</t>
  </si>
  <si>
    <t>Wed12:30-02:30SI-202</t>
  </si>
  <si>
    <t>Wed:12:30-02:30:Dr.Ssegawa James</t>
  </si>
  <si>
    <t>Wed:12:30-02:30:BSE-7</t>
  </si>
  <si>
    <t>BSE411:Software Quality Assurance and Testing||Dr.Ssegawa James</t>
  </si>
  <si>
    <t>Wed10:15-12:15KG-6</t>
  </si>
  <si>
    <t>Wed:10:15-12:15:Ms.Kabasinguzi Christine</t>
  </si>
  <si>
    <t>Wed:10:15-12:15:BBA-PL-5</t>
  </si>
  <si>
    <t>PLM315:Global Purchasing and Supply Chain Management ||Ms.Kabasinguzi Christine</t>
  </si>
  <si>
    <t>Hassan Tugume</t>
  </si>
  <si>
    <t>htugume@cavendish.ac.ug</t>
  </si>
  <si>
    <t>Wed10:15-12:15KG-9</t>
  </si>
  <si>
    <t>Wed:10:15-12:15:Hassan Tugume</t>
  </si>
  <si>
    <t>Wed:10:15-12:15:BBA-BF-6,AF-6,G-6</t>
  </si>
  <si>
    <t>BBA314:Investment Analysis ||Hassan Tugume</t>
  </si>
  <si>
    <t>Wed12:30-02:30KG-7</t>
  </si>
  <si>
    <t>Wed:12:30-02:30:Mr.Wairindi Daniel Katongole</t>
  </si>
  <si>
    <t>Wed:12:30-02:30:BBA-G-6</t>
  </si>
  <si>
    <t>BBA323:Business Risk Management||Mr.Wairindi Daniel Katongole</t>
  </si>
  <si>
    <t>Wed12:30-02:30KG-10</t>
  </si>
  <si>
    <t>Wed:12:30-02:30:Hassan Tugume</t>
  </si>
  <si>
    <t>Wed:12:30-02:30:DBA-4</t>
  </si>
  <si>
    <t>DBA221:Auditing||Hassan Tugume</t>
  </si>
  <si>
    <t>Wed12:30-02:30SI-B01</t>
  </si>
  <si>
    <t>Wed:12:30-02:30:Mr.Kumakech Michael</t>
  </si>
  <si>
    <t>Wed:12:30-02:30:BCS-2,BSE-2,BIT-2,DIT-2</t>
  </si>
  <si>
    <t>COM122:Principles of Programming||Mr.Kumakech Michael</t>
  </si>
  <si>
    <t>Wed08:00-10:00SI-105</t>
  </si>
  <si>
    <t>Wed:08:00-10:00:Mr.Maganda Evans Tabingwa</t>
  </si>
  <si>
    <t>Wed:08:00-10:00:BSE-4</t>
  </si>
  <si>
    <t>BSE226:Software Requirements Engineering||Mr.Maganda Evans Tabingwa</t>
  </si>
  <si>
    <t>Dr. Joseph Yiga Baleke</t>
  </si>
  <si>
    <t>jbaleke@cavendish.ac.ug</t>
  </si>
  <si>
    <t>Wed08:00-10:00KG-11</t>
  </si>
  <si>
    <t>Wed:08:00-10:00:Dr. Joseph Yiga Baleke</t>
  </si>
  <si>
    <t>Wed:08:00-10:00:BBA-AF-6</t>
  </si>
  <si>
    <t>BAC327:Treasury Management||Dr. Joseph Yiga Baleke</t>
  </si>
  <si>
    <t>ayoboka@cavendish.ac.ug</t>
  </si>
  <si>
    <t>Wed08:00-10:00LLM</t>
  </si>
  <si>
    <t>Wed:08:00-10:00:Mr. Allen Yoboka</t>
  </si>
  <si>
    <t>Wed10:00-12:00LLB3</t>
  </si>
  <si>
    <t>Wed:10:00-12:00:Mr. Allen Yoboka</t>
  </si>
  <si>
    <t>Wed12:00-02:00LLM</t>
  </si>
  <si>
    <t>Wed:12:00-02:00:Mr. Hakim Salum</t>
  </si>
  <si>
    <t>Wed08:00-10:00LLB1</t>
  </si>
  <si>
    <t>Wed:08:00-10:00:Mr. Herman Tuhairwe</t>
  </si>
  <si>
    <t>Wed10:00-12:00LLB2</t>
  </si>
  <si>
    <t>Wed:10:00-12:00:Mr. Herman Tuhairwe</t>
  </si>
  <si>
    <t>Wed12:00-02:00LLB2</t>
  </si>
  <si>
    <t>Wed:12:00-02:00:Mr. Herman Tuhairwe</t>
  </si>
  <si>
    <t>Wed10:15-12:15KG-10</t>
  </si>
  <si>
    <t>Wed:10:15-12:15:Mr. Richard Watenyera</t>
  </si>
  <si>
    <t>Wed:10:15-12:15:BIRDS-2</t>
  </si>
  <si>
    <t>IRDS124:International Law ||Mr. Richard Watenyera</t>
  </si>
  <si>
    <t>Wed08:00-10:00LLB3</t>
  </si>
  <si>
    <t>Wed:08:00-10:00:Ms. Agnes Wandira Ntende</t>
  </si>
  <si>
    <t>Wed10:00-12:00LLB1</t>
  </si>
  <si>
    <t>Wed:10:00-12:00:Ms. Agnes Wandira Ntende</t>
  </si>
  <si>
    <t>Wed10:00-12:00LLB4</t>
  </si>
  <si>
    <t>Wed:10:00-12:00:Ms. Catherine Nansubuga</t>
  </si>
  <si>
    <t>Wed12:00-02:00LLB4</t>
  </si>
  <si>
    <t>Wed:12:00-02:00:Ms. Catherine Nansubuga</t>
  </si>
  <si>
    <t>Wed08:00-10:00LLB2</t>
  </si>
  <si>
    <t>Wed:08:00-10:00:Ms. Denise Babirye</t>
  </si>
  <si>
    <t>Wed08:00-10:00LLB4</t>
  </si>
  <si>
    <t>Wed:08:00-10:00:Ms. Lelia Katusiime</t>
  </si>
  <si>
    <t>Wed02:00-04:00LLB1</t>
  </si>
  <si>
    <t>Wed:02:00-04:00:Ms. Lelia Katusiime</t>
  </si>
  <si>
    <t>Wed04:00-06:00LLB4</t>
  </si>
  <si>
    <t>Wed:04:00-06:00:Ms. Lelia Katusiime</t>
  </si>
  <si>
    <t>Wed12:30-02:30KG-4</t>
  </si>
  <si>
    <t>Wed:12:30-02:30:Mr.Mudoola Herbert</t>
  </si>
  <si>
    <t>Wed:12:30-02:30:BJC-3</t>
  </si>
  <si>
    <t>BJC213:Media and Communication Policy||Mr.Mudoola Herbert</t>
  </si>
  <si>
    <t>Wed12:30-02:30KG-11</t>
  </si>
  <si>
    <t>Wed:12:30-02:30:Mr.Ssemakula Habiib Musa</t>
  </si>
  <si>
    <t>Wed:12:30-02:30:BJC-4</t>
  </si>
  <si>
    <t>BJC221:Principles of Advertising||Mr.Ssemakula Habiib Musa</t>
  </si>
  <si>
    <t>Wed10:15-12:15KG-11</t>
  </si>
  <si>
    <t>Wed:10:15-12:15:Dr. Joseph Yiga Baleke</t>
  </si>
  <si>
    <t>Wed:10:15-12:15:BBA-AF-5</t>
  </si>
  <si>
    <t>BBA317:Taxation II||Dr. Joseph Yiga Baleke</t>
  </si>
  <si>
    <t>Wed08:00-10:00SI-214</t>
  </si>
  <si>
    <t>Wed:08:00-10:00:Ms.Nabbanja Teddy</t>
  </si>
  <si>
    <t>Wed:08:00-10:00:BIT-2,DIT-2</t>
  </si>
  <si>
    <t>BIT123:Computer Applications||Ms.Nabbanja Teddy</t>
  </si>
  <si>
    <t>Wed10:15-12:15SI-112</t>
  </si>
  <si>
    <t>Wed:10:15-12:15:Ms.Nanyonjo Evelyn</t>
  </si>
  <si>
    <t>Wed:10:15-12:15:BIT-2,BSE-2,DIT-2,BCS-3</t>
  </si>
  <si>
    <t>BIT121/BSE121:Database Dvelopment &amp; Management I/Fundamentals of Database Systems||Ms.Nanyonjo Evelyn</t>
  </si>
  <si>
    <t>Wed12:30-02:30SI-214</t>
  </si>
  <si>
    <t>Wed:12:30-02:30:Ms.Nanyonjo Evelyn</t>
  </si>
  <si>
    <t>Wed:12:30-02:30:BIT-1,BCS-1,BSE-1,DIT-1,BPH-1,DDA-1,BDA-1</t>
  </si>
  <si>
    <t>Wed12:30-02:30KG-14</t>
  </si>
  <si>
    <t>Wed:12:30-02:30:Ms. Nassozi Beatrice</t>
  </si>
  <si>
    <t>Wed:12:30-02:30:BBA-3,DBA-3</t>
  </si>
  <si>
    <t>BBA216:Operations Management||Ms. Nassozi Beatrice</t>
  </si>
  <si>
    <t>Ms. Nimusiima Edinah</t>
  </si>
  <si>
    <t>enimusiima@cavendish.ac.ug</t>
  </si>
  <si>
    <t>Wed10:15-12:15KG-13</t>
  </si>
  <si>
    <t>Wed:10:15-12:15:Ms. Nimusiima Edinah</t>
  </si>
  <si>
    <t>Wed:10:15-12:15:DBA-3</t>
  </si>
  <si>
    <t>DBA216:Procurement Management||Ms. Nimusiima Edinah</t>
  </si>
  <si>
    <t>Wed12:30-02:30KG-13</t>
  </si>
  <si>
    <t>Wed:12:30-02:30:Ms. Nimusiima Edinah</t>
  </si>
  <si>
    <t>Wed:12:30-02:30:HEC-H2</t>
  </si>
  <si>
    <t>FOA123:Business Administration -Elective||Ms. Nimusiima Edinah</t>
  </si>
  <si>
    <t>Wed08:00-10:00KG-9</t>
  </si>
  <si>
    <t>Wed:08:00-10:00:Ms. Nimusiima Edinah</t>
  </si>
  <si>
    <t>Wed:08:00-10:00:DBA-2</t>
  </si>
  <si>
    <t>DBA126:Stores and Inventory Management||Ms. Nimusiima Edinah</t>
  </si>
  <si>
    <t>snnagadya@cavendish.ac.ug</t>
  </si>
  <si>
    <t>Wed12:30-02:30KG-6</t>
  </si>
  <si>
    <t xml:space="preserve">Wed:12:30-02:30:Ms.Nnagadya Sumayah </t>
  </si>
  <si>
    <t>Wed:12:30-02:30:BJC-2</t>
  </si>
  <si>
    <t xml:space="preserve">BJC128:Computer Applications for Media||Ms.Nnagadya Sumayah </t>
  </si>
  <si>
    <t>gochwo@cavendish.ac.ug</t>
  </si>
  <si>
    <t>Wed12:30-02:30KG-5</t>
  </si>
  <si>
    <t>Wed:12:30-02:30:Mr.Ochwo Geoffrey</t>
  </si>
  <si>
    <t>Wed:12:30-02:30:BJC-6-J</t>
  </si>
  <si>
    <t>BJC322:Newspaper and Magazine design||Mr.Ochwo Geoffrey</t>
  </si>
  <si>
    <t>Wed04:00-06:00Online</t>
  </si>
  <si>
    <t>Wed:04:00-06:00:Dr. Abdulrazak Yuguda Madu</t>
  </si>
  <si>
    <t>Wed:04:00-06:00:BPAM-6</t>
  </si>
  <si>
    <t>BPA325:Human Rights and Social Justice||Dr. Abdulrazak Yuguda Madu</t>
  </si>
  <si>
    <t>dmusa@cavendish.ac.ug</t>
  </si>
  <si>
    <t>Wed10:15-12:15Online</t>
  </si>
  <si>
    <t>Wed:10:15-12:15:Prof.Musa Dahiru</t>
  </si>
  <si>
    <t>Wed:10:15-12:15:BPH-2</t>
  </si>
  <si>
    <t>BPH122:Public Health Microbiology and Disease Surveillance||Prof.Musa Dahiru</t>
  </si>
  <si>
    <t>Dr. Janepher Sambaga</t>
  </si>
  <si>
    <t>jsambaga@cavendish.ac.ug</t>
  </si>
  <si>
    <t>Wed:10:15-12:15:Dr. Janepher Sambaga</t>
  </si>
  <si>
    <t>Wed:10:15-12:15:BBA-HRM-5,BBA-G-5</t>
  </si>
  <si>
    <t>HRM316:Organisational Leadership||Dr. Janepher Sambaga</t>
  </si>
  <si>
    <t>Wed:10:15-12:15:Dr. Ashiru Tukur Inuwa</t>
  </si>
  <si>
    <t>Wed:10:15-12:15:BJC-1</t>
  </si>
  <si>
    <t>BJC125:History of the Media and Communication||Dr. Ashiru Tukur Inuwa</t>
  </si>
  <si>
    <t>Wed02:45-04:45KG-7</t>
  </si>
  <si>
    <t>Wed:02:45-04:45:Mr.Mudoola Herbert</t>
  </si>
  <si>
    <t>Wed:02:45-04:45:BJC-6-PR</t>
  </si>
  <si>
    <t>BPR327:Public Relation Consultancy and Media Monitoring ||Mr.Mudoola Herbert</t>
  </si>
  <si>
    <t>Wed04:45-06:45KG-7</t>
  </si>
  <si>
    <t>Wed:04:45-06:45:Mr.Ssemakula Habiib Musa</t>
  </si>
  <si>
    <t>Wed:04:45-06:45:BJC-6-PR</t>
  </si>
  <si>
    <t>BPR325:Media and Identity||Mr.Ssemakula Habiib Musa</t>
  </si>
  <si>
    <t>dmackenzie@cavendish.ac.ug</t>
  </si>
  <si>
    <t>Wed10:15-12:15SI-102</t>
  </si>
  <si>
    <t>Wed:10:15-12:15:Deborah Mackenzie</t>
  </si>
  <si>
    <t>Wed:10:15-12:15:BSE-1,BDA-1</t>
  </si>
  <si>
    <t>BSE111:Calculus for software engineering||Deborah Mackenzie</t>
  </si>
  <si>
    <t>Wed08:00-10:00KG-15</t>
  </si>
  <si>
    <t>Wed:08:00-10:00:Dr. Janepher Sambaga</t>
  </si>
  <si>
    <t>Wed:08:00-10:00:BBA-3,DBA-3,BIT-3,BSE-7</t>
  </si>
  <si>
    <t>BBA214/DBA213/AGM212:Entrepreneurship and e-commerce||Dr. Janepher Sambaga</t>
  </si>
  <si>
    <t>Wed12:30-02:30SI-105</t>
  </si>
  <si>
    <t>Wed:12:30-02:30:Deborah Mackenzie</t>
  </si>
  <si>
    <t>Wed:12:30-02:30:BIT-6</t>
  </si>
  <si>
    <t>BIT322:Distributed System Development||Deborah Mackenzie</t>
  </si>
  <si>
    <t>Wed10:15-12:15SI-212</t>
  </si>
  <si>
    <t>Wed:10:15-12:15:Mr. Nkoloogi Bulaisus</t>
  </si>
  <si>
    <t>Wed:10:15-12:15:BSE-7,BCS-4</t>
  </si>
  <si>
    <t>BSE412/COM225:Embedded Systems Development||Mr. Nkoloogi Bulaisus</t>
  </si>
  <si>
    <t>Wed12:00-02:00LLB-2</t>
  </si>
  <si>
    <t>Wed:12:00-02:00:DPL-3</t>
  </si>
  <si>
    <t>Wed08:00-10:00LLB-2</t>
  </si>
  <si>
    <t>Wed:08:00-10:00:DPL-3</t>
  </si>
  <si>
    <t>Wed08:00-10:00KG-5</t>
  </si>
  <si>
    <t xml:space="preserve">Wed:08:00-10:00:Ms.Nnagadya Sumayah </t>
  </si>
  <si>
    <t>Wed:08:00-10:00:BJC-6-J</t>
  </si>
  <si>
    <t xml:space="preserve">BJC329:Online and Digital Journalism||Ms.Nnagadya Sumayah </t>
  </si>
  <si>
    <t>Wed08:00-10:00SI-011</t>
  </si>
  <si>
    <t>Wed:08:00-10:00:Deborah Mackenzie</t>
  </si>
  <si>
    <t>Wed:08:00-10:00:DDA-2</t>
  </si>
  <si>
    <t>DDA1205:Data Science Essentials  ||Deborah Mackenzie</t>
  </si>
  <si>
    <t>Thu12:30-02:30KG-15</t>
  </si>
  <si>
    <t>Thu:12:30-02:30:Ms. Nakazzi Maria</t>
  </si>
  <si>
    <t>Thu:12:30-02:30:BBA-2,DBA-2</t>
  </si>
  <si>
    <t>BBA311:Principles of Management||Ms. Nakazzi Maria</t>
  </si>
  <si>
    <t>Thu10:15-12:15KG-15</t>
  </si>
  <si>
    <t>Thu:10:15-12:15:Mr.Wairindi Daniel Katongole</t>
  </si>
  <si>
    <t>Thu:10:15-12:15:BBA-BF-1,BBA-AF-1,DBA-1,BBA-ENT-1</t>
  </si>
  <si>
    <t>Thu12:30-02:30SI-205</t>
  </si>
  <si>
    <t>Thu:12:30-02:30:Ms.Barbra Kisakye</t>
  </si>
  <si>
    <t>Thu:12:30-02:30:BIT-4,DIT-3</t>
  </si>
  <si>
    <t>BIT225:Emerging Trends in Information Technology||Ms.Barbra Kisakye</t>
  </si>
  <si>
    <t>Thu02:45-04:45SI-214</t>
  </si>
  <si>
    <t>Thu:02:45-04:45:Ms.Barbra Kisakye</t>
  </si>
  <si>
    <t>Thu:02:45-04:45:BSE-6</t>
  </si>
  <si>
    <t>BSE322:Advanced Mobile Applications Development||Ms.Barbra Kisakye</t>
  </si>
  <si>
    <t>rbisaso@cavendish.ac.ug</t>
  </si>
  <si>
    <t>Thu12:30-02:30KG-10</t>
  </si>
  <si>
    <t>Thu:12:30-02:30:Bisaso Rita Regina</t>
  </si>
  <si>
    <t>Thu:12:30-02:30:BBA-BF-6</t>
  </si>
  <si>
    <t>BBF311:Banking Technologies and Systems Management||Bisaso Rita Regina</t>
  </si>
  <si>
    <t>bnabaasa@cavendish.ac.ug</t>
  </si>
  <si>
    <t>Thu02:45-04:45MKN-17</t>
  </si>
  <si>
    <t>Thu:02:45-04:45:Bruce Nabaasa</t>
  </si>
  <si>
    <t>Thu:02:45-04:45:BPH-5</t>
  </si>
  <si>
    <t>EHS313:Health Monitoring and Evaluation||Bruce Nabaasa</t>
  </si>
  <si>
    <t>Thu10:15-12:15MKN-17</t>
  </si>
  <si>
    <t>Thu:10:15-12:15:Bruce Nabaasa</t>
  </si>
  <si>
    <t>Thu:10:15-12:15:BPH-5</t>
  </si>
  <si>
    <t>BPH314:Social Marketing for Health||Bruce Nabaasa</t>
  </si>
  <si>
    <t>Wafula Solomon</t>
  </si>
  <si>
    <t>swafula@cavendish.ac.ug</t>
  </si>
  <si>
    <t>Thu12:30-02:30MKN-15</t>
  </si>
  <si>
    <t>Thu:12:30-02:30:Wafula Solomon</t>
  </si>
  <si>
    <t>Thu:12:30-02:30:BPH-2</t>
  </si>
  <si>
    <t>BPH121:First Aid and Emergency Rescue||Wafula Solomon</t>
  </si>
  <si>
    <t>Thu02:45-04:45KG-6</t>
  </si>
  <si>
    <t>Thu:02:45-04:45:Kayanja Joseph</t>
  </si>
  <si>
    <t>Thu:02:45-04:45:BJC-5</t>
  </si>
  <si>
    <t>BJC312:Public Relations and Media Practice||Kayanja Joseph</t>
  </si>
  <si>
    <t>pakampurira@cavendish.ac.ug</t>
  </si>
  <si>
    <t>Thu12:30-02:30KG-7</t>
  </si>
  <si>
    <t>Thu:12:30-02:30:Dr. Akampurira Patience</t>
  </si>
  <si>
    <t>Thu:12:30-02:30:BIRDS-4</t>
  </si>
  <si>
    <t>IRDS225:Conflict Resolution, Management and Transformation||Dr. Akampurira Patience</t>
  </si>
  <si>
    <t>Thu02:45-04:45KG-11</t>
  </si>
  <si>
    <t>Thu:02:45-04:45:Dr. Akampurira Patience</t>
  </si>
  <si>
    <t>Thu:02:45-04:45:BIRDS-2,BPAM-4</t>
  </si>
  <si>
    <t>IRDS122/BPA225:Government and Politics in Africa  ||Dr. Akampurira Patience</t>
  </si>
  <si>
    <t>Thu10:15-12:15KG-11</t>
  </si>
  <si>
    <t>Thu:10:15-12:15:Dr. Akampurira Patience</t>
  </si>
  <si>
    <t>Thu:10:15-12:15:BPAM-2</t>
  </si>
  <si>
    <t>BPA122:Governance and Public Sector Management||Dr. Akampurira Patience</t>
  </si>
  <si>
    <t>Dr. Jude Kagooro</t>
  </si>
  <si>
    <t>jkagoro@cavendish.ac.ug</t>
  </si>
  <si>
    <t>Thu02:45-04:45Online</t>
  </si>
  <si>
    <t>Thu:02:45-04:45:Dr. Jude Kagooro</t>
  </si>
  <si>
    <t>Thu:02:45-04:45:BIRDS-3</t>
  </si>
  <si>
    <t>IRDS211:Africa and International Relations||Dr. Jude Kagooro</t>
  </si>
  <si>
    <t>Thu10:15-12:15Online</t>
  </si>
  <si>
    <t>Thu:10:15-12:15:Dr. Ashiru Tukur Inuwa</t>
  </si>
  <si>
    <t>Thu:10:15-12:15:BJC-5</t>
  </si>
  <si>
    <t>BJC311:The Art of Public Speaking||Dr. Ashiru Tukur Inuwa</t>
  </si>
  <si>
    <t>Thu12:30-02:30Online</t>
  </si>
  <si>
    <t>Thu:12:30-02:30:Dr. Ashiru Tukur Inuwa</t>
  </si>
  <si>
    <t>Thu:12:30-02:30:BJC-3</t>
  </si>
  <si>
    <t>BJC217:Media and Communication Theories||Dr. Ashiru Tukur Inuwa</t>
  </si>
  <si>
    <t>Thu08:00-10:00Online</t>
  </si>
  <si>
    <t>Thu:08:00-10:00:Dr.Chinwe Peace</t>
  </si>
  <si>
    <t>Thu:08:00-10:00:BSE-6</t>
  </si>
  <si>
    <t>BSE326:Software Evolution||Dr.Chinwe Peace</t>
  </si>
  <si>
    <t>Thu02:00-04:00LLB4</t>
  </si>
  <si>
    <t>Thu:02:00-04:00:Dr. Emmanuel Bagenda</t>
  </si>
  <si>
    <t>Thu08:00-10:00LLB1</t>
  </si>
  <si>
    <t>Thu:08:00-10:00:Dr. Emmanuel Bagenda</t>
  </si>
  <si>
    <t>Thu04:45-06:45KG-13</t>
  </si>
  <si>
    <t>Thu:04:45-06:45:Dr. Huthaifah Busuulwa</t>
  </si>
  <si>
    <t>Thu:04:45-06:45:BIRDS-4</t>
  </si>
  <si>
    <t>IRDS222:Foreign Policy Analysis ||Dr. Huthaifah Busuulwa</t>
  </si>
  <si>
    <t>Thu02:45-04:45SI-112</t>
  </si>
  <si>
    <t>Thu:02:45-04:45:Ms. Habiba Njeri Ngugi</t>
  </si>
  <si>
    <t>Thu:02:45-04:45:BIT-2, DIT-3,BCS-2,BSE-5</t>
  </si>
  <si>
    <t>BIT124:E-commerce||Ms. Habiba Njeri Ngugi</t>
  </si>
  <si>
    <t>Thu10:15-12:15SI-011</t>
  </si>
  <si>
    <t>Thu:10:15-12:15:Prof. Kibukamusoke Martha</t>
  </si>
  <si>
    <t>Thu:10:15-12:15:BJC-1</t>
  </si>
  <si>
    <t>BJC112:Introduction to Behavioral Science||Prof. Kibukamusoke Martha</t>
  </si>
  <si>
    <t>Thu02:45-04:45LLB3</t>
  </si>
  <si>
    <t>Thu:02:45-04:45:Prof. Kibukamusoke Martha</t>
  </si>
  <si>
    <t>LLB225:Social Research||Prof. Kibukamusoke Martha</t>
  </si>
  <si>
    <t>Thu4:00-06:00LLB2</t>
  </si>
  <si>
    <t>Thu:4:00-06:00:Prof. Kibukamusoke Martha</t>
  </si>
  <si>
    <t>Mr. Ronald Olar</t>
  </si>
  <si>
    <t>rolar@cavendish.ac.ug</t>
  </si>
  <si>
    <t>Thu12:30-02:30KG-6</t>
  </si>
  <si>
    <t>Thu:12:30-02:30:Mr. Ronald Olar</t>
  </si>
  <si>
    <t>Thu:12:30-02:30:BBA-HRM-6</t>
  </si>
  <si>
    <t>HRM321:Career Planning and Counselling||Mr. Ronald Olar</t>
  </si>
  <si>
    <t>Thu10:15-12:15KG-6</t>
  </si>
  <si>
    <t>Thu:10:15-12:15:Mr. Ronald Olar</t>
  </si>
  <si>
    <t>Thu:10:15-12:15:BBA-HRM-5</t>
  </si>
  <si>
    <t>HRM314:Human Resource Policy and Management||Mr. Ronald Olar</t>
  </si>
  <si>
    <t>Thu12:30-02:30KG-13</t>
  </si>
  <si>
    <t>Thu:12:30-02:30:Dr. Wabule Alice</t>
  </si>
  <si>
    <t>Thu:12:30-02:30:BPAM-6</t>
  </si>
  <si>
    <t>BPA324:Ethics and Professionalism in Public Administration||Dr. Wabule Alice</t>
  </si>
  <si>
    <t>Thu:10:15-12:15:Dr. Wabule Alice</t>
  </si>
  <si>
    <t>Thu:10:15-12:15:BIRDS-6</t>
  </si>
  <si>
    <t>IRDS321:Ethics in international relations||Dr. Wabule Alice</t>
  </si>
  <si>
    <t>Thu02:45-04:45SI-012</t>
  </si>
  <si>
    <t>Thu:02:45-04:45:Ms.Iriet Caroline Namajja</t>
  </si>
  <si>
    <t>Thu:02:45-04:45:BPAM-1</t>
  </si>
  <si>
    <t>BPA116:Theory and Management of Organisations||Ms.Iriet Caroline Namajja</t>
  </si>
  <si>
    <t>Mpubani David</t>
  </si>
  <si>
    <t>dmpubani@cavendish.ac.ug</t>
  </si>
  <si>
    <t>Thu12:30-02:30KG-14</t>
  </si>
  <si>
    <t>Thu:12:30-02:30:Mpubani David</t>
  </si>
  <si>
    <t>Thu:12:30-02:30:BBA-3,DBA-4</t>
  </si>
  <si>
    <t>BBA211/DBA211:Managerial Accounting||Mpubani David</t>
  </si>
  <si>
    <t>Mr. Milton Turyareeba</t>
  </si>
  <si>
    <t>mturyareeba@cavendish.ac.ug</t>
  </si>
  <si>
    <t>Thu08:00-10:00KG-9</t>
  </si>
  <si>
    <t>Thu:08:00-10:00:Mr. Milton Turyareeba</t>
  </si>
  <si>
    <t>Thu:08:00-10:00:BBA-BF-5</t>
  </si>
  <si>
    <t>BBF315:Corporate and Merchant Banking||Mr. Milton Turyareeba</t>
  </si>
  <si>
    <t>Thu12:30-02:30MKN-16</t>
  </si>
  <si>
    <t>Thu:12:30-02:30:Kwesiga Bosco</t>
  </si>
  <si>
    <t>Thu:12:30-02:30:BPH-5</t>
  </si>
  <si>
    <t>BPH311:Community Health Practice||Kwesiga Bosco</t>
  </si>
  <si>
    <t>Thu08:00-10:00LLB-1</t>
  </si>
  <si>
    <t>Thu:08:00-10:00:Mr. Alex Nabwiso</t>
  </si>
  <si>
    <t>Thu:08:00-10:00:DPL-1</t>
  </si>
  <si>
    <t>DPS115:Administrative Law||Mr. Alex Nabwiso</t>
  </si>
  <si>
    <t>Thu08:00-10:00SI-212</t>
  </si>
  <si>
    <t>Thu:08:00-10:00:Mr.Kumakech Michael</t>
  </si>
  <si>
    <t>Thu:08:00-10:00:BCS-6</t>
  </si>
  <si>
    <t>COM323:Computer graphics||Mr.Kumakech Michael</t>
  </si>
  <si>
    <t>knamajja@cavendish.ac.ug</t>
  </si>
  <si>
    <t>Thu10:15-12:15MKN-15</t>
  </si>
  <si>
    <t>Thu:10:15-12:15:Khawa Namajja</t>
  </si>
  <si>
    <t>Thu:10:15-12:15:BPH-1</t>
  </si>
  <si>
    <t>BPH112:Health and Health Behavior||Khawa Namajja</t>
  </si>
  <si>
    <t>Thu02:45-04:45MKN-15</t>
  </si>
  <si>
    <t>Thu:02:45-04:45:Khawa Namajja</t>
  </si>
  <si>
    <t>Thu:02:45-04:45:BPH-3</t>
  </si>
  <si>
    <t>BPH215:Principles of Health Promotion ||Khawa Namajja</t>
  </si>
  <si>
    <t>Thu08:00-10:00SI-202</t>
  </si>
  <si>
    <t>Thu:08:00-10:00:Mr. Nkoloogi Bulaisus</t>
  </si>
  <si>
    <t>Thu:08:00-10:00:BSE-5,DDA-2</t>
  </si>
  <si>
    <t>BSE314:Internet of things||Mr. Nkoloogi Bulaisus</t>
  </si>
  <si>
    <t>oscar.correia@cavendish.ac.ug</t>
  </si>
  <si>
    <t>Thu08:00-10:00SI-202 | Online</t>
  </si>
  <si>
    <t>Thu:08:00-10:00:Oscar Correia</t>
  </si>
  <si>
    <t>Thu:08:00-10:00:BSE-4,BCS-4,DDA-1,BDA-1</t>
  </si>
  <si>
    <t>BSE224:Python Engineering||Oscar Correia</t>
  </si>
  <si>
    <t>Thu12:30-02:30SI-105</t>
  </si>
  <si>
    <t>Thu:12:30-02:30:Mr.Maganda Evans Tabingwa</t>
  </si>
  <si>
    <t>Thu:12:30-02:30:DIT-4,BIT-5</t>
  </si>
  <si>
    <t>BIT315/DIT224:Introduction to Multimedia Systems||Mr.Maganda Evans Tabingwa</t>
  </si>
  <si>
    <t>Thu10:15-12:15SI-205</t>
  </si>
  <si>
    <t xml:space="preserve">Thu:10:15-12:15:Mr. Samson Rubayihayo </t>
  </si>
  <si>
    <t>Thu:10:15-12:15:HEC-H2</t>
  </si>
  <si>
    <t xml:space="preserve">FOA120:Foundation in Law -Elective||Mr. Samson Rubayihayo </t>
  </si>
  <si>
    <t>Thu:12:30-02:30:Dr. Jude Kagooro</t>
  </si>
  <si>
    <t>Thu:12:30-02:30:BIRDS-6</t>
  </si>
  <si>
    <t>IRDS317:Civil Military Relations ||Dr. Jude Kagooro</t>
  </si>
  <si>
    <t>gopio@cavendish.ac.ug</t>
  </si>
  <si>
    <t>Thu02:45-04:45KG-14</t>
  </si>
  <si>
    <t>Thu:02:45-04:45:Mr. Opio Gregory</t>
  </si>
  <si>
    <t>Thu:02:45-04:45:BIRDS-6</t>
  </si>
  <si>
    <t>IRDS324:Cyber Security and International Security||Mr. Opio Gregory</t>
  </si>
  <si>
    <t>eomaada@cavendish.ac.ug</t>
  </si>
  <si>
    <t>Thu12:30-02:30KG-11</t>
  </si>
  <si>
    <t>Thu:12:30-02:30:Mr. Esibo Omada</t>
  </si>
  <si>
    <t>Thu:12:30-02:30:BIRDS-3</t>
  </si>
  <si>
    <t>IRDS217:Religion, Conflict and Peace Studies||Mr. Esibo Omada</t>
  </si>
  <si>
    <t>Thu10:15-12:15SI-012</t>
  </si>
  <si>
    <t>Thu:10:15-12:15:Ms.Iriet Caroline Namajja</t>
  </si>
  <si>
    <t>Thu:10:15-12:15:BPAM-5</t>
  </si>
  <si>
    <t>BPA316:Management of Public Enterprises||Ms.Iriet Caroline Namajja</t>
  </si>
  <si>
    <t>Thu02:45-04:45KG-7</t>
  </si>
  <si>
    <t>Thu:02:45-04:45:Mr. Esibo Omada</t>
  </si>
  <si>
    <t>Thu:02:45-04:45:BIRDS-5</t>
  </si>
  <si>
    <t>IRDS312:Displaced Person and Forced Migration studies||Mr. Esibo Omada</t>
  </si>
  <si>
    <t>Thu10:00-12:00LLM</t>
  </si>
  <si>
    <t>Thu:10:00-12:00:Mr. Hakim Salum</t>
  </si>
  <si>
    <t>Thu10:15-12:15KG-9</t>
  </si>
  <si>
    <t>Thu:10:15-12:15:Mr. Jonathan Tabalanga</t>
  </si>
  <si>
    <t>Thu:10:15-12:15:BIRDS-3</t>
  </si>
  <si>
    <t>IRDS216:International Investment, Trade and Business Management||Mr. Jonathan Tabalanga</t>
  </si>
  <si>
    <t>Thu:12:30-02:30:Mr. Jonathan Tabalanga</t>
  </si>
  <si>
    <t>Thu:12:30-02:30:BIRDS-1</t>
  </si>
  <si>
    <t>IRDS111:Introduction to International Relations ||Mr. Jonathan Tabalanga</t>
  </si>
  <si>
    <t>Thu:02:45-04:45:Mr. Jonathan Tabalanga</t>
  </si>
  <si>
    <t>Thu:02:45-04:45:BIRDS-4</t>
  </si>
  <si>
    <t>IRDS224:International Politics of the Environment||Mr. Jonathan Tabalanga</t>
  </si>
  <si>
    <t>Thu10:00-12:00LLB4</t>
  </si>
  <si>
    <t xml:space="preserve">Thu:10:00-12:00:Mr. Moses Kayima Nyanzi </t>
  </si>
  <si>
    <t>Thu12:00-02:00LLB2</t>
  </si>
  <si>
    <t xml:space="preserve">Thu:12:00-02:00:Mr. Moses Kayima Nyanzi </t>
  </si>
  <si>
    <t>Thu12:00-02:00LLB4</t>
  </si>
  <si>
    <t xml:space="preserve">Thu:12:00-02:00:Mr. Samson Rubayihayo </t>
  </si>
  <si>
    <t>Thu12:30-02:30SI-012</t>
  </si>
  <si>
    <t>Thu:12:30-02:30:Mr. Vicent Ssekundi</t>
  </si>
  <si>
    <t>Thu:12:30-02:30:BPAM-4</t>
  </si>
  <si>
    <t>BPA226:Demography and Population Studies ||Mr. Vicent Ssekundi</t>
  </si>
  <si>
    <t>Thu02:00-04:00LLB2</t>
  </si>
  <si>
    <t>Thu:02:00-04:00:Ms. Catherine Nansubuga</t>
  </si>
  <si>
    <t>Thu04:00-06:00LLB3</t>
  </si>
  <si>
    <t>Thu:04:00-06:00:Ms. Catherine Nansubuga</t>
  </si>
  <si>
    <t>Thu08:00-10:00LLB2</t>
  </si>
  <si>
    <t>Thu:08:00-10:00:Ms. Denise Babirye</t>
  </si>
  <si>
    <t>Thu12:00-02:00LLB3</t>
  </si>
  <si>
    <t>Thu:12:00-02:00:Ms. Denise Babirye</t>
  </si>
  <si>
    <t>Thu08:00-10:00LLM</t>
  </si>
  <si>
    <t>Thu:08:00-10:00:Ms. Mary Nyachieo</t>
  </si>
  <si>
    <t>Thu02:00-04:00LLB3</t>
  </si>
  <si>
    <t>Thu:02:00-04:00:Mr. Brian Kirima</t>
  </si>
  <si>
    <t>Assoc. Prof. Norman Mugarura</t>
  </si>
  <si>
    <t>nmugarura@cavendish.ac.ug</t>
  </si>
  <si>
    <t>Thu10:00-12:00LLB1</t>
  </si>
  <si>
    <t>Thu:10:00-12:00:Assoc. Prof. Norman Mugarura</t>
  </si>
  <si>
    <t>Thu12:00-02:00LLB1</t>
  </si>
  <si>
    <t>Thu:12:00-02:00:Assoc. Prof. Norman Mugarura</t>
  </si>
  <si>
    <t>Thu08:00-10:00KG-15</t>
  </si>
  <si>
    <t>Thu:08:00-10:00:Dr. Dorcus Kalembe</t>
  </si>
  <si>
    <t>Thu:08:00-10:00:BBA-PL-1,BBA-HRM-1,BBA-G-1,BBA-MKT-1</t>
  </si>
  <si>
    <t>Thu02:45-04:45KG-13</t>
  </si>
  <si>
    <t>Thu:02:45-04:45:Mpubani David</t>
  </si>
  <si>
    <t>Thu:02:45-04:45:BBA-BF-6,AF-6</t>
  </si>
  <si>
    <t>BAC321 :Auditing II||Mpubani David</t>
  </si>
  <si>
    <t>Thu10:15-12:15KG-14</t>
  </si>
  <si>
    <t>Thu:10:15-12:15:Ms. Nakazzi Maria</t>
  </si>
  <si>
    <t>Thu:10:15-12:15:BBA-2,DBA-2</t>
  </si>
  <si>
    <t>BBA123:Macroeconomics||Ms. Nakazzi Maria</t>
  </si>
  <si>
    <t>Thu02:45-04:45KG-10</t>
  </si>
  <si>
    <t>Thu:02:45-04:45:Mr.Wairindi Daniel Katongole</t>
  </si>
  <si>
    <t>Thu:02:45-04:45:BBA-G-5,BF-5</t>
  </si>
  <si>
    <t>BBF326:International Finance||Mr.Wairindi Daniel Katongole</t>
  </si>
  <si>
    <t>Dr. Mbabazi Annet</t>
  </si>
  <si>
    <t>ambabazi@cavendish.ac.ug</t>
  </si>
  <si>
    <t>Thu12:30-02:30SI-011</t>
  </si>
  <si>
    <t>Thu:12:30-02:30:Dr. Mbabazi Annet</t>
  </si>
  <si>
    <t>Thu:12:30-02:30:BPAM-3</t>
  </si>
  <si>
    <t>BPA211:Leadership and Change Management||Dr. Mbabazi Annet</t>
  </si>
  <si>
    <t>enamakula@cavendish.ac.ug</t>
  </si>
  <si>
    <t>Thu08:00-10:00SI-B01</t>
  </si>
  <si>
    <t>Thu:08:00-10:00:Ms.Namakula Elizabeth</t>
  </si>
  <si>
    <t>Thu:08:00-10:00:BBA-BF-1,BBA-AF-1,DBA-1,BBA-ENT-1</t>
  </si>
  <si>
    <t>BJC110:Communication Skills and Learning Skills for Employability||Ms.Namakula Elizabeth</t>
  </si>
  <si>
    <t>Thu12:30-02:30SI-B01</t>
  </si>
  <si>
    <t>Thu:12:30-02:30:Ms.Namakula Elizabeth</t>
  </si>
  <si>
    <t>Thu:12:30-02:30:HEC-H1,HEC-P1,HEC-B1</t>
  </si>
  <si>
    <t>FOU114:English||Ms.Namakula Elizabeth</t>
  </si>
  <si>
    <t>Thu10:15-12:15SI-B01</t>
  </si>
  <si>
    <t>Thu:10:15-12:15:Ms.Namakula Elizabeth</t>
  </si>
  <si>
    <t>Thu:10:15-12:15:HEC-H1,HEC-P1</t>
  </si>
  <si>
    <t>FOU112:Communication Skills||Ms.Namakula Elizabeth</t>
  </si>
  <si>
    <t>rkabuye@cavendish.ac.ug</t>
  </si>
  <si>
    <t>Thu02:45-04:45KG-15</t>
  </si>
  <si>
    <t>Thu:02:45-04:45:Ms.Nansereko Racheal Kabuye</t>
  </si>
  <si>
    <t>Thu:02:45-04:45:BBA-2,DBA-2</t>
  </si>
  <si>
    <t>BBA125/DBA125:Business Law||Ms.Nansereko Racheal Kabuye</t>
  </si>
  <si>
    <t>Thu12:30-02:30KG-9</t>
  </si>
  <si>
    <t>Thu:12:30-02:30:Ms.Nansereko Racheal Kabuye</t>
  </si>
  <si>
    <t>Thu:12:30-02:30:BBA-PL-5</t>
  </si>
  <si>
    <t>PLM316:Legal Aspects of Purchasing||Ms.Nansereko Racheal Kabuye</t>
  </si>
  <si>
    <t>Thu12:30-02:30KG-4</t>
  </si>
  <si>
    <t xml:space="preserve">Thu:12:30-02:30:Ms.Nnagadya Sumayah </t>
  </si>
  <si>
    <t>Thu:12:30-02:30:BJC-5</t>
  </si>
  <si>
    <t xml:space="preserve">BJC314:Multimedia and Animation||Ms.Nnagadya Sumayah </t>
  </si>
  <si>
    <t>Thu02:45-04:45KG-5</t>
  </si>
  <si>
    <t xml:space="preserve">Thu:02:45-04:45:Ms.Nnagadya Sumayah </t>
  </si>
  <si>
    <t>Thu:02:45-04:45:BJC-4</t>
  </si>
  <si>
    <t xml:space="preserve">BJC229:Commercial Photography||Ms.Nnagadya Sumayah </t>
  </si>
  <si>
    <t>Thu04:00-06:00Online</t>
  </si>
  <si>
    <t>Thu:04:00-06:00:Dr. Abdulrazak Yuguda Madu</t>
  </si>
  <si>
    <t>Thu:04:00-06:00:BPAM-3</t>
  </si>
  <si>
    <t>BPA217:Development Public Administration and Management ||Dr. Abdulrazak Yuguda Madu</t>
  </si>
  <si>
    <t>Fri02:45-04:45SI-102</t>
  </si>
  <si>
    <t>Fri:02:45-04:45:Dr. Mbabazi Annet</t>
  </si>
  <si>
    <t>Fri:02:45-04:45:BPAM-1,BIRDS-3</t>
  </si>
  <si>
    <t>BPA111:Public Administration and Management||Dr. Mbabazi Annet</t>
  </si>
  <si>
    <t>Thu08:00-10:00KG-14</t>
  </si>
  <si>
    <t>Thu:08:00-10:00:Mr.Wairindi Daniel Katongole</t>
  </si>
  <si>
    <t>Thu:08:00-10:00:BBA-4</t>
  </si>
  <si>
    <t>BBA221:Strategic Management||Mr.Wairindi Daniel Katongole</t>
  </si>
  <si>
    <t>Tue08:00-10:00KG-13</t>
  </si>
  <si>
    <t>Tue:08:00-10:00:Makwasi Christopher</t>
  </si>
  <si>
    <t>Tue:08:00-10:00:BBA-BF-6</t>
  </si>
  <si>
    <t>BBF325:Banking Law ||Makwasi Christopher</t>
  </si>
  <si>
    <t>Thu10:15-12:15KG-7</t>
  </si>
  <si>
    <t>Thu:10:15-12:15:Dr. Dorcus Kalembe</t>
  </si>
  <si>
    <t>Thu:10:15-12:15:BBA-BF-5</t>
  </si>
  <si>
    <t>BBF313:Banking Operations||Dr. Dorcus Kalembe</t>
  </si>
  <si>
    <t>Thu04:45-06:45KG-9</t>
  </si>
  <si>
    <t>Thu:04:45-06:45:Mr.Ssemakula Habiib Musa</t>
  </si>
  <si>
    <t>Thu:04:45-06:45:BJC-6-J</t>
  </si>
  <si>
    <t>BJC326:Media, Human rights and Gender||Mr.Ssemakula Habiib Musa</t>
  </si>
  <si>
    <t>Thu:02:45-04:45:Mr.Ssemakula Habiib Musa</t>
  </si>
  <si>
    <t>Thu:02:45-04:45:BJC-3</t>
  </si>
  <si>
    <t>BJC211:Audience Analysis and Media Research||Mr.Ssemakula Habiib Musa</t>
  </si>
  <si>
    <t>Thu10:15-12:15MKN-16</t>
  </si>
  <si>
    <t>Thu:10:15-12:15:Kwesiga Bosco</t>
  </si>
  <si>
    <t>Thu:10:15-12:15:BPH-3</t>
  </si>
  <si>
    <t>BPH323:Health Informatics||Kwesiga Bosco</t>
  </si>
  <si>
    <t>Thu10:15-12:15SI-212</t>
  </si>
  <si>
    <t>Thu:10:15-12:15:Mr. Nkoloogi Bulaisus</t>
  </si>
  <si>
    <t>Thu:10:15-12:15:BCS-5,BSE-5</t>
  </si>
  <si>
    <t>COM311:Compiler Design||Mr. Nkoloogi Bulaisus</t>
  </si>
  <si>
    <t>rtuhaise@cavendish.ac.ug</t>
  </si>
  <si>
    <t>Thu12:30-02:30SI-212</t>
  </si>
  <si>
    <t>Thu:12:30-02:30:Mr.Tuhaise Robert</t>
  </si>
  <si>
    <t>Thu:12:30-02:30:BSE-8</t>
  </si>
  <si>
    <t>BSE426:Software Security||Mr.Tuhaise Robert</t>
  </si>
  <si>
    <t>Mr. Emmanuel Ofoyuru</t>
  </si>
  <si>
    <t>eofoyuru@cavendish.ac.ug</t>
  </si>
  <si>
    <t>Thu12:30-02:30SI-102</t>
  </si>
  <si>
    <t>Thu:12:30-02:30:Mr. Emmanuel Ofoyuru</t>
  </si>
  <si>
    <t>Thu:12:30-02:30:BSE-7</t>
  </si>
  <si>
    <t>BSE414:Computer Games Development||Mr. Emmanuel Ofoyuru</t>
  </si>
  <si>
    <t>Thu:02:45-04:45:Bisaso Rita Regina</t>
  </si>
  <si>
    <t>Thu:02:45-04:45:HEC-H2</t>
  </si>
  <si>
    <t>HEC125:Basic Entrepreneurial skills-Elective||Bisaso Rita Regina</t>
  </si>
  <si>
    <t>Thu10:00-12:00LLB-1</t>
  </si>
  <si>
    <t>Thu:10:00-12:00:Mr. Brian Kirima</t>
  </si>
  <si>
    <t>Thu:10:00-12:00:DPL-1</t>
  </si>
  <si>
    <t>DPS111:Introduction to law &amp; Legal Systems||Mr. Brian Kirima</t>
  </si>
  <si>
    <t>Thu02:00-04:00LLM</t>
  </si>
  <si>
    <t>Thu:02:00-04:00:DPL-3</t>
  </si>
  <si>
    <t>Thu12:00-02:00LLB-2</t>
  </si>
  <si>
    <t>Thu:12:00-02:00:DPL-3</t>
  </si>
  <si>
    <t>Thu10:15-12:15KG-5</t>
  </si>
  <si>
    <t xml:space="preserve">Thu:10:15-12:15:Ms.Nnagadya Sumayah </t>
  </si>
  <si>
    <t>Thu:10:15-12:15:BJC-6-J</t>
  </si>
  <si>
    <t xml:space="preserve">BJC328:Fake news and media production||Ms.Nnagadya Sumayah </t>
  </si>
  <si>
    <t>Fri12:30-02:30MKN-14</t>
  </si>
  <si>
    <t>Fri:12:30-02:30:Dr. Mugabi Francis</t>
  </si>
  <si>
    <t>Fri:12:30-02:30:HEC-B1,HEC-P1</t>
  </si>
  <si>
    <t>FOU110-S:Foundational Mathematics - Group 2||Dr. Mugabi Francis</t>
  </si>
  <si>
    <t>Fri02:45-04:45KG-10</t>
  </si>
  <si>
    <t>Fri:02:45-04:45:Hassan Tugume</t>
  </si>
  <si>
    <t>Fri:02:45-04:45:BBA-BF-6</t>
  </si>
  <si>
    <t>BBF323:Security Analysis and Portfolio Management||Hassan Tugume</t>
  </si>
  <si>
    <t>Fri10:15-12:15KG-14</t>
  </si>
  <si>
    <t>Fri:10:15-12:15:Mr. Milton Turyareeba</t>
  </si>
  <si>
    <t>Fri:10:15-12:15:BBA-4</t>
  </si>
  <si>
    <t>BBA223:Taxation I||Mr. Milton Turyareeba</t>
  </si>
  <si>
    <t>Mr. Jimmy Mwesigye</t>
  </si>
  <si>
    <t>jmwesigye@cavendish.ac.ug</t>
  </si>
  <si>
    <t>Fri10:15-12:15KG-7</t>
  </si>
  <si>
    <t>Fri:10:15-12:15:Mr. Jimmy Mwesigye</t>
  </si>
  <si>
    <t>Fri:10:15-12:15:BBA-HRM-5</t>
  </si>
  <si>
    <t>HRM312:Benefits and Compensation||Mr. Jimmy Mwesigye</t>
  </si>
  <si>
    <t>Fri10:15-12:15SI-202</t>
  </si>
  <si>
    <t>Fri:10:15-12:15:Ms.Barbra Kisakye</t>
  </si>
  <si>
    <t>Fri:10:15-12:15:BIT-6,BSE-6,DCS-4</t>
  </si>
  <si>
    <t>BIT323:User Interface Design||Ms.Barbra Kisakye</t>
  </si>
  <si>
    <t>Fri08:00-10:00KG-15</t>
  </si>
  <si>
    <t>Fri:08:00-10:00:Bisaso Rita Regina</t>
  </si>
  <si>
    <t>Fri:08:00-10:00:BBA-3</t>
  </si>
  <si>
    <t>BAC215:Auditing I||Bisaso Rita Regina</t>
  </si>
  <si>
    <t>Fri12:30-02:30KG-13</t>
  </si>
  <si>
    <t>Fri:12:30-02:30:Bisaso Rita Regina</t>
  </si>
  <si>
    <t>Fri:12:30-02:30:BBA-AF-5</t>
  </si>
  <si>
    <t>BAC314:Public Sector Accounting||Bisaso Rita Regina</t>
  </si>
  <si>
    <t>Fri10:15-12:15KG-13</t>
  </si>
  <si>
    <t>Fri:10:15-12:15:Bisaso Rita Regina</t>
  </si>
  <si>
    <t>Fri:10:15-12:15:BBA-BF-5</t>
  </si>
  <si>
    <t>BBF322:Regulatory Framework of Financial Institutions||Bisaso Rita Regina</t>
  </si>
  <si>
    <t>Fri02:45-04:45MKN-16</t>
  </si>
  <si>
    <t>Fri:02:45-04:45:Bruce Nabaasa</t>
  </si>
  <si>
    <t>Fri:02:45-04:45:BPH-2</t>
  </si>
  <si>
    <t>BPH124:Diseases of Public Health Importance ||Bruce Nabaasa</t>
  </si>
  <si>
    <t>Wed:08:00-10:00:Mpubani David</t>
  </si>
  <si>
    <t>Wed:08:00-10:00:BBA-AF-5,BF-5</t>
  </si>
  <si>
    <t>BAC316:Computerized  Accounting I||Mpubani David</t>
  </si>
  <si>
    <t>Fri10:15-12:15KG-5</t>
  </si>
  <si>
    <t>Fri:10:15-12:15:Mr.Mudoola Herbert</t>
  </si>
  <si>
    <t>Fri:10:15-12:15:BJC-5-PR</t>
  </si>
  <si>
    <t>BPR323:Politics of  Communication and Propaganda||Mr.Mudoola Herbert</t>
  </si>
  <si>
    <t>Deo Nsubuga</t>
  </si>
  <si>
    <t>dnsubuga@cavendish.ac.ug</t>
  </si>
  <si>
    <t>Fri:12:30-02:30:Deo Nsubuga</t>
  </si>
  <si>
    <t>Fri:12:30-02:30:BPH-2</t>
  </si>
  <si>
    <t>EHS112:Principles of Epidemiology ||Deo Nsubuga</t>
  </si>
  <si>
    <t>Fri10:15-12:15MKN-14</t>
  </si>
  <si>
    <t>Fri:10:15-12:15:Deo Nsubuga</t>
  </si>
  <si>
    <t>Fri:10:15-12:15:BPH-2</t>
  </si>
  <si>
    <t>EHS121:Biostatistics||Deo Nsubuga</t>
  </si>
  <si>
    <t>Fri:02:45-04:45:Deo Nsubuga</t>
  </si>
  <si>
    <t>Fri:02:45-04:45:BPH-4</t>
  </si>
  <si>
    <t>BPH224:Health Policies and Laws||Deo Nsubuga</t>
  </si>
  <si>
    <t>Dr Shallon Atuhaire</t>
  </si>
  <si>
    <t>satuhaire@cavendish.ac.ug</t>
  </si>
  <si>
    <t>Fri12:30-02:30MKN-18</t>
  </si>
  <si>
    <t>Fri:12:30-02:30:Dr Shallon Atuhaire</t>
  </si>
  <si>
    <t>Fri:12:30-02:30:BPH-5</t>
  </si>
  <si>
    <t>BPH313:Family and Reproductive Health||Dr Shallon Atuhaire</t>
  </si>
  <si>
    <t>Fri02:45-04:45MKN-15</t>
  </si>
  <si>
    <t>Fri:02:45-04:45:Dr Shallon Atuhaire</t>
  </si>
  <si>
    <t>Fri:02:45-04:45:BPH-3</t>
  </si>
  <si>
    <t>BPH211:Public Health Nutrition||Dr Shallon Atuhaire</t>
  </si>
  <si>
    <t>Fri12:30-02:30KG-10</t>
  </si>
  <si>
    <t>Fri:12:30-02:30:Mr. Opio Gregory</t>
  </si>
  <si>
    <t>Fri:12:30-02:30:HEC-H2,HEC-P2</t>
  </si>
  <si>
    <t>FOU113:Introduction to development studies||Mr. Opio Gregory</t>
  </si>
  <si>
    <t>Fri10:15-12:15KG-11</t>
  </si>
  <si>
    <t>Fri:10:15-12:15:Dr. Akampurira Patience</t>
  </si>
  <si>
    <t>Fri:10:15-12:15:BPAM-3,BIRDS-3</t>
  </si>
  <si>
    <t>BPA125/IRDS214:Gender in Public Admin | Gender in IRD||Dr. Akampurira Patience</t>
  </si>
  <si>
    <t>Fri12:30-02:30KG-6</t>
  </si>
  <si>
    <t>Fri:12:30-02:30:Dr. Akampurira Patience</t>
  </si>
  <si>
    <t>Fri:12:30-02:30:BIRDS-4</t>
  </si>
  <si>
    <t>IRDS223:Comparative Political Systems||Dr. Akampurira Patience</t>
  </si>
  <si>
    <t>Fri02:45-04:45SI-112</t>
  </si>
  <si>
    <t>Fri:02:45-04:45:Dr.Ssegawa James</t>
  </si>
  <si>
    <t>Fri:02:45-04:45:BCS-4,BIT-4,BSE-4,DIT-4</t>
  </si>
  <si>
    <t>BIT222:Research Methodology in Computing||Dr.Ssegawa James</t>
  </si>
  <si>
    <t>Fri04:45-06:45KG-15</t>
  </si>
  <si>
    <t>Fri:04:45-06:45:Dr. Huthaifah Busuulwa</t>
  </si>
  <si>
    <t>Fri:04:45-06:45:HEC-H2</t>
  </si>
  <si>
    <t>HEC122:Ethical Practice and Professionalism||Dr. Huthaifah Busuulwa</t>
  </si>
  <si>
    <t>Fri08:00-10:00SI-205</t>
  </si>
  <si>
    <t>Fri:08:00-10:00:Ms. Habiba Njeri Ngugi</t>
  </si>
  <si>
    <t>Fri:08:00-10:00:BBA-G-5,DBA-3,BIT-2</t>
  </si>
  <si>
    <t>BIT125/DBA212:Information Systems Management||Ms. Habiba Njeri Ngugi</t>
  </si>
  <si>
    <t>Fri12:30-02:30KG-11</t>
  </si>
  <si>
    <t>Fri:12:30-02:30:Mr. Jonathan Tabalanga</t>
  </si>
  <si>
    <t>Fri:12:30-02:30:BPAM-3</t>
  </si>
  <si>
    <t>BPA213:Regional planning and Management||Mr. Jonathan Tabalanga</t>
  </si>
  <si>
    <t>Fri12:30-02:30SI-B01</t>
  </si>
  <si>
    <t>Fri:12:30-02:30:Dr. Mbabazi Annet</t>
  </si>
  <si>
    <t>Fri:12:30-02:30:BBA-4</t>
  </si>
  <si>
    <t>RSC001:Research Methodology||Dr. Mbabazi Annet</t>
  </si>
  <si>
    <t>Fri10:00-12:00LLB1</t>
  </si>
  <si>
    <t>Fri:10:00-12:00:Mr. Alex Nabwiso</t>
  </si>
  <si>
    <t>Fri10:15-12:15KG-10</t>
  </si>
  <si>
    <t>Fri:10:15-12:15:Dr. Thomas Russel</t>
  </si>
  <si>
    <t>Fri:10:15-12:15:BIRDS-5,BPAM-6</t>
  </si>
  <si>
    <t>IRDS311:Security Studies||Dr. Thomas Russel</t>
  </si>
  <si>
    <t>Fri10:15-12:15KG-6</t>
  </si>
  <si>
    <t>Fri:10:15-12:15:Hassan Tugume</t>
  </si>
  <si>
    <t>Fri:10:15-12:15:HEC-H2</t>
  </si>
  <si>
    <t>FOA121:Principles of  Accounting -Elective||Hassan Tugume</t>
  </si>
  <si>
    <t>Fri08:00-10:00KG-9</t>
  </si>
  <si>
    <t>Fri:08:00-10:00:Hassan Tugume</t>
  </si>
  <si>
    <t>Fri:08:00-10:00:DBA-4</t>
  </si>
  <si>
    <t>DBA223:Taxation||Hassan Tugume</t>
  </si>
  <si>
    <t>Fri12:30-02:30MKN-15</t>
  </si>
  <si>
    <t>Fri:12:30-02:30:Kwesiga Bosco</t>
  </si>
  <si>
    <t>Fri:12:30-02:30:BPH-4</t>
  </si>
  <si>
    <t>BPH222:Principles of Health Education and Advocacy||Kwesiga Bosco</t>
  </si>
  <si>
    <t>Fri08:00-10:00KG-14</t>
  </si>
  <si>
    <t>Fri:08:00-10:00:Mr. Jimmy Mwesigye</t>
  </si>
  <si>
    <t>Fri:08:00-10:00:BBA-4</t>
  </si>
  <si>
    <t>BBA224:Business Ethics||Mr. Jimmy Mwesigye</t>
  </si>
  <si>
    <t>Fri:12:30-02:30:Mr. Jimmy Mwesigye</t>
  </si>
  <si>
    <t>Fri:12:30-02:30:BBA-HRM-5</t>
  </si>
  <si>
    <t>HRM311:Human Resource Information System||Mr. Jimmy Mwesigye</t>
  </si>
  <si>
    <t>Fri08:00-10:00LLM</t>
  </si>
  <si>
    <t>Fri:08:00-10:00:Mr. Brian Kirima</t>
  </si>
  <si>
    <t>Fri:08:00-10:00:DPL-1</t>
  </si>
  <si>
    <t>DPS116:Law of Evidence ||Mr. Brian Kirima</t>
  </si>
  <si>
    <t>Fri02:45-04:45KG-7</t>
  </si>
  <si>
    <t>Fri:02:45-04:45:Ms.Kabasinguzi Christine</t>
  </si>
  <si>
    <t>Fri:02:45-04:45:BBA-PL-6</t>
  </si>
  <si>
    <t>PLM322:Sustainable Purchasing||Ms.Kabasinguzi Christine</t>
  </si>
  <si>
    <t>Fri12:30-02:30KG-9</t>
  </si>
  <si>
    <t>Fri:12:30-02:30:Ms.Kabasinguzi Christine</t>
  </si>
  <si>
    <t>Fri:12:30-02:30:BBA-PL-6</t>
  </si>
  <si>
    <t>PLM327:Procurement Audit &amp; Investigations||Ms.Kabasinguzi Christine</t>
  </si>
  <si>
    <t>Fri08:00-10:00SI-112</t>
  </si>
  <si>
    <t>Fri:08:00-10:00:Deborah Mackenzie</t>
  </si>
  <si>
    <t>Fri:08:00-10:00:BIT-3,DIT-3,DCS-3,BSE-4,BCS-3</t>
  </si>
  <si>
    <t>BIT213/BSE213:Web Development and Management/ Advanced internet &amp; Web programming||Deborah Mackenzie</t>
  </si>
  <si>
    <t>Fri10:15-12:15SI-102</t>
  </si>
  <si>
    <t>Fri:10:15-12:15:Deborah Mackenzie</t>
  </si>
  <si>
    <t>Fri:10:15-12:15:BSE-7</t>
  </si>
  <si>
    <t>BSE323:Software Architecture &amp; Patterns||Deborah Mackenzie</t>
  </si>
  <si>
    <t>Fri02:45-04:45MKN-17</t>
  </si>
  <si>
    <t>Fri:02:45-04:45:Dr. Mugabi Francis</t>
  </si>
  <si>
    <t>Fri:02:45-04:45:HEC-P1</t>
  </si>
  <si>
    <t>FOS112:Foundation Physics I||Dr. Mugabi Francis</t>
  </si>
  <si>
    <t>Thu:02:45-04:45:Kwesiga Bosco</t>
  </si>
  <si>
    <t>Thu:02:45-04:45:BPH-1</t>
  </si>
  <si>
    <t>BPH114:Introduction to Public Health and Ethics||Kwesiga Bosco</t>
  </si>
  <si>
    <t>Fri10:15-12:15MKN-16</t>
  </si>
  <si>
    <t>Fri:10:15-12:15:Khawa Namajja</t>
  </si>
  <si>
    <t>Fri:10:15-12:15:BPH-4</t>
  </si>
  <si>
    <t>BPH221:Public Health in Emergency Situations||Khawa Namajja</t>
  </si>
  <si>
    <t>Fri08:00-10:00LLB2</t>
  </si>
  <si>
    <t>Fri:08:00-10:00:Mr. Allen Yoboka</t>
  </si>
  <si>
    <t>Fri12:00-02:00LLB2</t>
  </si>
  <si>
    <t>Fri:12:00-02:00:Mr. Allen Yoboka</t>
  </si>
  <si>
    <t>Fri:10:15-12:15:Mr. Opio Gregory</t>
  </si>
  <si>
    <t>Fri:10:15-12:15:BIRDS-6</t>
  </si>
  <si>
    <t>IRDS322:Africa and Contemporary International Security||Mr. Opio Gregory</t>
  </si>
  <si>
    <t>Fri08:00-10:00LLB4</t>
  </si>
  <si>
    <t>Fri:08:00-10:00:Mr. Alex Nabwiso</t>
  </si>
  <si>
    <t>Fri02:00-04:00LLB2</t>
  </si>
  <si>
    <t>Fri:02:00-04:00:Mr. Godfrey Ayeranga</t>
  </si>
  <si>
    <t>Fri12:00-02:00LLB1</t>
  </si>
  <si>
    <t xml:space="preserve">Fri:12:00-02:00:Mr. Samson Rubayihayo </t>
  </si>
  <si>
    <t>Fri10:00-12:00LLB3</t>
  </si>
  <si>
    <t>Fri:10:00-12:00:Mr. Hakim Salum</t>
  </si>
  <si>
    <t>Fri02:45-04:45KG-6</t>
  </si>
  <si>
    <t>Fri:02:45-04:45:Mr. Jonathan Tabalanga</t>
  </si>
  <si>
    <t>Fri:02:45-04:45:BIRDS-4</t>
  </si>
  <si>
    <t>IRDS227:Advanced Theory of Diplomacy||Mr. Jonathan Tabalanga</t>
  </si>
  <si>
    <t>Fri:12:30-02:30:Rene Eno Akpa</t>
  </si>
  <si>
    <t>Fri:12:30-02:30:BIRDS-5</t>
  </si>
  <si>
    <t>IRDS316:Global Geopolitical Analysis||Rene Eno Akpa</t>
  </si>
  <si>
    <t>Fri02:45-04:45KG-11</t>
  </si>
  <si>
    <t>Fri:02:45-04:45:Mr. Opio Gregory</t>
  </si>
  <si>
    <t>Fri:02:45-04:45:BPAM-2</t>
  </si>
  <si>
    <t>BPA123:Decentralization and Local Government Administration||Mr. Opio Gregory</t>
  </si>
  <si>
    <t>Fri:02:45-04:45:Rene Eno Akpa</t>
  </si>
  <si>
    <t>Fri:02:45-04:45:BPAM-6</t>
  </si>
  <si>
    <t>BPA322:Disaster Preparedness and Management||Rene Eno Akpa</t>
  </si>
  <si>
    <t>Fri04:00-06:00LLB1</t>
  </si>
  <si>
    <t>Fri:04:00-06:00:Mr. Sostine Ngabirano</t>
  </si>
  <si>
    <t>Fri02:45-04:45KG-13</t>
  </si>
  <si>
    <t>Fri:02:45-04:45:Mr. Vicent Ssekundi</t>
  </si>
  <si>
    <t>Fri:02:45-04:45:BPAM-5</t>
  </si>
  <si>
    <t>BPA313:Civil Society Development and NGOs Management||Mr. Vicent Ssekundi</t>
  </si>
  <si>
    <t>Fri02:00-04:00LLB3</t>
  </si>
  <si>
    <t>Fri:02:00-04:00:Ms. Lelia Katusiime</t>
  </si>
  <si>
    <t>Fri08:00-10:00KG-13</t>
  </si>
  <si>
    <t>Fri:08:00-10:00:Mr. Milton Turyareeba</t>
  </si>
  <si>
    <t>Fri:08:00-10:00:BBA-AF-5</t>
  </si>
  <si>
    <t>BBF317:Company Law||Mr. Milton Turyareeba</t>
  </si>
  <si>
    <t>tmurami@cavendish.ac.ug</t>
  </si>
  <si>
    <t>Fri:10:15-12:15:Murami Taibu</t>
  </si>
  <si>
    <t>Fri:10:15-12:15:BPH-3</t>
  </si>
  <si>
    <t>EHS214:Principles of Demography and Population Dynamics||Murami Taibu</t>
  </si>
  <si>
    <t>Fri12:30-02:30MKN-16</t>
  </si>
  <si>
    <t>Fri:12:30-02:30:Murami Taibu</t>
  </si>
  <si>
    <t>Fri:12:30-02:30:BPH-6</t>
  </si>
  <si>
    <t>BPH321:Health Economics and Financing||Murami Taibu</t>
  </si>
  <si>
    <t>Fri08:00-10:00KG-10</t>
  </si>
  <si>
    <t>Fri:08:00-10:00:Ms.Iriet Caroline Namajja</t>
  </si>
  <si>
    <t>Fri:08:00-10:00:BPAM-3</t>
  </si>
  <si>
    <t>BPA216:Human and Social Servises Systems||Ms.Iriet Caroline Namajja</t>
  </si>
  <si>
    <t>Fri02:45-04:45SI-011</t>
  </si>
  <si>
    <t>Fri:02:45-04:45:Ms.Iriet Caroline Namajja</t>
  </si>
  <si>
    <t>Fri:02:45-04:45:BPAM-4</t>
  </si>
  <si>
    <t>NGO316:Resource Mobilization and Grants Administration||Ms.Iriet Caroline Namajja</t>
  </si>
  <si>
    <t>Fri10:15-12:15SI-B01</t>
  </si>
  <si>
    <t>Fri:10:15-12:15:Ms.Namakula Elizabeth</t>
  </si>
  <si>
    <t>Fri:10:15-12:15:BBA-PL-1,BBA-HRM-1,BBA-G-1,BBA-MKT-1,BIT-1,BCS-1,BSE-1,DIT-1,BPH-1,DDA-1,BDA-1</t>
  </si>
  <si>
    <t>Fri12:30-02:30KG-5</t>
  </si>
  <si>
    <t>Fri:12:30-02:30:Ms.Namakula Elizabeth</t>
  </si>
  <si>
    <t>Fri:12:30-02:30:BJC-2</t>
  </si>
  <si>
    <t>BJC127:Introduction to Media  writing||Ms.Namakula Elizabeth</t>
  </si>
  <si>
    <t>Fri10:15-12:15MKN-18</t>
  </si>
  <si>
    <t>Fri:10:15-12:15:Sarah Namazzi</t>
  </si>
  <si>
    <t>Fri:10:15-12:15:HEC-B2</t>
  </si>
  <si>
    <t>HEC126:Introduction to Physical Chemistry||Sarah Namazzi</t>
  </si>
  <si>
    <t>Dr. Katono Yusuf</t>
  </si>
  <si>
    <t>ykatono@cavendish.ac.ug</t>
  </si>
  <si>
    <t>Fri12:30-02:30KG-15</t>
  </si>
  <si>
    <t>Fri:12:30-02:30:Dr. Katono Yusuf</t>
  </si>
  <si>
    <t>Fri:12:30-02:30:BBA-2,DBA-2</t>
  </si>
  <si>
    <t>BBA124/DBA124:Principles of Marketing||Dr. Katono Yusuf</t>
  </si>
  <si>
    <t>Fri02:45-04:45KG-5</t>
  </si>
  <si>
    <t>Fri:02:45-04:45:Mr. Ronald Olar</t>
  </si>
  <si>
    <t>Fri:02:45-04:45:BBA-HRM-6</t>
  </si>
  <si>
    <t>HRM323:Strategic Human Resource Management ||Mr. Ronald Olar</t>
  </si>
  <si>
    <t>Fri12:30-02:30KG-4</t>
  </si>
  <si>
    <t>Fri:12:30-02:30:Mr.Ochwo Geoffrey</t>
  </si>
  <si>
    <t>Fri:12:30-02:30:BJC-3</t>
  </si>
  <si>
    <t>BJC214:Photojournalism||Mr.Ochwo Geoffrey</t>
  </si>
  <si>
    <t>Fri08:00-10:00KG-7</t>
  </si>
  <si>
    <t>Fri:08:00-10:00:Mr.Pule Samuel</t>
  </si>
  <si>
    <t>Fri:08:00-10:00:BBA-PL-6</t>
  </si>
  <si>
    <t>PLM326:Inventory &amp; Warehousing Operations||Mr.Pule Samuel</t>
  </si>
  <si>
    <t>Fri12:30-02:30KG-14</t>
  </si>
  <si>
    <t>Fri:12:30-02:30:Mr. Ronald Olar</t>
  </si>
  <si>
    <t>Fri:12:30-02:30:BBA-3,DBA-3,BPAM-5</t>
  </si>
  <si>
    <t>BBA215/DBA215:Human Resource Management||Mr. Ronald Olar</t>
  </si>
  <si>
    <t>Fri10:00-12:00LLB-1</t>
  </si>
  <si>
    <t>Fri:10:00-12:00:DPL-1</t>
  </si>
  <si>
    <t>DPS114:Contract Law||Mr. Alex Nabwiso</t>
  </si>
  <si>
    <t>Fri02:00-04:00LLM</t>
  </si>
  <si>
    <t>Fri:02:00-04:00:DPL-3</t>
  </si>
  <si>
    <t>Fri10:15-12:15SI-205</t>
  </si>
  <si>
    <t>Fri:10:15-12:15:Mr.Taremwa Danson</t>
  </si>
  <si>
    <t>Fri:10:15-12:15:BCS-3,BSE-3</t>
  </si>
  <si>
    <t>COM212:Data Structures and Algorithms||Mr.Taremwa Danson</t>
  </si>
  <si>
    <t>Fri08:00-10:00SI-105</t>
  </si>
  <si>
    <t>Fri:08:00-10:00:Mr.Taremwa Danson</t>
  </si>
  <si>
    <t>Fri:08:00-10:00:BIT-5,BCS-5,BSE-5</t>
  </si>
  <si>
    <t>BIT312/BSE311:Mobile Application Development/Mobile Application Development 1||Mr.Taremwa Danson</t>
  </si>
  <si>
    <t>Fri12:30-02:30SI-202</t>
  </si>
  <si>
    <t>Fri:12:30-02:30:Mr.Taremwa Danson</t>
  </si>
  <si>
    <t>Fri:12:30-02:30:BCS-1</t>
  </si>
  <si>
    <t>COM111:Mathematics for Computing||Mr.Taremwa Danson</t>
  </si>
  <si>
    <t>Fri12:30-02:30MKN-17</t>
  </si>
  <si>
    <t>Fri:12:30-02:30:Bruce Nabaasa</t>
  </si>
  <si>
    <t>Fri:12:30-02:30:BPH-1</t>
  </si>
  <si>
    <t>BPH113:Human Biology||Bruce Nabaasa</t>
  </si>
  <si>
    <t>Fri:12:30-02:30:Ms Kembabazi Comfort</t>
  </si>
  <si>
    <t>Fri:12:30-02:30:HEC-B2</t>
  </si>
  <si>
    <t>HEC124:Introduction to Plant Physiology||Ms Kembabazi Comfort</t>
  </si>
  <si>
    <t>Fri:10:15-12:15:Ms Kembabazi Comfort</t>
  </si>
  <si>
    <t>Fri:10:15-12:15:HEC-B1</t>
  </si>
  <si>
    <t>HEC115:Introduction to Animal Physiology||Ms Kembabazi Comfort</t>
  </si>
  <si>
    <t>Fri10:15-12:15MKN-08</t>
  </si>
  <si>
    <t>Fri:10:15-12:15:Dr. Mugabi Francis</t>
  </si>
  <si>
    <t>Fri:10:15-12:15:HEC-P2</t>
  </si>
  <si>
    <t>FOS126:Foundation Physics II||Dr. Mugabi Francis</t>
  </si>
  <si>
    <t>Fri02:45-04:45SI-214</t>
  </si>
  <si>
    <t>Fri:02:45-04:45:Mr.Tuhaise Robert</t>
  </si>
  <si>
    <t>Fri:02:45-04:45:BIT-5,BCS-5,BSE-5</t>
  </si>
  <si>
    <t>BIT314:Network Configuration and Management||Mr.Tuhaise Robert</t>
  </si>
  <si>
    <t>Fri08:00-10:00SI-214</t>
  </si>
  <si>
    <t>Fri:08:00-10:00:Mr.Tuhaise Robert</t>
  </si>
  <si>
    <t>Fri:08:00-10:00:BIT-6,BCS-6</t>
  </si>
  <si>
    <t>BIT324:Network and Information Security||Mr.Tuhaise Robert</t>
  </si>
  <si>
    <t>Fri10:15-12:15SI-112</t>
  </si>
  <si>
    <t>Fri:10:15-12:15:Mr.Tuhaise Robert</t>
  </si>
  <si>
    <t>Fri:10:15-12:15:BIT-4,DIT-3</t>
  </si>
  <si>
    <t>BIT223:Computer Repair and Maintenance||Mr.Tuhaise Robert</t>
  </si>
  <si>
    <t>Fri12:30-02:30SI-214</t>
  </si>
  <si>
    <t>Fri:12:30-02:30:Mr.Tuhaise Robert</t>
  </si>
  <si>
    <t>Fri:12:30-02:30:BCS-3,DIT-4,DCS-4,BSE-3,BIT-3</t>
  </si>
  <si>
    <t>BIT214:Computer Networks and Data Communications||Mr.Tuhaise Robert</t>
  </si>
  <si>
    <t>Fri:02:45-04:45:Khawa Namajja</t>
  </si>
  <si>
    <t>Fri:02:45-04:45:BPH-6</t>
  </si>
  <si>
    <t>BPH323/ADHM1106:Health Service Management ||Khawa Namajja</t>
  </si>
  <si>
    <t>Fri10:15-12:15KG-15</t>
  </si>
  <si>
    <t>Fri:10:15-12:15:Dr. Mbabazi Annet</t>
  </si>
  <si>
    <t>Fri:10:15-12:15:BPH-4,BJC-4,BIRDS-4,DBA3-BPAM-4</t>
  </si>
  <si>
    <t>RSC001-B:Research Methodology||Dr. Mbabazi Annet</t>
  </si>
  <si>
    <t>Fri10:15-12:15KG-9</t>
  </si>
  <si>
    <t>Fri:10:15-12:15:Dr. Katono Yusuf</t>
  </si>
  <si>
    <t>Fri:10:15-12:15:BBA-G-6</t>
  </si>
  <si>
    <t>BBA315:Marketing Strategy ||Dr. Katono Yusuf</t>
  </si>
  <si>
    <t>Fri10:15-12:15SI-011</t>
  </si>
  <si>
    <t>Fri:10:15-12:15:Dr. JB Ssemakula</t>
  </si>
  <si>
    <t>Fri:10:15-12:15:DDA-2</t>
  </si>
  <si>
    <t>BDA1202,DDA1203: R Programming||Dr. JB Ssemakula</t>
  </si>
  <si>
    <t>Fri08:00-10:00SI-012</t>
  </si>
  <si>
    <t>Fri:08:00-10:00:Ms.Barbra Kisakye</t>
  </si>
  <si>
    <t>Fri:08:00-10:00:DDA-2</t>
  </si>
  <si>
    <t>BDA1201,DDA1206:Design Thinking ||Ms.Barbra Kisakye</t>
  </si>
  <si>
    <t>Sat10:15-12:15MKN-15|Online</t>
  </si>
  <si>
    <t>Sat:10:15-12:15:Dr. Mbabazi Annet</t>
  </si>
  <si>
    <t>Sat:10:15-12:15:BPH</t>
  </si>
  <si>
    <t>RSC001-H:Research Methodology||Dr. Mbabazi Annet</t>
  </si>
  <si>
    <t>Tue10:15-12:15MKN-17</t>
  </si>
  <si>
    <t>Tue:10:15-12:15:Mr. Opio Gregory</t>
  </si>
  <si>
    <t>Tue:10:15-12:15:HEC-P2</t>
  </si>
  <si>
    <t>FOU113-P:Introduction to development studies||Mr. Opio Gregory</t>
  </si>
  <si>
    <t>Naomi Evelyn Abenakyo</t>
  </si>
  <si>
    <t>eabenakyo@cavendish.ac.ug</t>
  </si>
  <si>
    <t>Sat:08:00-10:00:LLB4</t>
  </si>
  <si>
    <t>Sat:08:00-10:00:Mr. Allen Yoboka</t>
  </si>
  <si>
    <t>Sat:08:00-10:00:LLM</t>
  </si>
  <si>
    <t>Sat:08:00-10:00:Mr. Sostine Ngabirano</t>
  </si>
  <si>
    <t>Sat:08:00-10:00:KG-14</t>
  </si>
  <si>
    <t>Sat:08:00-10:00:Mr.Wairindi Daniel Katongole</t>
  </si>
  <si>
    <t>Sat:08:00-10:00:BBA-1W</t>
  </si>
  <si>
    <t>Sat:08:00-10:00:KG-11</t>
  </si>
  <si>
    <t>Sat:08:00-10:00:Bisaso Rita Regina</t>
  </si>
  <si>
    <t>Sat:08:00-10:00:BBA-3W</t>
  </si>
  <si>
    <t>Sat:08:00-10:00:MKN-14</t>
  </si>
  <si>
    <t>Sat:08:00-10:00:Bruce Nabaasa</t>
  </si>
  <si>
    <t>Sat:08:00-10:00:BEHS-5</t>
  </si>
  <si>
    <t>Sat:08:00-10:00:MKN-15</t>
  </si>
  <si>
    <t>Sat:08:00-10:00:Deo Nsubuga</t>
  </si>
  <si>
    <t>Sat:08:00-10:00:BEHS-1</t>
  </si>
  <si>
    <t>Dr. Wilberforce Tindyebwa</t>
  </si>
  <si>
    <t>Sat:12:30-02:30:SI-102</t>
  </si>
  <si>
    <t>Sat:12:30-02:30:Dr. Wilberforce Tindyebwa</t>
  </si>
  <si>
    <t>Sat:12:30-02:30:MBA-M</t>
  </si>
  <si>
    <t>Sat:08:00-10:00:Lab</t>
  </si>
  <si>
    <t>Sat:08:00-10:00:Dr. Daniel Walyemera</t>
  </si>
  <si>
    <t>Sat:08:00-10:00:LLB3</t>
  </si>
  <si>
    <t>Sat:08:00-10:00:Prof. Kibukamusoke Martha</t>
  </si>
  <si>
    <t>Sat:08:00-10:00:Online</t>
  </si>
  <si>
    <t>Sat:08:00-10:00:Prof.Musa Dahiru</t>
  </si>
  <si>
    <t>Sat:08:00-10:00:MPH-2</t>
  </si>
  <si>
    <t>Sat:08:00-10:00:KG-15</t>
  </si>
  <si>
    <t>Sat:08:00-10:00:Mr. Bakyayita David</t>
  </si>
  <si>
    <t>Sat:08:00-10:00:MBA-HRM,MPM-2,MED-3</t>
  </si>
  <si>
    <t>MBA-1,MSS-1,MPM-1,MED-1,MIRDS-1</t>
  </si>
  <si>
    <t>Sat:08:00-10:00:SI-B01</t>
  </si>
  <si>
    <t>Sat:08:00-10:00:Dr. Wilberforce Tindyebwa</t>
  </si>
  <si>
    <t>Sat:08:00-10:00:MBA-1,MSS-1,MPM-1,MED-1,MIRDS-1</t>
  </si>
  <si>
    <t>Dr Kabangi Moses</t>
  </si>
  <si>
    <t>Sat:08:00-10:00:MKN-16</t>
  </si>
  <si>
    <t>Sat:08:00-10:00:Dr Kabangi Moses</t>
  </si>
  <si>
    <t>Sat:08:00-10:00:BEHS-4</t>
  </si>
  <si>
    <t>MKN-09</t>
  </si>
  <si>
    <t>Sat:08:00-10:00:MKN-09</t>
  </si>
  <si>
    <t>Sat:08:00-10:00:Ivan Mugumya</t>
  </si>
  <si>
    <t>Sat:08:00-10:00:BEHS-2</t>
  </si>
  <si>
    <t>Paschal Kibingo</t>
  </si>
  <si>
    <t>Sat:08:00-10:00:MKN-18</t>
  </si>
  <si>
    <t>Sat:08:00-10:00:Paschal Kibingo</t>
  </si>
  <si>
    <t>Sat:08:00-10:00:BEHS-3</t>
  </si>
  <si>
    <t>Sat:08:00-10:00:KG-13</t>
  </si>
  <si>
    <t>Sat:08:00-10:00:Mr. Kawiso Martin Wilfred</t>
  </si>
  <si>
    <t>Sat:08:00-10:00:BBA-2W</t>
  </si>
  <si>
    <t>Sat:08:00-10:00:LLB2</t>
  </si>
  <si>
    <t>Sat:08:00-10:00:Mr. Herman Tuhairwe</t>
  </si>
  <si>
    <t>Sat:08:00-10:00:Mr. Richard Watenyera</t>
  </si>
  <si>
    <t>Sat:08:00-10:00:LLM-1</t>
  </si>
  <si>
    <t>Sat:08:00-10:00:Mootcourt</t>
  </si>
  <si>
    <t>Sat:08:00-10:00:Ms. Mary Nyachieo</t>
  </si>
  <si>
    <t>Sat:08:00-10:00:LLB1</t>
  </si>
  <si>
    <t>Sat:08:00-10:00:Ms. Agnes Wandira Ntende</t>
  </si>
  <si>
    <t>Sat:08:00-10:00:Ms. Denise Babirye</t>
  </si>
  <si>
    <t>Sat:08:00-10:00:Ms. Lelia Katusiime</t>
  </si>
  <si>
    <t>Sat:08:00-10:00:MKN-17</t>
  </si>
  <si>
    <t>Sat:08:00-10:00:Murami Taibu</t>
  </si>
  <si>
    <t>Sat:08:00-10:00:BEHS-6</t>
  </si>
  <si>
    <t>Sat:08:00-10:00:SI-105</t>
  </si>
  <si>
    <t>Sat:08:00-10:00:Dr. Dorcus Kalembe</t>
  </si>
  <si>
    <t>Sat:08:00-10:00:MBA-2</t>
  </si>
  <si>
    <t xml:space="preserve">Prof. Olomola Omolade </t>
  </si>
  <si>
    <t xml:space="preserve">Sat:08:00-10:00:Prof. Olomola Omolade </t>
  </si>
  <si>
    <t>Sat:10:15-12:15:SI-202</t>
  </si>
  <si>
    <t>Sat:10:15-12:15:Mr.Pule Samuel</t>
  </si>
  <si>
    <t>Sat:10:15-12:15:MPM-3</t>
  </si>
  <si>
    <t>Prof. Alex Thomas  Ijjo</t>
  </si>
  <si>
    <t>Sat:10:15-12:15:SI-102</t>
  </si>
  <si>
    <t>Sat:10:15-12:15:Prof. Alex Thomas  Ijjo</t>
  </si>
  <si>
    <t>Sat:10:15-12:15:MBA-M</t>
  </si>
  <si>
    <t>Sat:10:15-12:15:Online</t>
  </si>
  <si>
    <t>Sat:10:15-12:15:Prof.Musa Dahiru</t>
  </si>
  <si>
    <t>Sat:10:15-12:15:MPH-2</t>
  </si>
  <si>
    <t>MKN-14 | Online</t>
  </si>
  <si>
    <t>Sat:10:15-12:15:MKN-14 | Online</t>
  </si>
  <si>
    <t>Sat:10:15-12:15:BEHS-4,BBA-4W</t>
  </si>
  <si>
    <t>Sat:10:15-12:15:Ms. Nakazzi Maria</t>
  </si>
  <si>
    <t>Sat:10:15-12:15:MED-1</t>
  </si>
  <si>
    <t>Sat:10:15-12:15:SI-012</t>
  </si>
  <si>
    <t>Sat:10:15-12:15:Mr. Jimmy Mwesigye</t>
  </si>
  <si>
    <t>Sat:10:15-12:15:MBA-HRM,MED-3</t>
  </si>
  <si>
    <t>Sat:10:15-12:15:KG-15</t>
  </si>
  <si>
    <t>Sat:10:15-12:15:Mr. Kawiso Martin Wilfred</t>
  </si>
  <si>
    <t>Sat:10:15-12:15:BBA-1W</t>
  </si>
  <si>
    <t>Sat:10:15-12:15:MKN-16</t>
  </si>
  <si>
    <t>Sat:10:15-12:15:Dr Shallon Atuhaire</t>
  </si>
  <si>
    <t>Sat:10:15-12:15:BEHS-3</t>
  </si>
  <si>
    <t>Sat:12:30-02:30:SI-214</t>
  </si>
  <si>
    <t>Sat:12:30-02:30:Makwasi Christopher</t>
  </si>
  <si>
    <t>Sat:12:30-02:30:MBA-AF</t>
  </si>
  <si>
    <t>Sat:08:00-10:00:Dr. Mbabazi Annet</t>
  </si>
  <si>
    <t>Sat:08:00-10:00:MED-2</t>
  </si>
  <si>
    <t>Sat:10:15-12:15:KG-11</t>
  </si>
  <si>
    <t>Sat:10:15-12:15:Mr. Denis Wamimbi</t>
  </si>
  <si>
    <t>Sat:10:15-12:15:MSS-1</t>
  </si>
  <si>
    <t>Sat:10:15-12:15:SI-205</t>
  </si>
  <si>
    <t>Sat:10:15-12:15:Dr. Joseph Yiga Baleke</t>
  </si>
  <si>
    <t>Sat:10:15-12:15:MBA-AF</t>
  </si>
  <si>
    <t>SI-B01 |Online</t>
  </si>
  <si>
    <t>Sat:10:15-12:15:SI-B01 |Online</t>
  </si>
  <si>
    <t>Sat:10:15-12:15:Mpubani David</t>
  </si>
  <si>
    <t>Sat:10:15-12:15:MPH-1,MBA-1,MPM-1</t>
  </si>
  <si>
    <t>Sat:10:15-12:15:MKN-17</t>
  </si>
  <si>
    <t>Sat:10:15-12:15:Murami Taibu</t>
  </si>
  <si>
    <t>Sat:10:15-12:15:BEHS-6</t>
  </si>
  <si>
    <t>Sat:10:15-12:15:MKN-18</t>
  </si>
  <si>
    <t>Sat:10:15-12:15:Kwesiga Bosco</t>
  </si>
  <si>
    <t>Sat:10:15-12:15:BEHS-5</t>
  </si>
  <si>
    <t>Sat:10:15-12:15:SI-011</t>
  </si>
  <si>
    <t>Sat:10:15-12:15:Dr. Janepher Sambaga</t>
  </si>
  <si>
    <t>Sat:10:15-12:15:MBA-PS</t>
  </si>
  <si>
    <t>Sat:10:15-12:15:KG-14</t>
  </si>
  <si>
    <t>Sat:10:15-12:15:Dr. Katono Yusuf</t>
  </si>
  <si>
    <t>Sat:10:15-12:15:BBA-2W</t>
  </si>
  <si>
    <t>Sat:10:15-12:15:KG-13</t>
  </si>
  <si>
    <t>Sat:10:15-12:15:Mr. Ronald Olar</t>
  </si>
  <si>
    <t>Sat:10:15-12:15:BBA-3W</t>
  </si>
  <si>
    <t>Sat:12:30-02:30:SI-011</t>
  </si>
  <si>
    <t>Sat:12:30-02:30:Mr. Milton Turyareeba</t>
  </si>
  <si>
    <t>Sat:12:30-02:30:MPM-2</t>
  </si>
  <si>
    <t>Sat:10:15-12:15:KG-6</t>
  </si>
  <si>
    <t>Sat:10:15-12:15:Bisaso Rita Regina</t>
  </si>
  <si>
    <t>Sat:10:15-12:15:BBA-AF-5</t>
  </si>
  <si>
    <t>Sat:12:30-02:30:Online</t>
  </si>
  <si>
    <t>Sat:12:30-02:30:Dr. Akampurira Patience</t>
  </si>
  <si>
    <t>Sat:12:30-02:30:MED-2</t>
  </si>
  <si>
    <t>Sat:12:30-02:30:MKN-14</t>
  </si>
  <si>
    <t>Sat:12:30-02:30:Bruce Nabaasa</t>
  </si>
  <si>
    <t>Sat:12:30-02:30:MPH-2</t>
  </si>
  <si>
    <t>Sat:12:30-02:30:MKN-17</t>
  </si>
  <si>
    <t>Sat:12:30-02:30:Deo Nsubuga</t>
  </si>
  <si>
    <t>Sat:12:30-02:30:MPH-3</t>
  </si>
  <si>
    <t>Sat:12:30-02:30:SI-B01</t>
  </si>
  <si>
    <t>Sat:12:30-02:30:Prof. Alex Thomas  Ijjo</t>
  </si>
  <si>
    <t>Sat:12:30-02:30:MBA-1</t>
  </si>
  <si>
    <t>Sat:12:30-02:30:MKN-09</t>
  </si>
  <si>
    <t>Sat:12:30-02:30:Dr Shallon Atuhaire</t>
  </si>
  <si>
    <t>Sat:12:30-02:30:MPH-1</t>
  </si>
  <si>
    <t>Eric Omonyi</t>
  </si>
  <si>
    <t>Sat:12:30-02:30:Eric Omonyi</t>
  </si>
  <si>
    <t>Sat:12:30-02:30:BEHS-5</t>
  </si>
  <si>
    <t>Sat:12:30-02:30:MKN-15</t>
  </si>
  <si>
    <t>Sat:12:30-02:30:Paschal Kibingo</t>
  </si>
  <si>
    <t>Sat:12:30-02:30:KG-13</t>
  </si>
  <si>
    <t>Sat:12:30-02:30:Mr. Denis Wamimbi</t>
  </si>
  <si>
    <t>Sat:12:30-02:30:MIRDS-1,LLM</t>
  </si>
  <si>
    <t>Sat:10:15-12:15:Mr. Esibo Omada</t>
  </si>
  <si>
    <t>Sat:10:15-12:15:MIRDS-3</t>
  </si>
  <si>
    <t>Sat:10:15-12:15:Mr. Opio Gregory</t>
  </si>
  <si>
    <t>Sat:10:15-12:15:MIRDS-2</t>
  </si>
  <si>
    <t>Sat:10:15-12:15:KG-9</t>
  </si>
  <si>
    <t>Sat:10:15-12:15:Mr. Richard Watenyera</t>
  </si>
  <si>
    <t>Sat:10:15-12:15:MIRDS-1</t>
  </si>
  <si>
    <t>Sat:02:45-04:45:MKN-16</t>
  </si>
  <si>
    <t>Sat:02:45-04:45:Paschal Kibingo</t>
  </si>
  <si>
    <t>Sat:02:45-04:45:BEHS-3</t>
  </si>
  <si>
    <t>MKN-18 | Online</t>
  </si>
  <si>
    <t>Sat:12:30-02:30:MKN-18 | Online</t>
  </si>
  <si>
    <t>Sat:12:30-02:30:Ms.Namakula Elizabeth</t>
  </si>
  <si>
    <t>Sat:12:30-02:30:BEHS-1,BBA-1W</t>
  </si>
  <si>
    <t>Sat:12:30-02:30:SI-202</t>
  </si>
  <si>
    <t>Sat:12:30-02:30:Mr.Pule Samuel</t>
  </si>
  <si>
    <t>Sat:12:30-02:30:MBA-PS</t>
  </si>
  <si>
    <t>Sat:12:30-02:30:KG-10</t>
  </si>
  <si>
    <t>Sat:12:30-02:30:Mr.Wairindi Daniel Katongole</t>
  </si>
  <si>
    <t>Sat:12:30-02:30:BBA-4W</t>
  </si>
  <si>
    <t>Sat:12:30-02:30:SI-212</t>
  </si>
  <si>
    <t>Sat:12:30-02:30:Mr. Ssekalo Ismael</t>
  </si>
  <si>
    <t>Sat:12:30-02:30:MBA-HRM</t>
  </si>
  <si>
    <t>Sat:08:00-10:00:KG-6</t>
  </si>
  <si>
    <t>Sat:08:00-10:00:Dr. Faith Ahabyoona Mugisha</t>
  </si>
  <si>
    <t>Sat:08:00-10:00:BBA-AF-5,BF-5,G-5</t>
  </si>
  <si>
    <t>Sat:02:00-04:00:LLB1</t>
  </si>
  <si>
    <t>Sat:02:00-04:00:Dr. Daniel Walyemera</t>
  </si>
  <si>
    <t>Sat:02:00-04:00:LLB-1</t>
  </si>
  <si>
    <t>Sat:02:00-04:00:LLB3</t>
  </si>
  <si>
    <t>Sat:02:00-04:00:Prof. Kibukamusoke Martha</t>
  </si>
  <si>
    <t>Sat:02:00-04:00:LLB-4</t>
  </si>
  <si>
    <t>Sat:02:00-04:00:LLM</t>
  </si>
  <si>
    <t>Sat:02:00-04:00:Mr. Allen Yoboka</t>
  </si>
  <si>
    <t>Sat:02:00-04:00:LLM-1</t>
  </si>
  <si>
    <t>Sat:02:00-04:00:Lab</t>
  </si>
  <si>
    <t>Sat:02:00-04:00:Mr. Hakim Salum</t>
  </si>
  <si>
    <t>Sat:02:00-04:00:LLB-6</t>
  </si>
  <si>
    <t>Sat:02:00-04:00:LLB2</t>
  </si>
  <si>
    <t>Sat:02:00-04:00:Ms. Catherine Nansubuga</t>
  </si>
  <si>
    <t>Sat:02:00-04:00:LLB-2</t>
  </si>
  <si>
    <t>Sat:02:00-04:00:Ms. Denise Babirye</t>
  </si>
  <si>
    <t>Sat:02:00-04:00:LLB-3</t>
  </si>
  <si>
    <t>Sat:02:00-04:00:LLB4</t>
  </si>
  <si>
    <t>Sat:02:00-04:00:Ms. Lelia Katusiime</t>
  </si>
  <si>
    <t>Sat:02:00-04:00:LLB-5</t>
  </si>
  <si>
    <t>Sat:02:00-04:00:Mootcourt</t>
  </si>
  <si>
    <t xml:space="preserve">Sat:02:00-04:00:Mr. Moses Kayima Nyanzi </t>
  </si>
  <si>
    <t>Sat:02:00-04:00:LLB-8</t>
  </si>
  <si>
    <t>Sat:02:45-04:45:SI-105</t>
  </si>
  <si>
    <t>Sat:02:45-04:45:Dr. Mbabazi Annet</t>
  </si>
  <si>
    <t>Sat:02:45-04:45:MED-1</t>
  </si>
  <si>
    <t>Sat:02:45-04:45:MKN-14</t>
  </si>
  <si>
    <t>Sat:02:45-04:45:Bruce Nabaasa</t>
  </si>
  <si>
    <t>Sat:02:45-04:45:BEHS-2</t>
  </si>
  <si>
    <t>Sat:02:45-04:45:MKN-18</t>
  </si>
  <si>
    <t>Sat:02:45-04:45:Deo Nsubuga</t>
  </si>
  <si>
    <t>Sat:02:45-04:45:BEHS-6</t>
  </si>
  <si>
    <t>MBA-2,MPM-2,MED-2,MIT-1,MIRDS-2,MSS-2</t>
  </si>
  <si>
    <t>Prof. Olubayi Olubayi | Dr. Kimwise Alone</t>
  </si>
  <si>
    <t>Sat:02:45-04:45:SI-205</t>
  </si>
  <si>
    <t>Sat:02:45-04:45:Prof. Olubayi Olubayi | Dr. Kimwise Alone</t>
  </si>
  <si>
    <t>Sat:02:45-04:45:MBA-2,MPM-2,MED-2,MIT-1,MIRDS-2,MSS-2</t>
  </si>
  <si>
    <t>Sat:02:45-04:45:SI-012</t>
  </si>
  <si>
    <t>Sat:02:45-04:45:Dr. Janepher Sambaga</t>
  </si>
  <si>
    <t>Sat:02:45-04:45:MBA-M,MPM-3</t>
  </si>
  <si>
    <t>Sat:02:45-04:45:MKN-05</t>
  </si>
  <si>
    <t>Sat:02:45-04:45:Dr Shallon Atuhaire</t>
  </si>
  <si>
    <t>Sat:02:45-04:45:MPH-3</t>
  </si>
  <si>
    <t>Sat:02:45-04:45:Online</t>
  </si>
  <si>
    <t>Sat:02:45-04:45:Dr. Wilberforce Tindyebwa</t>
  </si>
  <si>
    <t>Sat:02:45-04:45:MED-3</t>
  </si>
  <si>
    <t>Sat:12:30-02:30:Dr Kabangi Moses</t>
  </si>
  <si>
    <t>Sat:12:30-02:30:BEHS-4</t>
  </si>
  <si>
    <t>Sat:04:45-06:45:Online</t>
  </si>
  <si>
    <t>Sat:04:45-06:45:Prof. Alex Thomas  Ijjo</t>
  </si>
  <si>
    <t>Sat:04:45-06:45:MPM-3</t>
  </si>
  <si>
    <t>Sat:02:45-04:45:KG-11</t>
  </si>
  <si>
    <t>Sat:02:45-04:45:Mr. Jonathan Tabalanga</t>
  </si>
  <si>
    <t>Sat:02:45-04:45:MIRDS-3</t>
  </si>
  <si>
    <t>Sat:12:30-02:30:KG-11</t>
  </si>
  <si>
    <t>Sat:12:30-02:30:Mr. Richard Watenyera</t>
  </si>
  <si>
    <t>Sat:12:30-02:30:MSS-1</t>
  </si>
  <si>
    <t>Sat:02:45-04:45:KG-14</t>
  </si>
  <si>
    <t>Sat:02:45-04:45:Ms. Nakazzi Maria</t>
  </si>
  <si>
    <t>Sat:02:45-04:45:BBA-2W</t>
  </si>
  <si>
    <t>Sat:02:45-04:45:KG-10</t>
  </si>
  <si>
    <t>Sat:02:45-04:45:Mr. Milton Turyareeba</t>
  </si>
  <si>
    <t>Sat:02:45-04:45:BBA-4W</t>
  </si>
  <si>
    <t>Sat:02:45-04:45:SI-212</t>
  </si>
  <si>
    <t>Sat:02:45-04:45:Mr.Pule Samuel</t>
  </si>
  <si>
    <t>Sat:02:45-04:45:MBA-PS</t>
  </si>
  <si>
    <t>Sat:03:00-04:00:LLB4</t>
  </si>
  <si>
    <t>Sat:03:00-04:00:Ms. Mary Nyachieo</t>
  </si>
  <si>
    <t>Sat:03:00-04:00:LLB-7</t>
  </si>
  <si>
    <t>Dr. Simon Mutungi</t>
  </si>
  <si>
    <t>Sat:04:00-05:00:LLM</t>
  </si>
  <si>
    <t>Sat:04:00-05:00:Dr. Simon Mutungi</t>
  </si>
  <si>
    <t>Sat:04:00-06:00:LLB3</t>
  </si>
  <si>
    <t>Sat:04:00-06:00:Mr. Herman Tuhairwe</t>
  </si>
  <si>
    <t>Sat:04:00-06:00:LLB-4</t>
  </si>
  <si>
    <t>Sat:12:00-02:00:LLB4</t>
  </si>
  <si>
    <t>Sat:12:00-02:00:Mr. Herman Tuhairwe</t>
  </si>
  <si>
    <t>Sat:12:00-02:00:LLB-5</t>
  </si>
  <si>
    <t>Sat:04:00-06:00:LLB2</t>
  </si>
  <si>
    <t xml:space="preserve">Sat:04:00-06:00:Mr. Moses Kayima Nyanzi </t>
  </si>
  <si>
    <t>Sat:04:00-06:00:LLB-2</t>
  </si>
  <si>
    <t>Sat:04:00-06:00:Mootcourt</t>
  </si>
  <si>
    <t>Sat:04:00-06:00:Ms. Catherine Nansubuga</t>
  </si>
  <si>
    <t>Sat:04:00-06:00:LLB-6</t>
  </si>
  <si>
    <t>Sat:04:00-06:00:Ms. Mary Nyachieo</t>
  </si>
  <si>
    <t>Sat:04:00-06:00:LLB-3</t>
  </si>
  <si>
    <t>Sat:04:00-06:00:LLB1</t>
  </si>
  <si>
    <t>Sat:04:00-06:00:Assoc. Prof. Norman Mugarura</t>
  </si>
  <si>
    <t>Sat:04:00-06:00:LLB-1</t>
  </si>
  <si>
    <t>Sat:04:30-05:30:LLB4</t>
  </si>
  <si>
    <t xml:space="preserve">Sat:04:30-05:30:Mr. Samson Rubayihayo </t>
  </si>
  <si>
    <t>Sat:10:00-12:00:LLM</t>
  </si>
  <si>
    <t>Sat:10:00-12:00:Dr. Simon Mutungi</t>
  </si>
  <si>
    <t>Sat:10:00-11:00:LLB4</t>
  </si>
  <si>
    <t>Sat:10:00-11:00:Dr. Emmanuel Bagenda</t>
  </si>
  <si>
    <t>Sat:10:00-11:00:LLM</t>
  </si>
  <si>
    <t>Sat:10:00-12:00:Mootcourt</t>
  </si>
  <si>
    <t>Sat:10:00-12:00:Dr. Emmanuel Bagenda</t>
  </si>
  <si>
    <t>Sat:10:00-12:00:LLB-8</t>
  </si>
  <si>
    <t>Sat:10:00-12:00:LLB3</t>
  </si>
  <si>
    <t>Sat:10:00-12:00:Mr. Brian Kirima</t>
  </si>
  <si>
    <t>Sat:10:00-12:00:LLB-4</t>
  </si>
  <si>
    <t>Sat:10:00-12:00:LLB4</t>
  </si>
  <si>
    <t>Sat:10:00-12:00:Mr. Allen Yoboka</t>
  </si>
  <si>
    <t>Sat:10:00-12:00:LLB-5</t>
  </si>
  <si>
    <t>Sat:10:00-12:00:LLB2</t>
  </si>
  <si>
    <t>Sat:10:00-12:00:Ms. Agnes Wandira Ntende</t>
  </si>
  <si>
    <t>Sat:10:00-12:00:LLB-2</t>
  </si>
  <si>
    <t>Sat:12:00-02:00:LLB3</t>
  </si>
  <si>
    <t>Sat:12:00-02:00:Ms. Catherine Nansubuga</t>
  </si>
  <si>
    <t>Sat:12:00-02:00:LLB-4</t>
  </si>
  <si>
    <t>Sat:10:00-12:00:Ms. Mary Nyachieo</t>
  </si>
  <si>
    <t>Sat:10:00-12:00:LLB-3</t>
  </si>
  <si>
    <t>Sat:10:00-12:00:LLB1</t>
  </si>
  <si>
    <t>Sat:10:00-12:00:Assoc. Prof. Norman Mugarura</t>
  </si>
  <si>
    <t>Sat:10:00-12:00:LLB-1</t>
  </si>
  <si>
    <t>Sat:12:00-01:00:LLB4</t>
  </si>
  <si>
    <t>Sat:12:00-01:00:Mr. Hakim Salum</t>
  </si>
  <si>
    <t>Sat:12:00-01:00:LLB-7</t>
  </si>
  <si>
    <t>Sat:12:00-02:00:LLM</t>
  </si>
  <si>
    <t>Sat:12:00-02:00:Assoc. Prof. Norman Mugarura</t>
  </si>
  <si>
    <t>Sat:12:00-02:00:LLM-1</t>
  </si>
  <si>
    <t>Sat:12:00-02:00:Dr. Daniel Walyemera</t>
  </si>
  <si>
    <t>Sat:12:00-02:00:LLB1</t>
  </si>
  <si>
    <t>Sat:12:00-02:00:Dr. Emmanuel Bagenda</t>
  </si>
  <si>
    <t>Sat:12:00-02:00:LLB-1</t>
  </si>
  <si>
    <t>Sat:12:00-02:00:Mootcourt</t>
  </si>
  <si>
    <t>Sat:12:00-02:00:Prof. Kibukamusoke Martha</t>
  </si>
  <si>
    <t>Sat:06:00-08:00:Mootcourt</t>
  </si>
  <si>
    <t xml:space="preserve">Sat:06:00-08:00:Mr. Moses Kayima Nyanzi </t>
  </si>
  <si>
    <t>Sat:06:00-08:00:LLB-5</t>
  </si>
  <si>
    <t>Sat:12:00-02:00:Mr. Sostine Ngabirano</t>
  </si>
  <si>
    <t>Sat:12:00-02:00:LLM-2</t>
  </si>
  <si>
    <t>Sat:12:00-02:00:Lab</t>
  </si>
  <si>
    <t>Sat:12:00-02:00:Ms. Agnes Wandira Ntende</t>
  </si>
  <si>
    <t>Sat:12:00-02:00:LLB-6</t>
  </si>
  <si>
    <t>Sat:10:00-12:00:Ms. Catherine Nansubuga</t>
  </si>
  <si>
    <t>Sat:10:00-12:00:LLB-6</t>
  </si>
  <si>
    <t>Sat:12:00-02:00:LLB2</t>
  </si>
  <si>
    <t>Sat:12:00-02:00:Ms. Denise Babirye</t>
  </si>
  <si>
    <t>Sat:12:00-02:00:LLB-2</t>
  </si>
  <si>
    <t>Sat:12:00-02:00:Mr. Brian Kirima</t>
  </si>
  <si>
    <t>Sat:12:00-02:00:LLB-3</t>
  </si>
  <si>
    <t>Sat:10:15-12:15:MKN-05</t>
  </si>
  <si>
    <t>Sat:10:15-12:15:Dr Kabangi Moses</t>
  </si>
  <si>
    <t>Sat:10:15-12:15:MPH-3</t>
  </si>
  <si>
    <t>Sat:08:00-10:00:KG-10</t>
  </si>
  <si>
    <t>Sat:08:00-10:00:Dr. Jude Kagooro</t>
  </si>
  <si>
    <t>Sat:08:00-10:00:MSS-3</t>
  </si>
  <si>
    <t>Sat:12:30-02:30:KG-15</t>
  </si>
  <si>
    <t>Sat:12:30-02:30:Ms.Kabasinguzi Christine</t>
  </si>
  <si>
    <t>Sat:12:30-02:30:BBA-2W</t>
  </si>
  <si>
    <t>Sat:12:30-02:30:Mr. Kawiso Martin Wilfred</t>
  </si>
  <si>
    <t>Sat:12:30-02:30:MBA-2,MPM-1</t>
  </si>
  <si>
    <t>Sat:10:15-12:15:MKN-14</t>
  </si>
  <si>
    <t>Sat:10:15-12:15:Deo Nsubuga</t>
  </si>
  <si>
    <t>Sat:10:15-12:15:BEHS-2</t>
  </si>
  <si>
    <t>Sat:02:45-04:45:MKN-15</t>
  </si>
  <si>
    <t>Sat:02:45-04:45:Ivan Mugumya</t>
  </si>
  <si>
    <t>Sat:02:45-04:45:BEHS-4</t>
  </si>
  <si>
    <t>Sat:10:15-12:15:MKN-09</t>
  </si>
  <si>
    <t>Sat:10:15-12:15:Ivan Mugumya</t>
  </si>
  <si>
    <t>Sat:10:15-12:15:BEHS-1</t>
  </si>
  <si>
    <t>Sat:12:30-02:30:Mr. Esibo Omada</t>
  </si>
  <si>
    <t>Sat:12:30-02:30:MIRDS-3,MSS-2</t>
  </si>
  <si>
    <t>Sat:10:15-12:15:SI-214</t>
  </si>
  <si>
    <t>Sat:10:15-12:15:Dr.Kimwise Alone</t>
  </si>
  <si>
    <t>Sat:10:15-12:15:MBA-2,MPM-2,MED-2,MIT-2</t>
  </si>
  <si>
    <t>Sat:12:30-02:30:MKN-16</t>
  </si>
  <si>
    <t>Sat:12:30-02:30:Ivan Mugumya</t>
  </si>
  <si>
    <t>Sat:12:30-02:30:BEHS-6</t>
  </si>
  <si>
    <t>Sat:08:00-10:00:Dr. Mayanja Samuel</t>
  </si>
  <si>
    <t>Sat:08:00-10:00:MPM-3</t>
  </si>
  <si>
    <t>Sat:02:45-04:45:KG-6</t>
  </si>
  <si>
    <t>Sat:02:45-04:45:Rene Eno Akpa</t>
  </si>
  <si>
    <t>Sat:02:45-04:45:MSS-3</t>
  </si>
  <si>
    <t>Sat:04:00-06:00:Lab</t>
  </si>
  <si>
    <t>Sat:04:00-06:00:Dr. Robert Mugagga</t>
  </si>
  <si>
    <t>Sat:04:00-06:00:LLM</t>
  </si>
  <si>
    <t>Sat:02:00-04:00:Dr. Robert Mugagga</t>
  </si>
  <si>
    <t>Sat:08:00-10:00:Ms.Nabbanja Teddy</t>
  </si>
  <si>
    <t>Sat:08:00-10:00:MIT-1</t>
  </si>
  <si>
    <t>Sat:12:30-02:30:Mr.Maganda Evans Tabingwa</t>
  </si>
  <si>
    <t>Sat:12:30-02:30:MIT-1</t>
  </si>
  <si>
    <t>Sat:10:15-12:15:Mr.Balirwa Moses</t>
  </si>
  <si>
    <t>Sat:10:15-12:15:MIT-1</t>
  </si>
  <si>
    <t>Sat:12:30-02:30:Mr.Balirwa Moses</t>
  </si>
  <si>
    <t>Sat:12:30-02:30:MIT-2</t>
  </si>
  <si>
    <t>Sat:02:30-04:30:Online</t>
  </si>
  <si>
    <t>Sat:02:30-04:30:Dr.Chinwe Peace</t>
  </si>
  <si>
    <t>Sat:02:30-04:30:MIT-2</t>
  </si>
  <si>
    <t>Sat:08:00-10:00:Dr.Kimwise Alone</t>
  </si>
  <si>
    <t>Sat:08:00-10:00:MIT-2</t>
  </si>
  <si>
    <t>Sun:02:45-04:45:KG-6</t>
  </si>
  <si>
    <t>Sun:02:45-04:45:Mr. Milton Turyareeba</t>
  </si>
  <si>
    <t>Sun:02:45-04:45:BBA-AF-5</t>
  </si>
  <si>
    <t>Sat:02:45-04:45:Mr.Kumakech Michael</t>
  </si>
  <si>
    <t>Sat:02:45-04:45:MIT-3</t>
  </si>
  <si>
    <t>Sat:10:15-12:15:Dr.Ssegawa James</t>
  </si>
  <si>
    <t>Sat:10:15-12:15:MIT-3</t>
  </si>
  <si>
    <t>Sat:08:00-10:00:Mr.Tuhaise Robert</t>
  </si>
  <si>
    <t>Sat:08:00-10:00:MIT-3</t>
  </si>
  <si>
    <t>Sat:12:30-02:30:Dr.Chinwe Peace</t>
  </si>
  <si>
    <t>Sat:12:30-02:30:MIT-3</t>
  </si>
  <si>
    <t xml:space="preserve">Sat:02:00-04:00:Prof. Olomola Omolade </t>
  </si>
  <si>
    <t>Sat:12:30-02:30:KG-14</t>
  </si>
  <si>
    <t>Sat:12:30-02:30:Dr. Faith Ahabyoona Mugisha</t>
  </si>
  <si>
    <t>Sat:12:30-02:30:BBA-AF-6</t>
  </si>
  <si>
    <t>Sat:10:15-12:15:KG-7</t>
  </si>
  <si>
    <t>Sat:10:15-12:15:Makwasi Christopher</t>
  </si>
  <si>
    <t>Sat:10:15-12:15:BBA-AF-6</t>
  </si>
  <si>
    <t>Sat:08:00-10:00:Mpubani David</t>
  </si>
  <si>
    <t>Sat:08:00-10:00:BBA-BF-6,AF-6</t>
  </si>
  <si>
    <t>Sat:10:15-12:15:KG-10</t>
  </si>
  <si>
    <t>Sat:10:15-12:15:BBA-HRM-5</t>
  </si>
  <si>
    <t>Sat:08:00-10:00:KG-9</t>
  </si>
  <si>
    <t>Sat:08:00-10:00:Ms. Nassozi Beatrice</t>
  </si>
  <si>
    <t>Sat:08:00-10:00:BBA-HRM-5</t>
  </si>
  <si>
    <t>Sat:12:30-02:30:Dr. Janepher Sambaga</t>
  </si>
  <si>
    <t>Sat:12:30-02:30:BBA-HRM-5,BBA-G-5</t>
  </si>
  <si>
    <t>Sat:10:15-12:15:SI-105</t>
  </si>
  <si>
    <t>Sat:10:15-12:15:Dr. Mayanja Samuel</t>
  </si>
  <si>
    <t>Sat:10:15-12:15:BBA-PL-5,G-5</t>
  </si>
  <si>
    <t>Sat:02:45-04:45:KG-7</t>
  </si>
  <si>
    <t>Sat:02:45-04:45:Mr.Ayasi Bin-Asadi</t>
  </si>
  <si>
    <t>Sat:02:45-04:45:BBA-PL-5</t>
  </si>
  <si>
    <t>Sat:04:45-06:45:KG-6</t>
  </si>
  <si>
    <t>Sat:04:45-06:45:Mr.Wairindi Daniel Katongole</t>
  </si>
  <si>
    <t>HRM-6</t>
  </si>
  <si>
    <t>Sat:02:45-04:45:Mr. Ronald Olar</t>
  </si>
  <si>
    <t xml:space="preserve">Career Planning and Counseling </t>
  </si>
  <si>
    <t>Sat:12:30-02:30:KG-9</t>
  </si>
  <si>
    <t>Sat:12:30-02:30:Mr. Ronald Olar</t>
  </si>
  <si>
    <t xml:space="preserve">Industrial Psychology </t>
  </si>
  <si>
    <t>Sat:10:15-12:15:Ms. Nassozi Beatrice</t>
  </si>
  <si>
    <t>Sat:08:00-10:00:KG-7</t>
  </si>
  <si>
    <t>Sat:08:00-10:00:Ms. Nakazzi Maria</t>
  </si>
  <si>
    <t>Sat:12:30-02:30:KG-7</t>
  </si>
  <si>
    <t>Sat:12:30-02:30:Dr. Katono Yusuf</t>
  </si>
  <si>
    <t>ADHM-1</t>
  </si>
  <si>
    <t>Sat:12:30-02:30:MKN-18</t>
  </si>
  <si>
    <t>Sat:10:15-12:15:SI-212</t>
  </si>
  <si>
    <t>Sat:10:15-12:15:Wafula Solomon</t>
  </si>
  <si>
    <t>Sat:08:00-10:00:Khawa Namajja</t>
  </si>
  <si>
    <t xml:space="preserve">Sustainable Purchasing </t>
  </si>
  <si>
    <t>Sat:10:15-12:15:Ms.Kabasinguzi Christine</t>
  </si>
  <si>
    <t>Sat:08:00-10:00:Mr.Pule Samuel</t>
  </si>
  <si>
    <t>Sat:02:45-04:45:KG-13</t>
  </si>
  <si>
    <t>Sat:02:45-04:45:Ms.Kabasinguzi Christine</t>
  </si>
  <si>
    <t>MBA-MKT</t>
  </si>
  <si>
    <t>Sat:08:00-10:00:Dr. Katono Yusuf</t>
  </si>
  <si>
    <t>Sat:10:15-12:15:Mr. Ssekalo Ismael</t>
  </si>
  <si>
    <t>Sat:02:45-04:45:Naomi Evelyn Abenakyo</t>
  </si>
  <si>
    <t>ADHM-2</t>
  </si>
  <si>
    <t>02:30-04:45</t>
  </si>
  <si>
    <t>MKN-05|Online</t>
  </si>
  <si>
    <t>Sat:02:30-04:45:MKN-05|Online</t>
  </si>
  <si>
    <t>Sat:02:30-04:45:Eric Omonyi</t>
  </si>
  <si>
    <t>Sat:10:15-12:15:MKN-05|Online</t>
  </si>
  <si>
    <t>Sat:10:15-12:15:Eric Omonyi</t>
  </si>
  <si>
    <t>Sun:10:15-12:15:Online</t>
  </si>
  <si>
    <t>Sun:10:15-12:15:Dr. Mbabazi Annet</t>
  </si>
  <si>
    <t>Sun:10:15-12:15:MED-3</t>
  </si>
  <si>
    <t>Sun:10:15-12:15:MKN-16</t>
  </si>
  <si>
    <t>Sun:10:15-12:15:Bruce Nabaasa</t>
  </si>
  <si>
    <t>Sun:10:15-12:15:BEHS-1</t>
  </si>
  <si>
    <t>Sun:10:15-12:15:MKN-15</t>
  </si>
  <si>
    <t>Sun:10:15-12:15:Paschal Kibingo</t>
  </si>
  <si>
    <t>Sun:10:15-12:15:BEHS-2</t>
  </si>
  <si>
    <t>Prof. Solomon Muchwa Asiimwe</t>
  </si>
  <si>
    <t>Sun:08:00-10:00:SI-011</t>
  </si>
  <si>
    <t>Sun:08:00-10:00:Prof. Solomon Muchwa Asiimwe</t>
  </si>
  <si>
    <t>Sun:08:00-10:00:MSS-2</t>
  </si>
  <si>
    <t>Sun:12:30-02:30:KG-11</t>
  </si>
  <si>
    <t>Sun:12:30-02:30:Mr. Esibo Omada</t>
  </si>
  <si>
    <t>Sun:12:30-02:30:MIRDS-3,MSS-3</t>
  </si>
  <si>
    <t>Sun:12:30-02:30:SI-202</t>
  </si>
  <si>
    <t>Sun:12:30-02:30:Dr. Mayanja Samuel</t>
  </si>
  <si>
    <t>Sun:12:30-02:30:MPM-2,MED-1</t>
  </si>
  <si>
    <t>Sun:08:00-10:00:SI-105</t>
  </si>
  <si>
    <t>Sun:08:00-10:00:Dr. Mayanja Samuel</t>
  </si>
  <si>
    <t>Sun:08:00-10:00:MBA-2</t>
  </si>
  <si>
    <t>Sun:02:45-04:45:KG-11</t>
  </si>
  <si>
    <t>Sun:02:45-04:45:Prof. Solomon Muchwa Asiimwe</t>
  </si>
  <si>
    <t>Sun:02:45-04:45:MSS-2</t>
  </si>
  <si>
    <t>Prof.Noah Midamba |Dr. Thomas Russel</t>
  </si>
  <si>
    <t>Sun:12:30-02:30:Online</t>
  </si>
  <si>
    <t>Sun:12:30-02:30:Prof.Noah Midamba |Dr. Thomas Russel</t>
  </si>
  <si>
    <t>Sun:12:30-02:30:MSS-2</t>
  </si>
  <si>
    <t>Sun:08:00-10:00:SI-102</t>
  </si>
  <si>
    <t>Sun:08:00-10:00:Dr. Joseph Yiga Baleke</t>
  </si>
  <si>
    <t>Sun:08:00-10:00:MBA-AF,MBA-M</t>
  </si>
  <si>
    <t>Sun:02:45-04:45:KG-15</t>
  </si>
  <si>
    <t>Sun:02:45-04:45:Dr. Janepher Sambaga</t>
  </si>
  <si>
    <t>Sun:02:45-04:45:BBA-3W</t>
  </si>
  <si>
    <t>Sun:02:45-04:45:MKN-17</t>
  </si>
  <si>
    <t>Sun:02:45-04:45:Paschal Kibingo</t>
  </si>
  <si>
    <t>Sun:02:45-04:45:BEHS-1</t>
  </si>
  <si>
    <t>Sun:02:45-04:45:Online</t>
  </si>
  <si>
    <t>Sun:02:45-04:45:Prof.Noah Midamba |Dr. Thomas Russel</t>
  </si>
  <si>
    <t>Sun:02:45-04:45:MSS-3</t>
  </si>
  <si>
    <t>Sun:10:15-12:15:Dr. Jude Kagooro</t>
  </si>
  <si>
    <t>Sun:10:15-12:15:MIRDS-2</t>
  </si>
  <si>
    <t>Sun:02:45-04:45:KG-9</t>
  </si>
  <si>
    <t>Sun:02:45-04:45:Dr. Huthaifah Busuulwa</t>
  </si>
  <si>
    <t>Sun:02:45-04:45:MIRDS-1</t>
  </si>
  <si>
    <t>Sun:02:45-04:45:SI-B01</t>
  </si>
  <si>
    <t>Sun:02:45-04:45:Dr. Katono Yusuf</t>
  </si>
  <si>
    <t>Sun:02:45-04:45:MBA-1,MPM-1</t>
  </si>
  <si>
    <t>Sun:10:00-12:00:LLB4</t>
  </si>
  <si>
    <t>Sun:10:00-12:00:Ms. Lelia Katusiime</t>
  </si>
  <si>
    <t>Sun:10:00-12:00:LLB-4</t>
  </si>
  <si>
    <t>Sun:08:00-10:00:Online</t>
  </si>
  <si>
    <t>Sun:08:00-10:00:Prof.Atulomah Nnodimele</t>
  </si>
  <si>
    <t>Sun:08:00-10:00:MPH-1</t>
  </si>
  <si>
    <t>Sun:08:00-10:00:LLB4</t>
  </si>
  <si>
    <t>Sun:08:00-10:00:Mr. Allen Yoboka</t>
  </si>
  <si>
    <t>Sun:10:15-12:15:Prof.Atulomah Nnodimele</t>
  </si>
  <si>
    <t>Sun:10:15-12:15:MPH-1</t>
  </si>
  <si>
    <t>Sun:10:15-12:15:KG-15</t>
  </si>
  <si>
    <t>Sun:10:15-12:15:Mr. Bakyayita David</t>
  </si>
  <si>
    <t>Sun:10:15-12:15:BBA-1W</t>
  </si>
  <si>
    <t>Sun:08:00-10:00:Lab</t>
  </si>
  <si>
    <t>Sun:08:00-10:00:Dr. Daniel Walyemera</t>
  </si>
  <si>
    <t>Sun:08:00-10:00:LLB1</t>
  </si>
  <si>
    <t>Sun:08:00-10:00:Dr. Emmanuel Bagenda</t>
  </si>
  <si>
    <t>Sun:08:00-10:00:KG-15</t>
  </si>
  <si>
    <t>Sun:08:00-10:00:Ms. Nassozi Beatrice</t>
  </si>
  <si>
    <t>Sun:08:00-10:00:BBA-3W</t>
  </si>
  <si>
    <t>Sun:10:15-12:15:SI-B01</t>
  </si>
  <si>
    <t>Sun:10:15-12:15:Dr. Mayanja Samuel</t>
  </si>
  <si>
    <t>Sun:10:15-12:15:MBA-1,MPM-1,MED-1</t>
  </si>
  <si>
    <t>Sun:10:15-12:15:SI-B12</t>
  </si>
  <si>
    <t>Sun:10:15-12:15:Dr. Thomas Russel</t>
  </si>
  <si>
    <t>Sun:10:15-12:15:MSS-2</t>
  </si>
  <si>
    <t>Sun:08:00-10:00:MKN-17</t>
  </si>
  <si>
    <t>Sun:08:00-10:00:Dr Kabangi Moses</t>
  </si>
  <si>
    <t>Sun:08:00-10:00:BEHS-4</t>
  </si>
  <si>
    <t>Sun:02:45-04:45:MKN-09</t>
  </si>
  <si>
    <t>Sun:02:45-04:45:Murami Taibu</t>
  </si>
  <si>
    <t>Sun:02:45-04:45:BEHS-3</t>
  </si>
  <si>
    <t>Sun:08:00-10:00:LLB2</t>
  </si>
  <si>
    <t>Sun:08:00-10:00:Mr. Godfrey Ayeranga</t>
  </si>
  <si>
    <t>Sun:08:00-10:00:LLB3</t>
  </si>
  <si>
    <t>Sun:08:00-10:00:Mr. Herman Tuhairwe</t>
  </si>
  <si>
    <t>Sun:08:00-10:00:LLM</t>
  </si>
  <si>
    <t>Sun:08:00-10:00:Mr. Denis Wamimbi</t>
  </si>
  <si>
    <t>Sun:08:00-10:00:LLM-1</t>
  </si>
  <si>
    <t>Sun:08:00-10:00:Mootcourt</t>
  </si>
  <si>
    <t>Sun:08:00-10:00:Ms. Mary Nyachieo</t>
  </si>
  <si>
    <t>Sun:08:00-10:00:Mr. Sostine Ngabirano</t>
  </si>
  <si>
    <t>Sun:08:00-10:00:Ms. Agnes Wandira Ntende</t>
  </si>
  <si>
    <t>Sun:08:00-10:00:Ms. Lelia Katusiime</t>
  </si>
  <si>
    <t>Sun:10:15-12:15:KG-10</t>
  </si>
  <si>
    <t>Sun:10:15-12:15:Dr. Joseph Yiga Baleke</t>
  </si>
  <si>
    <t>Sun:10:15-12:15:BBA-AF-5</t>
  </si>
  <si>
    <t>Sun:12:30-02:30:MKN-09</t>
  </si>
  <si>
    <t>Sun:12:30-02:30:Dr Shallon Atuhaire</t>
  </si>
  <si>
    <t>Sun:12:30-02:30:MPH-2</t>
  </si>
  <si>
    <t>Sun:10:15-12:15:KG-13</t>
  </si>
  <si>
    <t>Sun:10:15-12:15:Prof. Solomon Muchwa Asiimwe</t>
  </si>
  <si>
    <t>Sun:10:15-12:15:MIRDS-1,MSS-1</t>
  </si>
  <si>
    <t>Sun:10:15-12:15:Dr. Wilberforce Tindyebwa</t>
  </si>
  <si>
    <t>Sun:10:15-12:15:MED-2</t>
  </si>
  <si>
    <t>Sun:10:15-12:15:KG-14</t>
  </si>
  <si>
    <t>Sun:10:15-12:15:Mr. Jimmy Mwesigye</t>
  </si>
  <si>
    <t>Sun:10:15-12:15:BBA-4W</t>
  </si>
  <si>
    <t>Sun:02:45-04:45:Dr. Dorcus Kalembe</t>
  </si>
  <si>
    <t>Sun:02:45-04:45:BBA-1W</t>
  </si>
  <si>
    <t>Sun:10:15-12:15:MKN-18</t>
  </si>
  <si>
    <t>Sun:10:15-12:15:Murami Taibu</t>
  </si>
  <si>
    <t>Sun:10:15-12:15:BEHS-3</t>
  </si>
  <si>
    <t>Sun:10:15-12:15:Ms.Nansereko Racheal Kabuye</t>
  </si>
  <si>
    <t>Sun:10:15-12:15:MBA-PS,MPM-2</t>
  </si>
  <si>
    <t>Sun:10:15-12:15:SI-112</t>
  </si>
  <si>
    <t>Sun:10:15-12:15:Ms. Nassozi Beatrice</t>
  </si>
  <si>
    <t>Sun:10:15-12:15:MBA-HRM</t>
  </si>
  <si>
    <t>Sun:08:00-10:00:KG-7</t>
  </si>
  <si>
    <t>Sun:08:00-10:00:Mpubani David</t>
  </si>
  <si>
    <t>Sun:08:00-10:00:BBA-AF-5,BF-5</t>
  </si>
  <si>
    <t>Sun:10:15-12:15:Dr Kabangi Moses</t>
  </si>
  <si>
    <t>Sun:10:15-12:15:MPH-3</t>
  </si>
  <si>
    <t>Sun:12:30-02:30:MKN-16</t>
  </si>
  <si>
    <t>Sun:12:30-02:30:Dr Kabangi Moses</t>
  </si>
  <si>
    <t>Sun:12:30-02:30:BEHS-2</t>
  </si>
  <si>
    <t>Sun:12:30-02:30:Ivan Mugumya</t>
  </si>
  <si>
    <t>Sun:12:30-02:30:BEHS-3</t>
  </si>
  <si>
    <t>Sun:12:30-02:30:KG-13</t>
  </si>
  <si>
    <t>Sun:12:30-02:30:Mpubani David</t>
  </si>
  <si>
    <t>Sun:12:30-02:30:BBA-3W</t>
  </si>
  <si>
    <t>Sun:12:30-02:30:Makwasi Christopher</t>
  </si>
  <si>
    <t>Sun:12:30-02:30:MBA-AF</t>
  </si>
  <si>
    <t>Sun:12:30-02:30:KG-7</t>
  </si>
  <si>
    <t>Sun:12:30-02:30:Dr. Huthaifah Busuulwa</t>
  </si>
  <si>
    <t>Sun:12:30-02:30:MIRDS-2</t>
  </si>
  <si>
    <t>Sun:12:30-02:30:KG-9</t>
  </si>
  <si>
    <t>Sun:12:30-02:30:Prof. Solomon Muchwa Asiimwe</t>
  </si>
  <si>
    <t>Sun:12:30-02:30:MIRDS-1,MSS-1</t>
  </si>
  <si>
    <t>KG-11|Online</t>
  </si>
  <si>
    <t>Sun:08:00-10:00:KG-11|Online</t>
  </si>
  <si>
    <t>Sun:08:00-10:00:Prof.Noah Midamba |Dr. Thomas Russel</t>
  </si>
  <si>
    <t>Sun:08:00-10:00:MSS-3,MIRDS-3</t>
  </si>
  <si>
    <t>Sun:12:30-02:30:MKN-17</t>
  </si>
  <si>
    <t>Sun:12:30-02:30:Murami Taibu</t>
  </si>
  <si>
    <t>Sun:12:30-02:30:BEHS-5</t>
  </si>
  <si>
    <t>Sun:12:30-02:30:KG-14</t>
  </si>
  <si>
    <t>Sun:12:30-02:30:Ms.Nansereko Racheal Kabuye</t>
  </si>
  <si>
    <t>Sun:12:30-02:30:BBA-2W</t>
  </si>
  <si>
    <t>Sun:12:30-02:30:MKN-05</t>
  </si>
  <si>
    <t>Sun:12:30-02:30:Ms.Nanyonjo Evelyn</t>
  </si>
  <si>
    <t>Sun:12:30-02:30:BEHS-1,BBA-1W</t>
  </si>
  <si>
    <t>Sun:12:30-02:30:Mr. Bakyayita David</t>
  </si>
  <si>
    <t>Sun:12:30-02:30:MBA-HRM,MED-3,MIT-2</t>
  </si>
  <si>
    <t>Sun:12:30-02:30:SI-105</t>
  </si>
  <si>
    <t>Sun:12:30-02:30:Dr. Dorcus Kalembe</t>
  </si>
  <si>
    <t>Sun:12:30-02:30:BBA-AF-5</t>
  </si>
  <si>
    <t>Sun:12:30-02:30:Prof.Atulomah Nnodimele</t>
  </si>
  <si>
    <t>Sun:12:30-02:30:MPH-3</t>
  </si>
  <si>
    <t>Sun:02:00-04:00:Mootcourt</t>
  </si>
  <si>
    <t>Sun:02:00-04:00:Dr. Daniel Walyemera</t>
  </si>
  <si>
    <t>Sun:02:00-04:00:LLB-1</t>
  </si>
  <si>
    <t>Sun:02:00-04:00:LLB1</t>
  </si>
  <si>
    <t>Sun:02:00-04:00:Mr. Brian Kirima</t>
  </si>
  <si>
    <t>Sun:02:00-04:00:LLB-4</t>
  </si>
  <si>
    <t>Sun:02:00-04:00:LLB4</t>
  </si>
  <si>
    <t>Sun:02:00-04:00:Mr. Alex Nabwiso</t>
  </si>
  <si>
    <t>Sun:02:00-04:00:LLB-6</t>
  </si>
  <si>
    <t>Sun:02:00-04:00:LLM</t>
  </si>
  <si>
    <t>Sun:02:00-04:00:Mr. Denis Wamimbi</t>
  </si>
  <si>
    <t>Sun:04:00-06:00:Lab</t>
  </si>
  <si>
    <t>Sun:04:00-06:00:Mr. Sostine Ngabirano</t>
  </si>
  <si>
    <t>Sun:04:00-06:00:LLB-8</t>
  </si>
  <si>
    <t>Sun:02:00-04:00:LLB2</t>
  </si>
  <si>
    <t>Sun:02:00-04:00:Ms. Catherine Nansubuga</t>
  </si>
  <si>
    <t>Sun:02:00-04:00:LLB-2</t>
  </si>
  <si>
    <t>Sun:02:00-04:00:LLB3</t>
  </si>
  <si>
    <t>Sun:02:00-04:00:Ms. Lelia Katusiime</t>
  </si>
  <si>
    <t>Sun:02:00-04:00:LLB-5</t>
  </si>
  <si>
    <t>Sun:02:00-04:00:LLB-3</t>
  </si>
  <si>
    <t>Sun:02:45-04:45:SI-202</t>
  </si>
  <si>
    <t>Sun:02:45-04:45:Ms.Nansereko Racheal Kabuye</t>
  </si>
  <si>
    <t>Sun:02:45-04:45:MBA-PS</t>
  </si>
  <si>
    <t>Sun:08:00-10:00:KG-14</t>
  </si>
  <si>
    <t>Sun:08:00-10:00:Ms. Nakazzi Maria</t>
  </si>
  <si>
    <t>Sun:08:00-10:00:BBA-2W</t>
  </si>
  <si>
    <t>Sun:10:15-12:15:SI-105</t>
  </si>
  <si>
    <t>Sun:10:15-12:15:Dr. Dorcus Kalembe</t>
  </si>
  <si>
    <t>Sun:10:15-12:15:MBA-AF,MBA-M</t>
  </si>
  <si>
    <t>Sun:12:30-02:30:Mr. Ssekalo Ismael</t>
  </si>
  <si>
    <t>Sun:12:30-02:30:MPM-3</t>
  </si>
  <si>
    <t>Sun:02:45-04:45:MKN-15</t>
  </si>
  <si>
    <t>Sun:02:45-04:45:Dr Kabangi Moses</t>
  </si>
  <si>
    <t>Sun:02:45-04:45:BEHS-5</t>
  </si>
  <si>
    <t>Sun:02:45-04:45:MKN-16</t>
  </si>
  <si>
    <t>Sun:02:45-04:45:Ivan Mugumya</t>
  </si>
  <si>
    <t>Sun:02:45-04:45:BEHS-4</t>
  </si>
  <si>
    <t>Sun:02:45-04:45:MKN-08</t>
  </si>
  <si>
    <t>Sun:02:45-04:45:Mr. Kawiso Martin Wilfred</t>
  </si>
  <si>
    <t>Sun:02:45-04:45:MPH-1</t>
  </si>
  <si>
    <t>Sun:02:45-04:45:KG-10</t>
  </si>
  <si>
    <t>Sun:02:45-04:45:Makwasi Christopher</t>
  </si>
  <si>
    <t>Sun:02:45-04:45:BBA-4W</t>
  </si>
  <si>
    <t>Sun:08:00-10:00:KG-6</t>
  </si>
  <si>
    <t>Sun:08:00-10:00:Mr. Vicent Ssekundi</t>
  </si>
  <si>
    <t>Sun:08:00-10:00:MIRDS-2</t>
  </si>
  <si>
    <t>Sun:02:45-04:45:KG-13</t>
  </si>
  <si>
    <t>Sun:02:45-04:45:Ms. Nassozi Beatrice</t>
  </si>
  <si>
    <t>Sun:04:00-05:00:LLB4</t>
  </si>
  <si>
    <t>Sun:04:00-05:00:Ms. Mary Nyachieo</t>
  </si>
  <si>
    <t>Sun:04:00-05:00:LLB-7</t>
  </si>
  <si>
    <t>Sun:04:00-06:00:LLB1</t>
  </si>
  <si>
    <t>Sun:04:00-06:00:Mr. Godfrey Ayeranga</t>
  </si>
  <si>
    <t>Sun:04:00-06:00:LLB-1</t>
  </si>
  <si>
    <t>Sun:04:00-06:00:Mr. Hakim Salum</t>
  </si>
  <si>
    <t>Sun:04:00-06:00:LLB-6</t>
  </si>
  <si>
    <t>Sun:04:00-06:00:LLB2</t>
  </si>
  <si>
    <t>Sun:04:00-06:00:Mr. Herman Tuhairwe</t>
  </si>
  <si>
    <t>Sun:04:00-06:00:LLB-2</t>
  </si>
  <si>
    <t>Sun:04:00-06:00:LLB4</t>
  </si>
  <si>
    <t xml:space="preserve">Sun:04:00-06:00:Mr. Moses Kayima Nyanzi </t>
  </si>
  <si>
    <t>Sun:04:00-06:00:LLB-5</t>
  </si>
  <si>
    <t>Sun:04:00-06:00:LLB3</t>
  </si>
  <si>
    <t>Sun:04:00-06:00:Ms. Catherine Nansubuga</t>
  </si>
  <si>
    <t>Sun:04:00-06:00:LLB-4</t>
  </si>
  <si>
    <t>Sun:04:00-06:00:Ms. Denise Babirye</t>
  </si>
  <si>
    <t>Sun:04:00-06:00:LLB-3</t>
  </si>
  <si>
    <t xml:space="preserve">Sun:02:00-04:00:Mr. Moses Kayima Nyanzi </t>
  </si>
  <si>
    <t>Sun:02:00-04:00:LLB-8</t>
  </si>
  <si>
    <t>Sun:02:45-04:45:Prof.Atulomah Nnodimele</t>
  </si>
  <si>
    <t>Sun:02:45-04:45:MPH-2</t>
  </si>
  <si>
    <t>Sun:06:00-08:00:LLB2</t>
  </si>
  <si>
    <t>Sun:06:00-08:00:Mr. Godfrey Ayeranga</t>
  </si>
  <si>
    <t>Sun:06:00-08:00:LLB-3</t>
  </si>
  <si>
    <t>Sun:10:00-11:00:LLM</t>
  </si>
  <si>
    <t>Sun:10:00-11:00:Dr. Simon Mutungi</t>
  </si>
  <si>
    <t>Sun:10:00-12:00:Mr. Allen Yoboka</t>
  </si>
  <si>
    <t>Sun:10:00-12:00:LLB-5</t>
  </si>
  <si>
    <t>Sun:10:00-12:00:Mootcourt</t>
  </si>
  <si>
    <t>Sun:10:00-12:00:Mr. Alex Nabwiso</t>
  </si>
  <si>
    <t>Sun:10:00-12:00:LLB-6</t>
  </si>
  <si>
    <t>Sun:10:00-12:00:LLM</t>
  </si>
  <si>
    <t>Sun:10:00-12:00:Mr. Hakim Salum</t>
  </si>
  <si>
    <t>Sun:10:00-12:00:Mr. Sostine Ngabirano</t>
  </si>
  <si>
    <t>Sun:10:00-12:00:LLB-8</t>
  </si>
  <si>
    <t>Sun:10:00-12:00:LLB1</t>
  </si>
  <si>
    <t>Sun:10:00-12:00:Ms. Agnes Wandira Ntende</t>
  </si>
  <si>
    <t>Sun:10:00-12:00:LLB-1</t>
  </si>
  <si>
    <t>Sun:12:00-02:00:LLB2</t>
  </si>
  <si>
    <t>Sun:12:00-02:00:Ms. Denise Babirye</t>
  </si>
  <si>
    <t>Sun:12:00-02:00:LLB-2</t>
  </si>
  <si>
    <t>Sun:10:00-12:00:LLB2</t>
  </si>
  <si>
    <t>Sun:10:00-12:00:Ms. Denise Babirye</t>
  </si>
  <si>
    <t>Sun:10:00-12:00:LLB-3</t>
  </si>
  <si>
    <t>Sun:11:00-12:00:LLB4</t>
  </si>
  <si>
    <t>Sun:11:00-12:00:Mr. Hakim Salum</t>
  </si>
  <si>
    <t>Sun:11:00-12:00:LLB-7</t>
  </si>
  <si>
    <t>Sun:10:00-12:00:Dr. Emmanuel Bagenda</t>
  </si>
  <si>
    <t>Sun:10:00-12:00:LLB-7</t>
  </si>
  <si>
    <t>Sun:12:00-02:00:Mootcourt</t>
  </si>
  <si>
    <t>Sun:12:00-02:00:Dr. Emmanuel Bagenda</t>
  </si>
  <si>
    <t>Sun:12:00-02:00:LLB-8</t>
  </si>
  <si>
    <t>Sun:10:00-12:00:Dr. Robert Mugagga</t>
  </si>
  <si>
    <t>Sun:10:00-12:00:LLM-1</t>
  </si>
  <si>
    <t>Sun:12:00-02:00:LLB1</t>
  </si>
  <si>
    <t>Sun:12:00-02:00:Mr. Godfrey Ayeranga</t>
  </si>
  <si>
    <t>Sun:12:00-02:00:LLB-1</t>
  </si>
  <si>
    <t>Sun:12:00-02:00:LLB3</t>
  </si>
  <si>
    <t>Sun:12:00-02:00:Mr. Herman Tuhairwe</t>
  </si>
  <si>
    <t>Sun:12:00-02:00:LLB-5</t>
  </si>
  <si>
    <t xml:space="preserve">Sun:10:00-12:00:Mr. Moses Kayima Nyanzi </t>
  </si>
  <si>
    <t>Sun:10:00-12:00:LLB-2</t>
  </si>
  <si>
    <t>Sun:12:00-02:00:LLB4</t>
  </si>
  <si>
    <t xml:space="preserve">Sun:12:00-02:00:Mr. Samson Rubayihayo </t>
  </si>
  <si>
    <t>Sun:12:00-02:00:LLB-7</t>
  </si>
  <si>
    <t>Sun:12:00-02:00:Ms. Agnes Wandira Ntende</t>
  </si>
  <si>
    <t>Sun:12:00-02:00:LLB-6</t>
  </si>
  <si>
    <t>Sun:12:00-02:00:Lab</t>
  </si>
  <si>
    <t>Sun:12:00-02:00:Ms. Lelia Katusiime</t>
  </si>
  <si>
    <t>Sun:12:00-02:00:LLB-4</t>
  </si>
  <si>
    <t>Sun:12:00-02:00:Dr. Robert Mugagga</t>
  </si>
  <si>
    <t>Sun:12:00-02:00:LLM-1</t>
  </si>
  <si>
    <t>Sun:04:00-06:00:LLM</t>
  </si>
  <si>
    <t xml:space="preserve">Sun:04:00-06:00:Prof. Olomola Omolade </t>
  </si>
  <si>
    <t>Sun:04:00-06:00:LLM-1</t>
  </si>
  <si>
    <t>Sun:08:00-10:00:Ms.Nabbanja Teddy</t>
  </si>
  <si>
    <t>Sun:08:00-10:00:MIT-1</t>
  </si>
  <si>
    <t>Sun:10:15-12:15:Dr.Ssegawa James</t>
  </si>
  <si>
    <t>Sun:10:15-12:15:MIT-1</t>
  </si>
  <si>
    <t>Sun:02:30-04:30:Online</t>
  </si>
  <si>
    <t>Sun:02:30-04:30:Mr.Kumakech Michael</t>
  </si>
  <si>
    <t>Sun:02:30-04:30:MIT-2</t>
  </si>
  <si>
    <t>Sun:02:45-04:45:Dr. JB Ssemakula</t>
  </si>
  <si>
    <t>Sun:02:45-04:45:MIT-3</t>
  </si>
  <si>
    <t>Sun:12:30-02:30:Dr. JB Ssemakula</t>
  </si>
  <si>
    <t>Sun:12:30-02:30:MIT-3</t>
  </si>
  <si>
    <t>Sun:08:00-10:00:KG-9</t>
  </si>
  <si>
    <t>Sun:08:00-10:00:Hassan Tugume</t>
  </si>
  <si>
    <t>Sun:08:00-10:00:BBA-BF-6,AF-6,G-6</t>
  </si>
  <si>
    <t>Sun:12:30-02:30:SI-205</t>
  </si>
  <si>
    <t>Sun:12:30-02:30:Dr. Joseph Yiga Baleke</t>
  </si>
  <si>
    <t>Sun:12:30-02:30:BBA-AF-6</t>
  </si>
  <si>
    <t>Sun:12:30-02:30:BBA-HRM-5</t>
  </si>
  <si>
    <t>Sun:10:15-12:15:KG-7</t>
  </si>
  <si>
    <t>Sun:10:15-12:15:Mr. Ronald Olar</t>
  </si>
  <si>
    <t>Sun:10:15-12:15:BBA-HRM-5</t>
  </si>
  <si>
    <t>Sun:08:00-10:00:KG-11</t>
  </si>
  <si>
    <t>Sun:08:00-10:00:Mr. Jimmy Mwesigye</t>
  </si>
  <si>
    <t>Sun:08:00-10:00:BBA-HRM-5</t>
  </si>
  <si>
    <t>Sun:08:00-10:00:Ms.Nansereko Racheal Kabuye</t>
  </si>
  <si>
    <t>Sun:08:00-10:00:BBA-PL-5</t>
  </si>
  <si>
    <t>Sun:02:45-04:45:Ms.Kabasinguzi Christine</t>
  </si>
  <si>
    <t>Sun:02:45-04:45:BBA-PL-5</t>
  </si>
  <si>
    <t>Sun:10:15-12:15:KG-11</t>
  </si>
  <si>
    <t>Sun:10:15-12:15:Mr.Ayasi Bin-Asadi</t>
  </si>
  <si>
    <t>Sun:10:15-12:15:BBA-PL-5</t>
  </si>
  <si>
    <t>Sun:12:30-02:30:KG-6</t>
  </si>
  <si>
    <t>Sun:12:30-02:30:Ms.Kabasinguzi Christine</t>
  </si>
  <si>
    <t>Sun:12:30-02:30:BBA-PL-5</t>
  </si>
  <si>
    <t>Sun:10:15-12:15:KG-6</t>
  </si>
  <si>
    <t>Sun:10:15-12:15:Mr. Kawiso Martin Wilfred</t>
  </si>
  <si>
    <t>Sun:02:45-04:45:Ms. Habiba Njeri Ngugi</t>
  </si>
  <si>
    <t>HRM-6,BBA-G-6</t>
  </si>
  <si>
    <t xml:space="preserve">Managing Change in Organizations </t>
  </si>
  <si>
    <t>Sun:10:15-12:15:Ms. Nakazzi Maria</t>
  </si>
  <si>
    <t>Sun:12:30-02:30:KG-10</t>
  </si>
  <si>
    <t xml:space="preserve">Business Risk Management </t>
  </si>
  <si>
    <t>Sat:10:15-12:15:Mr.Wairindi Daniel Katongole</t>
  </si>
  <si>
    <t>Sun:08:00-10:00:SI-212</t>
  </si>
  <si>
    <t>Sun:08:00-10:00:Eric Omonyi</t>
  </si>
  <si>
    <t>Sun:10:15-12:15:SI-011</t>
  </si>
  <si>
    <t>Sun:10:15-12:15:Eric Omonyi</t>
  </si>
  <si>
    <t xml:space="preserve">Strategic Procurement </t>
  </si>
  <si>
    <t>Sun:12:30-02:30:Mr.Ayasi Bin-Asadi</t>
  </si>
  <si>
    <t>Sun:02:45-04:45:Mr.Pule Samuel</t>
  </si>
  <si>
    <t>Sun:12:30-02:30:Dr. Katono Yusuf</t>
  </si>
  <si>
    <t>Sun:02:45-04:45:Mr. Ssekalo Ismael</t>
  </si>
  <si>
    <t>Human rights in Domestic perspective</t>
  </si>
  <si>
    <t>Sun:02:00-04:00:Mr. Godfrey Ayeranga</t>
  </si>
  <si>
    <t>Sun:12:30-02:30:MKN-18</t>
  </si>
  <si>
    <t>Sun:12:30-02:30:Wafula Solomon</t>
  </si>
  <si>
    <t>Sun:10:15-12:15:MKN-05|Online</t>
  </si>
  <si>
    <t>Sun:10:15-12:15:Wafula Solomon</t>
  </si>
  <si>
    <t>Sun:08:00-10:00:MKN-05|Online</t>
  </si>
  <si>
    <t>Sun:08:00-10:00:Wafula Solomon</t>
  </si>
  <si>
    <t>R Programming</t>
  </si>
  <si>
    <t>DIPLOMA-DATA SCIENCE</t>
  </si>
  <si>
    <t>Pule Samuel</t>
  </si>
  <si>
    <t>MPH724</t>
  </si>
  <si>
    <t>Scientific Writing</t>
  </si>
  <si>
    <t>BBA116/DBA116-GRP2</t>
  </si>
  <si>
    <t>BPH124-EH</t>
  </si>
  <si>
    <t>Ms. Deborah Mackenzie</t>
  </si>
  <si>
    <t>Tumusiime Andrew Gahwera</t>
  </si>
  <si>
    <t>Mr. Nkoloogi Blasius</t>
  </si>
  <si>
    <t>MPM811</t>
  </si>
  <si>
    <t>BDSA-1</t>
  </si>
  <si>
    <t>BDSA-2</t>
  </si>
  <si>
    <t>Dr. Sunday Uche A.</t>
  </si>
  <si>
    <t xml:space="preserve">Dr. Muhammad Muhammad Kudu </t>
  </si>
  <si>
    <t>BIT110/DIT110-IT</t>
  </si>
  <si>
    <t>BIT110/DIT110-BA</t>
  </si>
  <si>
    <t>EHS313-EH</t>
  </si>
  <si>
    <t>RSC001-BA</t>
  </si>
  <si>
    <t>HRM325/BPA124</t>
  </si>
  <si>
    <t>BJC110/DJC110-BA</t>
  </si>
  <si>
    <t>BJC110/DJC110-IT</t>
  </si>
  <si>
    <t>BJC110/DJC110-HS</t>
  </si>
  <si>
    <t>BBA115/DBA115</t>
  </si>
  <si>
    <t>RSC001-HS</t>
  </si>
  <si>
    <t>BIT225/DDA2203</t>
  </si>
  <si>
    <t>BBA324/BPA116</t>
  </si>
  <si>
    <t>Health in Emergency situations</t>
  </si>
  <si>
    <t>BPH221-EH</t>
  </si>
  <si>
    <t>Module name</t>
  </si>
  <si>
    <t>Module ID</t>
  </si>
  <si>
    <t>Lecturer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</si>
</sst>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6"/>
      <color theme="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8"/>
      <color rgb="FF000000"/>
      <name val="Trebuchet MS"/>
      <family val="2"/>
    </font>
    <font>
      <sz val="8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00"/>
      <name val="Trebuchet MS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hair">
        <color rgb="FF3F3F3F"/>
      </top>
      <bottom style="hair">
        <color rgb="FF3F3F3F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hair">
        <color rgb="FF3F3F3F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/>
    <xf numFmtId="9" fontId="18" fillId="0" borderId="0"/>
  </cellStyleXfs>
  <cellXfs count="97">
    <xf numFmtId="0" fontId="0" fillId="0" borderId="0" xfId="0"/>
    <xf numFmtId="0" fontId="2" fillId="0" borderId="0" xfId="0" applyFont="1"/>
    <xf numFmtId="0" fontId="5" fillId="5" borderId="3" xfId="0" applyFont="1" applyFill="1" applyBorder="1"/>
    <xf numFmtId="0" fontId="6" fillId="0" borderId="3" xfId="0" applyFont="1" applyBorder="1"/>
    <xf numFmtId="0" fontId="6" fillId="7" borderId="3" xfId="0" applyFont="1" applyFill="1" applyBorder="1"/>
    <xf numFmtId="0" fontId="7" fillId="0" borderId="3" xfId="0" applyFont="1" applyBorder="1"/>
    <xf numFmtId="0" fontId="6" fillId="0" borderId="2" xfId="0" applyFont="1" applyBorder="1"/>
    <xf numFmtId="0" fontId="6" fillId="3" borderId="3" xfId="0" applyFont="1" applyFill="1" applyBorder="1"/>
    <xf numFmtId="0" fontId="6" fillId="0" borderId="4" xfId="0" applyFont="1" applyBorder="1"/>
    <xf numFmtId="0" fontId="8" fillId="0" borderId="3" xfId="0" applyFont="1" applyBorder="1"/>
    <xf numFmtId="0" fontId="8" fillId="0" borderId="3" xfId="1" applyFont="1" applyFill="1" applyBorder="1"/>
    <xf numFmtId="0" fontId="6" fillId="0" borderId="6" xfId="0" applyFont="1" applyBorder="1"/>
    <xf numFmtId="0" fontId="6" fillId="0" borderId="0" xfId="0" applyFont="1"/>
    <xf numFmtId="0" fontId="6" fillId="0" borderId="10" xfId="0" applyFont="1" applyBorder="1"/>
    <xf numFmtId="0" fontId="6" fillId="0" borderId="5" xfId="0" applyFont="1" applyBorder="1"/>
    <xf numFmtId="0" fontId="7" fillId="8" borderId="3" xfId="0" applyFont="1" applyFill="1" applyBorder="1"/>
    <xf numFmtId="0" fontId="7" fillId="0" borderId="6" xfId="0" applyFont="1" applyBorder="1"/>
    <xf numFmtId="0" fontId="9" fillId="0" borderId="0" xfId="0" applyFont="1"/>
    <xf numFmtId="0" fontId="11" fillId="0" borderId="0" xfId="0" applyFont="1"/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20" xfId="0" applyFont="1" applyBorder="1"/>
    <xf numFmtId="0" fontId="11" fillId="0" borderId="20" xfId="0" applyFont="1" applyBorder="1" applyAlignment="1">
      <alignment horizontal="center" wrapText="1"/>
    </xf>
    <xf numFmtId="0" fontId="12" fillId="0" borderId="20" xfId="0" applyFont="1" applyBorder="1" applyAlignment="1">
      <alignment horizontal="right"/>
    </xf>
    <xf numFmtId="0" fontId="12" fillId="0" borderId="20" xfId="0" applyFont="1" applyBorder="1" applyAlignment="1">
      <alignment horizontal="center" wrapText="1"/>
    </xf>
    <xf numFmtId="0" fontId="12" fillId="0" borderId="7" xfId="0" applyFont="1" applyBorder="1" applyAlignment="1">
      <alignment horizontal="right"/>
    </xf>
    <xf numFmtId="0" fontId="11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5" fillId="0" borderId="3" xfId="0" applyFont="1" applyBorder="1"/>
    <xf numFmtId="0" fontId="10" fillId="0" borderId="0" xfId="0" applyFont="1"/>
    <xf numFmtId="0" fontId="14" fillId="0" borderId="3" xfId="0" applyFont="1" applyBorder="1"/>
    <xf numFmtId="0" fontId="15" fillId="0" borderId="3" xfId="0" applyFont="1" applyBorder="1"/>
    <xf numFmtId="0" fontId="13" fillId="4" borderId="3" xfId="0" applyFont="1" applyFill="1" applyBorder="1"/>
    <xf numFmtId="0" fontId="3" fillId="4" borderId="3" xfId="1" applyFont="1" applyFill="1" applyBorder="1"/>
    <xf numFmtId="0" fontId="17" fillId="0" borderId="3" xfId="1" applyFont="1" applyFill="1" applyBorder="1"/>
    <xf numFmtId="0" fontId="19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22" fillId="9" borderId="3" xfId="0" applyFont="1" applyFill="1" applyBorder="1"/>
    <xf numFmtId="9" fontId="21" fillId="0" borderId="3" xfId="2" applyFont="1" applyBorder="1"/>
    <xf numFmtId="0" fontId="24" fillId="0" borderId="3" xfId="1" applyFont="1" applyFill="1" applyBorder="1"/>
    <xf numFmtId="0" fontId="25" fillId="0" borderId="3" xfId="0" applyFont="1" applyBorder="1"/>
    <xf numFmtId="0" fontId="11" fillId="0" borderId="3" xfId="0" applyFont="1" applyBorder="1"/>
    <xf numFmtId="0" fontId="26" fillId="5" borderId="3" xfId="0" applyFont="1" applyFill="1" applyBorder="1"/>
    <xf numFmtId="0" fontId="27" fillId="0" borderId="3" xfId="0" applyFont="1" applyBorder="1"/>
    <xf numFmtId="0" fontId="27" fillId="3" borderId="3" xfId="0" applyFont="1" applyFill="1" applyBorder="1"/>
    <xf numFmtId="0" fontId="28" fillId="0" borderId="3" xfId="0" applyFont="1" applyBorder="1"/>
    <xf numFmtId="0" fontId="28" fillId="8" borderId="3" xfId="0" applyFont="1" applyFill="1" applyBorder="1"/>
    <xf numFmtId="0" fontId="11" fillId="0" borderId="3" xfId="1" applyFont="1" applyFill="1" applyBorder="1"/>
    <xf numFmtId="0" fontId="25" fillId="0" borderId="0" xfId="0" applyFont="1"/>
    <xf numFmtId="0" fontId="27" fillId="7" borderId="3" xfId="0" applyFont="1" applyFill="1" applyBorder="1"/>
    <xf numFmtId="0" fontId="27" fillId="0" borderId="6" xfId="0" applyFont="1" applyBorder="1"/>
    <xf numFmtId="0" fontId="27" fillId="0" borderId="0" xfId="0" applyFont="1"/>
    <xf numFmtId="0" fontId="16" fillId="0" borderId="10" xfId="1" applyFont="1" applyFill="1" applyBorder="1"/>
    <xf numFmtId="0" fontId="16" fillId="0" borderId="5" xfId="1" applyFont="1" applyFill="1" applyBorder="1"/>
    <xf numFmtId="0" fontId="27" fillId="0" borderId="3" xfId="1" applyFont="1" applyFill="1" applyBorder="1"/>
    <xf numFmtId="0" fontId="16" fillId="0" borderId="11" xfId="1" applyFont="1" applyFill="1" applyBorder="1"/>
    <xf numFmtId="0" fontId="3" fillId="5" borderId="3" xfId="0" applyFont="1" applyFill="1" applyBorder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 wrapText="1"/>
    </xf>
    <xf numFmtId="0" fontId="12" fillId="0" borderId="24" xfId="0" applyFont="1" applyBorder="1" applyAlignment="1">
      <alignment horizontal="right"/>
    </xf>
    <xf numFmtId="0" fontId="11" fillId="0" borderId="24" xfId="0" applyFont="1" applyBorder="1" applyAlignment="1">
      <alignment horizontal="center" wrapText="1"/>
    </xf>
    <xf numFmtId="0" fontId="27" fillId="0" borderId="13" xfId="0" applyFont="1" applyBorder="1"/>
    <xf numFmtId="0" fontId="27" fillId="0" borderId="25" xfId="0" applyFont="1" applyBorder="1"/>
    <xf numFmtId="0" fontId="11" fillId="0" borderId="25" xfId="0" applyFont="1" applyBorder="1"/>
    <xf numFmtId="0" fontId="27" fillId="0" borderId="26" xfId="0" applyFont="1" applyBorder="1"/>
    <xf numFmtId="0" fontId="23" fillId="4" borderId="3" xfId="1" applyFont="1" applyFill="1" applyBorder="1"/>
    <xf numFmtId="0" fontId="24" fillId="4" borderId="3" xfId="1" applyFont="1" applyFill="1" applyBorder="1"/>
    <xf numFmtId="0" fontId="29" fillId="0" borderId="32" xfId="0" applyFont="1" applyBorder="1" applyAlignment="1">
      <alignment horizontal="center" vertical="top"/>
    </xf>
    <xf numFmtId="0" fontId="0" fillId="0" borderId="32" xfId="0" applyBorder="1"/>
    <xf numFmtId="0" fontId="24" fillId="0" borderId="32" xfId="0" applyFont="1" applyBorder="1"/>
    <xf numFmtId="0" fontId="24" fillId="0" borderId="32" xfId="1" applyFont="1" applyFill="1" applyBorder="1"/>
    <xf numFmtId="0" fontId="4" fillId="6" borderId="0" xfId="0" applyFont="1" applyFill="1" applyAlignment="1">
      <alignment horizontal="center"/>
    </xf>
    <xf numFmtId="0" fontId="0" fillId="0" borderId="0" xfId="0"/>
    <xf numFmtId="0" fontId="12" fillId="0" borderId="27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2" fillId="0" borderId="29" xfId="0" applyFont="1" applyBorder="1" applyAlignment="1">
      <alignment horizontal="center"/>
    </xf>
    <xf numFmtId="0" fontId="11" fillId="0" borderId="0" xfId="0" applyFont="1"/>
    <xf numFmtId="0" fontId="0" fillId="0" borderId="12" xfId="0" applyBorder="1"/>
    <xf numFmtId="0" fontId="12" fillId="0" borderId="28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3" fillId="0" borderId="28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0" fillId="0" borderId="23" xfId="0" applyBorder="1"/>
    <xf numFmtId="0" fontId="0" fillId="0" borderId="21" xfId="0" applyBorder="1"/>
    <xf numFmtId="0" fontId="0" fillId="0" borderId="22" xfId="0" applyBorder="1"/>
    <xf numFmtId="0" fontId="3" fillId="0" borderId="3" xfId="1" applyFont="1" applyFill="1" applyBorder="1" applyAlignment="1">
      <alignment horizontal="center"/>
    </xf>
    <xf numFmtId="0" fontId="23" fillId="4" borderId="30" xfId="1" applyFont="1" applyFill="1" applyBorder="1" applyAlignment="1">
      <alignment horizontal="center"/>
    </xf>
    <xf numFmtId="0" fontId="25" fillId="0" borderId="31" xfId="0" applyFont="1" applyBorder="1"/>
    <xf numFmtId="0" fontId="0" fillId="10" borderId="0" xfId="0" applyFill="1"/>
  </cellXfs>
  <cellStyles count="3">
    <cellStyle name="Normal" xfId="0" builtinId="0"/>
    <cellStyle name="Output" xfId="1" builtinId="21"/>
    <cellStyle name="Percent" xfId="2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I585"/>
  <sheetViews>
    <sheetView showGridLines="0" topLeftCell="B489" zoomScaleNormal="100" workbookViewId="0">
      <selection activeCell="I3" sqref="I3"/>
    </sheetView>
  </sheetViews>
  <sheetFormatPr defaultRowHeight="15" x14ac:dyDescent="0.25"/>
  <cols>
    <col min="1" max="1" width="8.7109375" hidden="1" customWidth="1"/>
    <col min="2" max="2" width="5.42578125" customWidth="1"/>
    <col min="3" max="3" width="8.5703125" bestFit="1" customWidth="1"/>
    <col min="4" max="4" width="11.140625" customWidth="1"/>
    <col min="5" max="5" width="10.7109375" customWidth="1"/>
    <col min="6" max="6" width="43" customWidth="1"/>
    <col min="7" max="7" width="8" customWidth="1"/>
    <col min="8" max="8" width="7.28515625" bestFit="1" customWidth="1"/>
    <col min="9" max="9" width="26.5703125" bestFit="1" customWidth="1"/>
  </cols>
  <sheetData>
    <row r="1" spans="1:9" ht="20.45" customHeight="1" x14ac:dyDescent="0.35">
      <c r="A1" s="17"/>
      <c r="B1" s="75" t="s">
        <v>0</v>
      </c>
      <c r="C1" s="76"/>
      <c r="D1" s="76"/>
      <c r="E1" s="76"/>
      <c r="F1" s="76"/>
      <c r="G1" s="76"/>
      <c r="H1" s="76"/>
      <c r="I1" s="76"/>
    </row>
    <row r="2" spans="1:9" ht="20.45" customHeight="1" x14ac:dyDescent="0.35">
      <c r="A2" s="17"/>
      <c r="B2" s="75" t="s">
        <v>1</v>
      </c>
      <c r="C2" s="76"/>
      <c r="D2" s="76"/>
      <c r="E2" s="76"/>
      <c r="F2" s="76"/>
      <c r="G2" s="76"/>
      <c r="H2" s="76"/>
      <c r="I2" s="76"/>
    </row>
    <row r="3" spans="1:9" ht="16.5" x14ac:dyDescent="0.3">
      <c r="A3" s="17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/>
    </row>
    <row r="4" spans="1:9" ht="14.45" customHeight="1" x14ac:dyDescent="0.3">
      <c r="A4" s="17" t="str">
        <f t="shared" ref="A4:A67" si="0">E4</f>
        <v>DCS112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e">
        <f>VLOOKUP(E4,#REF!,3,FALSE)</f>
        <v>#REF!</v>
      </c>
    </row>
    <row r="5" spans="1:9" ht="14.45" customHeight="1" x14ac:dyDescent="0.3">
      <c r="A5" s="17" t="str">
        <f t="shared" si="0"/>
        <v>BBA112/DBA112</v>
      </c>
      <c r="B5" s="3" t="s">
        <v>9</v>
      </c>
      <c r="C5" s="3" t="s">
        <v>10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e">
        <f>VLOOKUP(E5,#REF!,3,FALSE)</f>
        <v>#REF!</v>
      </c>
    </row>
    <row r="6" spans="1:9" ht="14.45" customHeight="1" x14ac:dyDescent="0.3">
      <c r="A6" s="17" t="str">
        <f t="shared" si="0"/>
        <v>HRM322</v>
      </c>
      <c r="B6" s="3" t="s">
        <v>9</v>
      </c>
      <c r="C6" s="3" t="s">
        <v>10</v>
      </c>
      <c r="D6" s="3" t="s">
        <v>21</v>
      </c>
      <c r="E6" s="3" t="s">
        <v>22</v>
      </c>
      <c r="F6" s="3" t="s">
        <v>23</v>
      </c>
      <c r="G6" s="3" t="s">
        <v>19</v>
      </c>
      <c r="H6" s="3" t="s">
        <v>24</v>
      </c>
      <c r="I6" s="3" t="e">
        <f>VLOOKUP(E6,#REF!,3,FALSE)</f>
        <v>#REF!</v>
      </c>
    </row>
    <row r="7" spans="1:9" ht="14.45" customHeight="1" x14ac:dyDescent="0.3">
      <c r="A7" s="17" t="str">
        <f t="shared" si="0"/>
        <v>IRDS112</v>
      </c>
      <c r="B7" s="3" t="s">
        <v>9</v>
      </c>
      <c r="C7" s="3" t="s">
        <v>10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e">
        <f>VLOOKUP(E7,#REF!,3,FALSE)</f>
        <v>#REF!</v>
      </c>
    </row>
    <row r="8" spans="1:9" ht="14.45" customHeight="1" x14ac:dyDescent="0.3">
      <c r="A8" s="17" t="str">
        <f t="shared" si="0"/>
        <v>BIT213/BSE213</v>
      </c>
      <c r="B8" s="3" t="s">
        <v>9</v>
      </c>
      <c r="C8" s="3" t="s">
        <v>10</v>
      </c>
      <c r="D8" s="3" t="s">
        <v>30</v>
      </c>
      <c r="E8" s="3" t="s">
        <v>31</v>
      </c>
      <c r="F8" s="3" t="s">
        <v>32</v>
      </c>
      <c r="G8" s="3" t="s">
        <v>14</v>
      </c>
      <c r="H8" s="3" t="s">
        <v>33</v>
      </c>
      <c r="I8" s="3" t="e">
        <f>VLOOKUP(E8,#REF!,3,FALSE)</f>
        <v>#REF!</v>
      </c>
    </row>
    <row r="9" spans="1:9" ht="14.45" customHeight="1" x14ac:dyDescent="0.3">
      <c r="A9" s="17" t="str">
        <f t="shared" si="0"/>
        <v>LLB121</v>
      </c>
      <c r="B9" s="5" t="s">
        <v>9</v>
      </c>
      <c r="C9" s="5" t="s">
        <v>10</v>
      </c>
      <c r="D9" s="5" t="s">
        <v>34</v>
      </c>
      <c r="E9" s="5" t="s">
        <v>35</v>
      </c>
      <c r="F9" s="3" t="s">
        <v>36</v>
      </c>
      <c r="G9" s="5" t="s">
        <v>37</v>
      </c>
      <c r="H9" s="5" t="s">
        <v>38</v>
      </c>
      <c r="I9" s="3" t="e">
        <f>VLOOKUP(E9,#REF!,3,FALSE)</f>
        <v>#REF!</v>
      </c>
    </row>
    <row r="10" spans="1:9" ht="14.45" customHeight="1" x14ac:dyDescent="0.3">
      <c r="A10" s="17" t="str">
        <f t="shared" si="0"/>
        <v>LLB213</v>
      </c>
      <c r="B10" s="5" t="s">
        <v>9</v>
      </c>
      <c r="C10" s="3" t="s">
        <v>10</v>
      </c>
      <c r="D10" s="3" t="s">
        <v>39</v>
      </c>
      <c r="E10" s="3" t="s">
        <v>40</v>
      </c>
      <c r="F10" s="3" t="s">
        <v>41</v>
      </c>
      <c r="G10" s="3" t="s">
        <v>37</v>
      </c>
      <c r="H10" s="3" t="s">
        <v>42</v>
      </c>
      <c r="I10" s="3" t="e">
        <f>VLOOKUP(E10,#REF!,3,FALSE)</f>
        <v>#REF!</v>
      </c>
    </row>
    <row r="11" spans="1:9" ht="14.45" customHeight="1" x14ac:dyDescent="0.3">
      <c r="A11" s="17" t="str">
        <f t="shared" si="0"/>
        <v>FOU112</v>
      </c>
      <c r="B11" s="3" t="s">
        <v>9</v>
      </c>
      <c r="C11" s="3" t="s">
        <v>10</v>
      </c>
      <c r="D11" s="3" t="s">
        <v>43</v>
      </c>
      <c r="E11" s="3" t="s">
        <v>44</v>
      </c>
      <c r="F11" s="3" t="s">
        <v>45</v>
      </c>
      <c r="G11" s="3" t="s">
        <v>28</v>
      </c>
      <c r="H11" s="3" t="s">
        <v>46</v>
      </c>
      <c r="I11" s="3" t="e">
        <f>VLOOKUP(E11,#REF!,3,FALSE)</f>
        <v>#REF!</v>
      </c>
    </row>
    <row r="12" spans="1:9" ht="14.45" customHeight="1" x14ac:dyDescent="0.3">
      <c r="A12" s="17" t="str">
        <f t="shared" si="0"/>
        <v>BIT311</v>
      </c>
      <c r="B12" s="3" t="s">
        <v>9</v>
      </c>
      <c r="C12" s="3" t="s">
        <v>47</v>
      </c>
      <c r="D12" s="3" t="s">
        <v>48</v>
      </c>
      <c r="E12" s="3" t="s">
        <v>49</v>
      </c>
      <c r="F12" s="3" t="s">
        <v>50</v>
      </c>
      <c r="G12" s="3" t="s">
        <v>14</v>
      </c>
      <c r="H12" s="3" t="s">
        <v>51</v>
      </c>
      <c r="I12" s="3" t="e">
        <f>VLOOKUP(E12,#REF!,3,FALSE)</f>
        <v>#REF!</v>
      </c>
    </row>
    <row r="13" spans="1:9" ht="14.45" customHeight="1" x14ac:dyDescent="0.3">
      <c r="A13" s="17" t="str">
        <f t="shared" si="0"/>
        <v>BBA325</v>
      </c>
      <c r="B13" s="3" t="s">
        <v>9</v>
      </c>
      <c r="C13" s="3" t="s">
        <v>47</v>
      </c>
      <c r="D13" s="3" t="s">
        <v>52</v>
      </c>
      <c r="E13" s="3" t="s">
        <v>53</v>
      </c>
      <c r="F13" s="3" t="s">
        <v>54</v>
      </c>
      <c r="G13" s="3" t="s">
        <v>19</v>
      </c>
      <c r="H13" s="3" t="s">
        <v>55</v>
      </c>
      <c r="I13" s="3" t="e">
        <f>VLOOKUP(E13,#REF!,3,FALSE)</f>
        <v>#REF!</v>
      </c>
    </row>
    <row r="14" spans="1:9" ht="14.45" customHeight="1" x14ac:dyDescent="0.3">
      <c r="A14" s="17" t="str">
        <f t="shared" si="0"/>
        <v>BBA112/DBA112</v>
      </c>
      <c r="B14" s="3" t="s">
        <v>56</v>
      </c>
      <c r="C14" s="3" t="s">
        <v>47</v>
      </c>
      <c r="D14" s="3" t="s">
        <v>57</v>
      </c>
      <c r="E14" s="3" t="s">
        <v>17</v>
      </c>
      <c r="F14" s="3" t="s">
        <v>18</v>
      </c>
      <c r="G14" s="3" t="s">
        <v>19</v>
      </c>
      <c r="H14" s="3" t="s">
        <v>20</v>
      </c>
      <c r="I14" s="3" t="e">
        <f>VLOOKUP(E14,#REF!,3,FALSE)</f>
        <v>#REF!</v>
      </c>
    </row>
    <row r="15" spans="1:9" ht="14.45" customHeight="1" x14ac:dyDescent="0.3">
      <c r="A15" s="17" t="str">
        <f t="shared" si="0"/>
        <v>BSE326</v>
      </c>
      <c r="B15" s="3" t="s">
        <v>9</v>
      </c>
      <c r="C15" s="3" t="s">
        <v>47</v>
      </c>
      <c r="D15" s="3" t="s">
        <v>58</v>
      </c>
      <c r="E15" s="3" t="s">
        <v>59</v>
      </c>
      <c r="F15" s="3" t="s">
        <v>60</v>
      </c>
      <c r="G15" s="3" t="s">
        <v>14</v>
      </c>
      <c r="H15" s="3" t="s">
        <v>61</v>
      </c>
      <c r="I15" s="3" t="e">
        <f>VLOOKUP(E15,#REF!,3,FALSE)</f>
        <v>#REF!</v>
      </c>
    </row>
    <row r="16" spans="1:9" ht="14.45" customHeight="1" x14ac:dyDescent="0.3">
      <c r="A16" s="17" t="str">
        <f t="shared" si="0"/>
        <v>BPA215</v>
      </c>
      <c r="B16" s="3" t="s">
        <v>9</v>
      </c>
      <c r="C16" s="3" t="s">
        <v>47</v>
      </c>
      <c r="D16" s="3" t="s">
        <v>62</v>
      </c>
      <c r="E16" s="3" t="s">
        <v>63</v>
      </c>
      <c r="F16" s="3" t="s">
        <v>64</v>
      </c>
      <c r="G16" s="3" t="s">
        <v>28</v>
      </c>
      <c r="H16" s="3" t="s">
        <v>65</v>
      </c>
      <c r="I16" s="3" t="e">
        <f>VLOOKUP(E16,#REF!,3,FALSE)</f>
        <v>#REF!</v>
      </c>
    </row>
    <row r="17" spans="1:9" ht="14.45" customHeight="1" x14ac:dyDescent="0.3">
      <c r="A17" s="17" t="str">
        <f t="shared" si="0"/>
        <v>BIT113</v>
      </c>
      <c r="B17" s="3" t="s">
        <v>66</v>
      </c>
      <c r="C17" s="3" t="s">
        <v>47</v>
      </c>
      <c r="D17" s="3" t="s">
        <v>67</v>
      </c>
      <c r="E17" s="3" t="s">
        <v>68</v>
      </c>
      <c r="F17" s="3" t="s">
        <v>69</v>
      </c>
      <c r="G17" s="3" t="s">
        <v>14</v>
      </c>
      <c r="H17" s="3" t="s">
        <v>70</v>
      </c>
      <c r="I17" s="3" t="e">
        <f>VLOOKUP(E17,#REF!,3,FALSE)</f>
        <v>#REF!</v>
      </c>
    </row>
    <row r="18" spans="1:9" ht="14.45" customHeight="1" x14ac:dyDescent="0.3">
      <c r="A18" s="17" t="str">
        <f t="shared" si="0"/>
        <v>HRM321</v>
      </c>
      <c r="B18" s="3" t="s">
        <v>9</v>
      </c>
      <c r="C18" s="3" t="s">
        <v>47</v>
      </c>
      <c r="D18" s="3" t="s">
        <v>21</v>
      </c>
      <c r="E18" s="3" t="s">
        <v>71</v>
      </c>
      <c r="F18" s="3" t="s">
        <v>72</v>
      </c>
      <c r="G18" s="3" t="s">
        <v>19</v>
      </c>
      <c r="H18" s="3" t="s">
        <v>24</v>
      </c>
      <c r="I18" s="3" t="e">
        <f>VLOOKUP(E18,#REF!,3,FALSE)</f>
        <v>#REF!</v>
      </c>
    </row>
    <row r="19" spans="1:9" ht="14.45" customHeight="1" x14ac:dyDescent="0.3">
      <c r="A19" s="17" t="str">
        <f t="shared" si="0"/>
        <v>BIT124</v>
      </c>
      <c r="B19" s="3" t="s">
        <v>9</v>
      </c>
      <c r="C19" s="3" t="s">
        <v>47</v>
      </c>
      <c r="D19" s="3" t="s">
        <v>73</v>
      </c>
      <c r="E19" s="3" t="s">
        <v>74</v>
      </c>
      <c r="F19" s="3" t="s">
        <v>75</v>
      </c>
      <c r="G19" s="3" t="s">
        <v>14</v>
      </c>
      <c r="H19" s="3" t="s">
        <v>46</v>
      </c>
      <c r="I19" s="3" t="e">
        <f>VLOOKUP(E19,#REF!,3,FALSE)</f>
        <v>#REF!</v>
      </c>
    </row>
    <row r="20" spans="1:9" ht="14.45" customHeight="1" x14ac:dyDescent="0.3">
      <c r="A20" s="17" t="str">
        <f t="shared" si="0"/>
        <v>IRDS314</v>
      </c>
      <c r="B20" s="3" t="s">
        <v>9</v>
      </c>
      <c r="C20" s="3" t="s">
        <v>47</v>
      </c>
      <c r="D20" s="3" t="s">
        <v>76</v>
      </c>
      <c r="E20" s="3" t="s">
        <v>77</v>
      </c>
      <c r="F20" s="3" t="s">
        <v>78</v>
      </c>
      <c r="G20" s="3" t="s">
        <v>28</v>
      </c>
      <c r="H20" s="3" t="s">
        <v>79</v>
      </c>
      <c r="I20" s="3" t="e">
        <f>VLOOKUP(E20,#REF!,3,FALSE)</f>
        <v>#REF!</v>
      </c>
    </row>
    <row r="21" spans="1:9" ht="14.45" customHeight="1" x14ac:dyDescent="0.3">
      <c r="A21" s="17" t="str">
        <f t="shared" si="0"/>
        <v>IRDS129</v>
      </c>
      <c r="B21" s="3" t="s">
        <v>9</v>
      </c>
      <c r="C21" s="3" t="s">
        <v>47</v>
      </c>
      <c r="D21" s="3" t="s">
        <v>80</v>
      </c>
      <c r="E21" s="3" t="s">
        <v>81</v>
      </c>
      <c r="F21" s="3" t="s">
        <v>82</v>
      </c>
      <c r="G21" s="3" t="s">
        <v>28</v>
      </c>
      <c r="H21" s="3" t="s">
        <v>83</v>
      </c>
      <c r="I21" s="3" t="e">
        <f>VLOOKUP(E21,#REF!,3,FALSE)</f>
        <v>#REF!</v>
      </c>
    </row>
    <row r="22" spans="1:9" ht="14.45" customHeight="1" x14ac:dyDescent="0.3">
      <c r="A22" s="17" t="str">
        <f t="shared" si="0"/>
        <v>BJC121</v>
      </c>
      <c r="B22" s="3" t="s">
        <v>9</v>
      </c>
      <c r="C22" s="3" t="s">
        <v>47</v>
      </c>
      <c r="D22" s="3" t="s">
        <v>84</v>
      </c>
      <c r="E22" s="3" t="s">
        <v>85</v>
      </c>
      <c r="F22" s="3" t="s">
        <v>86</v>
      </c>
      <c r="G22" s="3" t="s">
        <v>28</v>
      </c>
      <c r="H22" s="3" t="s">
        <v>87</v>
      </c>
      <c r="I22" s="3" t="e">
        <f>VLOOKUP(E22,#REF!,3,FALSE)</f>
        <v>#REF!</v>
      </c>
    </row>
    <row r="23" spans="1:9" ht="14.45" customHeight="1" x14ac:dyDescent="0.3">
      <c r="A23" s="17" t="str">
        <f t="shared" si="0"/>
        <v>COM224/BSE212</v>
      </c>
      <c r="B23" s="3" t="s">
        <v>9</v>
      </c>
      <c r="C23" s="3" t="s">
        <v>47</v>
      </c>
      <c r="D23" s="3" t="s">
        <v>88</v>
      </c>
      <c r="E23" s="3" t="s">
        <v>89</v>
      </c>
      <c r="F23" s="3" t="s">
        <v>90</v>
      </c>
      <c r="G23" s="3" t="s">
        <v>14</v>
      </c>
      <c r="H23" s="3" t="s">
        <v>91</v>
      </c>
      <c r="I23" s="3" t="e">
        <f>VLOOKUP(E23,#REF!,3,FALSE)</f>
        <v>#REF!</v>
      </c>
    </row>
    <row r="24" spans="1:9" ht="14.45" customHeight="1" x14ac:dyDescent="0.3">
      <c r="A24" s="17" t="str">
        <f t="shared" si="0"/>
        <v>FOS127</v>
      </c>
      <c r="B24" s="3" t="s">
        <v>9</v>
      </c>
      <c r="C24" s="3" t="s">
        <v>47</v>
      </c>
      <c r="D24" s="5" t="s">
        <v>92</v>
      </c>
      <c r="E24" s="3" t="s">
        <v>93</v>
      </c>
      <c r="F24" s="3" t="s">
        <v>94</v>
      </c>
      <c r="G24" s="5" t="s">
        <v>14</v>
      </c>
      <c r="H24" s="3" t="s">
        <v>95</v>
      </c>
      <c r="I24" s="3" t="e">
        <f>VLOOKUP(E24,#REF!,3,FALSE)</f>
        <v>#REF!</v>
      </c>
    </row>
    <row r="25" spans="1:9" ht="14.45" customHeight="1" x14ac:dyDescent="0.3">
      <c r="A25" s="17" t="str">
        <f t="shared" si="0"/>
        <v>COM312</v>
      </c>
      <c r="B25" s="3" t="s">
        <v>9</v>
      </c>
      <c r="C25" s="3" t="s">
        <v>96</v>
      </c>
      <c r="D25" s="3" t="s">
        <v>97</v>
      </c>
      <c r="E25" s="3" t="s">
        <v>98</v>
      </c>
      <c r="F25" s="3" t="s">
        <v>99</v>
      </c>
      <c r="G25" s="3" t="s">
        <v>14</v>
      </c>
      <c r="H25" s="3" t="s">
        <v>91</v>
      </c>
      <c r="I25" s="3" t="e">
        <f>VLOOKUP(E25,#REF!,3,FALSE)</f>
        <v>#REF!</v>
      </c>
    </row>
    <row r="26" spans="1:9" ht="14.45" customHeight="1" x14ac:dyDescent="0.3">
      <c r="A26" s="17" t="str">
        <f t="shared" si="0"/>
        <v>IRDS311</v>
      </c>
      <c r="B26" s="3" t="s">
        <v>9</v>
      </c>
      <c r="C26" s="3" t="s">
        <v>96</v>
      </c>
      <c r="D26" s="3" t="s">
        <v>100</v>
      </c>
      <c r="E26" s="3" t="s">
        <v>101</v>
      </c>
      <c r="F26" s="3" t="s">
        <v>102</v>
      </c>
      <c r="G26" s="3" t="s">
        <v>28</v>
      </c>
      <c r="H26" s="3" t="s">
        <v>103</v>
      </c>
      <c r="I26" s="3" t="e">
        <f>VLOOKUP(E26,#REF!,3,FALSE)</f>
        <v>#REF!</v>
      </c>
    </row>
    <row r="27" spans="1:9" ht="14.45" customHeight="1" x14ac:dyDescent="0.3">
      <c r="A27" s="17" t="str">
        <f t="shared" si="0"/>
        <v>BSE322</v>
      </c>
      <c r="B27" s="3" t="s">
        <v>9</v>
      </c>
      <c r="C27" s="3" t="s">
        <v>96</v>
      </c>
      <c r="D27" s="3" t="s">
        <v>58</v>
      </c>
      <c r="E27" s="3" t="s">
        <v>104</v>
      </c>
      <c r="F27" s="3" t="s">
        <v>105</v>
      </c>
      <c r="G27" s="3" t="s">
        <v>14</v>
      </c>
      <c r="H27" s="3" t="s">
        <v>61</v>
      </c>
      <c r="I27" s="3" t="e">
        <f>VLOOKUP(E27,#REF!,3,FALSE)</f>
        <v>#REF!</v>
      </c>
    </row>
    <row r="28" spans="1:9" ht="14.45" customHeight="1" x14ac:dyDescent="0.3">
      <c r="A28" s="17" t="str">
        <f t="shared" si="0"/>
        <v>BPA314</v>
      </c>
      <c r="B28" s="3" t="s">
        <v>9</v>
      </c>
      <c r="C28" s="3" t="s">
        <v>96</v>
      </c>
      <c r="D28" s="3" t="s">
        <v>106</v>
      </c>
      <c r="E28" s="3" t="s">
        <v>107</v>
      </c>
      <c r="F28" s="3" t="s">
        <v>108</v>
      </c>
      <c r="G28" s="3" t="s">
        <v>28</v>
      </c>
      <c r="H28" s="3" t="s">
        <v>65</v>
      </c>
      <c r="I28" s="3" t="e">
        <f>VLOOKUP(E28,#REF!,3,FALSE)</f>
        <v>#REF!</v>
      </c>
    </row>
    <row r="29" spans="1:9" ht="14.45" customHeight="1" x14ac:dyDescent="0.3">
      <c r="A29" s="17" t="str">
        <f t="shared" si="0"/>
        <v>IRDS121/BPA121/FOA124</v>
      </c>
      <c r="B29" s="3" t="s">
        <v>9</v>
      </c>
      <c r="C29" s="3" t="s">
        <v>96</v>
      </c>
      <c r="D29" s="3" t="s">
        <v>109</v>
      </c>
      <c r="E29" s="3" t="s">
        <v>110</v>
      </c>
      <c r="F29" s="3" t="s">
        <v>111</v>
      </c>
      <c r="G29" s="3" t="s">
        <v>28</v>
      </c>
      <c r="H29" s="3" t="s">
        <v>112</v>
      </c>
      <c r="I29" s="3" t="e">
        <f>VLOOKUP(E29,#REF!,3,FALSE)</f>
        <v>#REF!</v>
      </c>
    </row>
    <row r="30" spans="1:9" ht="14.45" customHeight="1" x14ac:dyDescent="0.3">
      <c r="A30" s="17" t="str">
        <f t="shared" si="0"/>
        <v>BJC115</v>
      </c>
      <c r="B30" s="3" t="s">
        <v>9</v>
      </c>
      <c r="C30" s="3" t="s">
        <v>96</v>
      </c>
      <c r="D30" s="3" t="s">
        <v>113</v>
      </c>
      <c r="E30" s="3" t="s">
        <v>114</v>
      </c>
      <c r="F30" s="3" t="s">
        <v>115</v>
      </c>
      <c r="G30" s="3" t="s">
        <v>28</v>
      </c>
      <c r="H30" s="3" t="s">
        <v>87</v>
      </c>
      <c r="I30" s="3" t="e">
        <f>VLOOKUP(E30,#REF!,3,FALSE)</f>
        <v>#REF!</v>
      </c>
    </row>
    <row r="31" spans="1:9" ht="14.45" customHeight="1" x14ac:dyDescent="0.3">
      <c r="A31" s="17" t="str">
        <f t="shared" si="0"/>
        <v>BIT122/BSE121</v>
      </c>
      <c r="B31" s="3" t="s">
        <v>9</v>
      </c>
      <c r="C31" s="3" t="s">
        <v>96</v>
      </c>
      <c r="D31" s="3" t="s">
        <v>116</v>
      </c>
      <c r="E31" s="3" t="s">
        <v>117</v>
      </c>
      <c r="F31" s="3" t="s">
        <v>118</v>
      </c>
      <c r="G31" s="3" t="s">
        <v>14</v>
      </c>
      <c r="H31" s="3" t="s">
        <v>33</v>
      </c>
      <c r="I31" s="3" t="e">
        <f>VLOOKUP(E31,#REF!,3,FALSE)</f>
        <v>#REF!</v>
      </c>
    </row>
    <row r="32" spans="1:9" ht="14.45" customHeight="1" x14ac:dyDescent="0.3">
      <c r="A32" s="17" t="str">
        <f t="shared" si="0"/>
        <v>LLB112</v>
      </c>
      <c r="B32" s="3" t="s">
        <v>9</v>
      </c>
      <c r="C32" s="3" t="s">
        <v>119</v>
      </c>
      <c r="D32" s="3" t="s">
        <v>120</v>
      </c>
      <c r="E32" s="3" t="s">
        <v>121</v>
      </c>
      <c r="F32" s="3" t="s">
        <v>122</v>
      </c>
      <c r="G32" s="3" t="s">
        <v>37</v>
      </c>
      <c r="H32" s="3" t="s">
        <v>123</v>
      </c>
      <c r="I32" s="3" t="e">
        <f>VLOOKUP(E32,#REF!,3,FALSE)</f>
        <v>#REF!</v>
      </c>
    </row>
    <row r="33" spans="1:9" ht="14.45" customHeight="1" x14ac:dyDescent="0.3">
      <c r="A33" s="17" t="str">
        <f t="shared" si="0"/>
        <v>LLB215</v>
      </c>
      <c r="B33" s="3" t="s">
        <v>9</v>
      </c>
      <c r="C33" s="3" t="s">
        <v>119</v>
      </c>
      <c r="D33" s="3" t="s">
        <v>39</v>
      </c>
      <c r="E33" s="3" t="s">
        <v>124</v>
      </c>
      <c r="F33" s="3" t="s">
        <v>125</v>
      </c>
      <c r="G33" s="3" t="s">
        <v>37</v>
      </c>
      <c r="H33" s="3" t="s">
        <v>42</v>
      </c>
      <c r="I33" s="3" t="e">
        <f>VLOOKUP(E33,#REF!,3,FALSE)</f>
        <v>#REF!</v>
      </c>
    </row>
    <row r="34" spans="1:9" ht="14.45" customHeight="1" x14ac:dyDescent="0.3">
      <c r="A34" s="17" t="str">
        <f t="shared" si="0"/>
        <v>LLB124</v>
      </c>
      <c r="B34" s="3" t="s">
        <v>9</v>
      </c>
      <c r="C34" s="3" t="s">
        <v>119</v>
      </c>
      <c r="D34" s="3" t="s">
        <v>34</v>
      </c>
      <c r="E34" s="3" t="s">
        <v>126</v>
      </c>
      <c r="F34" s="3" t="s">
        <v>127</v>
      </c>
      <c r="G34" s="3" t="s">
        <v>37</v>
      </c>
      <c r="H34" s="3" t="s">
        <v>38</v>
      </c>
      <c r="I34" s="3" t="e">
        <f>VLOOKUP(E34,#REF!,3,FALSE)</f>
        <v>#REF!</v>
      </c>
    </row>
    <row r="35" spans="1:9" ht="14.45" customHeight="1" x14ac:dyDescent="0.3">
      <c r="A35" s="17" t="str">
        <f t="shared" si="0"/>
        <v>LLB222</v>
      </c>
      <c r="B35" s="3" t="s">
        <v>56</v>
      </c>
      <c r="C35" s="3" t="s">
        <v>128</v>
      </c>
      <c r="D35" s="3" t="s">
        <v>129</v>
      </c>
      <c r="E35" s="3" t="s">
        <v>130</v>
      </c>
      <c r="F35" s="3" t="s">
        <v>131</v>
      </c>
      <c r="G35" s="3" t="s">
        <v>37</v>
      </c>
      <c r="H35" s="3" t="s">
        <v>132</v>
      </c>
      <c r="I35" s="3" t="e">
        <f>VLOOKUP(E35,#REF!,3,FALSE)</f>
        <v>#REF!</v>
      </c>
    </row>
    <row r="36" spans="1:9" ht="14.45" customHeight="1" x14ac:dyDescent="0.3">
      <c r="A36" s="17" t="str">
        <f t="shared" si="0"/>
        <v>LLB412</v>
      </c>
      <c r="B36" s="3" t="s">
        <v>9</v>
      </c>
      <c r="C36" s="3" t="s">
        <v>119</v>
      </c>
      <c r="D36" s="3" t="s">
        <v>133</v>
      </c>
      <c r="E36" s="3" t="s">
        <v>134</v>
      </c>
      <c r="F36" s="3" t="s">
        <v>135</v>
      </c>
      <c r="G36" s="3" t="s">
        <v>37</v>
      </c>
      <c r="H36" s="3" t="s">
        <v>136</v>
      </c>
      <c r="I36" s="3" t="e">
        <f>VLOOKUP(E36,#REF!,3,FALSE)</f>
        <v>#REF!</v>
      </c>
    </row>
    <row r="37" spans="1:9" ht="14.45" customHeight="1" x14ac:dyDescent="0.3">
      <c r="A37" s="17" t="str">
        <f t="shared" si="0"/>
        <v>BIT212</v>
      </c>
      <c r="B37" s="3" t="s">
        <v>66</v>
      </c>
      <c r="C37" s="3" t="s">
        <v>10</v>
      </c>
      <c r="D37" s="3" t="s">
        <v>137</v>
      </c>
      <c r="E37" s="3" t="s">
        <v>138</v>
      </c>
      <c r="F37" s="3" t="s">
        <v>139</v>
      </c>
      <c r="G37" s="3" t="s">
        <v>14</v>
      </c>
      <c r="H37" s="3" t="s">
        <v>51</v>
      </c>
      <c r="I37" s="3" t="e">
        <f>VLOOKUP(E37,#REF!,3,FALSE)</f>
        <v>#REF!</v>
      </c>
    </row>
    <row r="38" spans="1:9" ht="14.45" customHeight="1" x14ac:dyDescent="0.3">
      <c r="A38" s="17" t="str">
        <f t="shared" si="0"/>
        <v>COM321</v>
      </c>
      <c r="B38" s="3" t="s">
        <v>9</v>
      </c>
      <c r="C38" s="3" t="s">
        <v>140</v>
      </c>
      <c r="D38" s="3" t="s">
        <v>141</v>
      </c>
      <c r="E38" s="3" t="s">
        <v>142</v>
      </c>
      <c r="F38" s="3" t="s">
        <v>143</v>
      </c>
      <c r="G38" s="3" t="s">
        <v>14</v>
      </c>
      <c r="H38" s="3" t="s">
        <v>15</v>
      </c>
      <c r="I38" s="3" t="e">
        <f>VLOOKUP(E38,#REF!,3,FALSE)</f>
        <v>#REF!</v>
      </c>
    </row>
    <row r="39" spans="1:9" ht="14.45" customHeight="1" x14ac:dyDescent="0.3">
      <c r="A39" s="17" t="str">
        <f t="shared" si="0"/>
        <v>IRDS325</v>
      </c>
      <c r="B39" s="3" t="s">
        <v>9</v>
      </c>
      <c r="C39" s="3" t="s">
        <v>140</v>
      </c>
      <c r="D39" s="3" t="s">
        <v>144</v>
      </c>
      <c r="E39" s="3" t="s">
        <v>145</v>
      </c>
      <c r="F39" s="3" t="s">
        <v>146</v>
      </c>
      <c r="G39" s="3" t="s">
        <v>28</v>
      </c>
      <c r="H39" s="3" t="s">
        <v>103</v>
      </c>
      <c r="I39" s="3" t="e">
        <f>VLOOKUP(E39,#REF!,3,FALSE)</f>
        <v>#REF!</v>
      </c>
    </row>
    <row r="40" spans="1:9" ht="14.45" customHeight="1" x14ac:dyDescent="0.3">
      <c r="A40" s="17" t="str">
        <f t="shared" si="0"/>
        <v>BPA221</v>
      </c>
      <c r="B40" s="3" t="s">
        <v>9</v>
      </c>
      <c r="C40" s="3" t="s">
        <v>140</v>
      </c>
      <c r="D40" s="9" t="s">
        <v>147</v>
      </c>
      <c r="E40" s="10" t="s">
        <v>148</v>
      </c>
      <c r="F40" s="3" t="s">
        <v>149</v>
      </c>
      <c r="G40" s="3" t="s">
        <v>28</v>
      </c>
      <c r="H40" s="3" t="s">
        <v>65</v>
      </c>
      <c r="I40" s="3" t="e">
        <f>VLOOKUP(E40,#REF!,3,FALSE)</f>
        <v>#REF!</v>
      </c>
    </row>
    <row r="41" spans="1:9" ht="14.45" customHeight="1" x14ac:dyDescent="0.3">
      <c r="A41" s="17" t="str">
        <f t="shared" si="0"/>
        <v>BJC224</v>
      </c>
      <c r="B41" s="3" t="s">
        <v>9</v>
      </c>
      <c r="C41" s="3" t="s">
        <v>140</v>
      </c>
      <c r="D41" s="3" t="s">
        <v>150</v>
      </c>
      <c r="E41" s="3" t="s">
        <v>151</v>
      </c>
      <c r="F41" s="3" t="s">
        <v>152</v>
      </c>
      <c r="G41" s="3" t="s">
        <v>28</v>
      </c>
      <c r="H41" s="3" t="s">
        <v>87</v>
      </c>
      <c r="I41" s="3" t="e">
        <f>VLOOKUP(E41,#REF!,3,FALSE)</f>
        <v>#REF!</v>
      </c>
    </row>
    <row r="42" spans="1:9" ht="14.45" customHeight="1" x14ac:dyDescent="0.3">
      <c r="A42" s="17" t="str">
        <f t="shared" si="0"/>
        <v>COM221</v>
      </c>
      <c r="B42" s="3" t="s">
        <v>9</v>
      </c>
      <c r="C42" s="3" t="s">
        <v>140</v>
      </c>
      <c r="D42" s="3" t="s">
        <v>153</v>
      </c>
      <c r="E42" s="3" t="s">
        <v>154</v>
      </c>
      <c r="F42" s="3" t="s">
        <v>155</v>
      </c>
      <c r="G42" s="3" t="s">
        <v>14</v>
      </c>
      <c r="H42" s="3" t="s">
        <v>91</v>
      </c>
      <c r="I42" s="3" t="e">
        <f>VLOOKUP(E42,#REF!,3,FALSE)</f>
        <v>#REF!</v>
      </c>
    </row>
    <row r="43" spans="1:9" ht="14.45" customHeight="1" x14ac:dyDescent="0.3">
      <c r="A43" s="17" t="str">
        <f t="shared" si="0"/>
        <v>BSE323</v>
      </c>
      <c r="B43" s="5" t="s">
        <v>9</v>
      </c>
      <c r="C43" s="3" t="s">
        <v>140</v>
      </c>
      <c r="D43" s="5" t="s">
        <v>156</v>
      </c>
      <c r="E43" s="5" t="s">
        <v>157</v>
      </c>
      <c r="F43" s="5" t="s">
        <v>158</v>
      </c>
      <c r="G43" s="5" t="s">
        <v>14</v>
      </c>
      <c r="H43" s="5" t="s">
        <v>61</v>
      </c>
      <c r="I43" s="5" t="e">
        <f>VLOOKUP(E43,#REF!,3,FALSE)</f>
        <v>#REF!</v>
      </c>
    </row>
    <row r="44" spans="1:9" ht="14.45" customHeight="1" x14ac:dyDescent="0.3">
      <c r="A44" s="17" t="str">
        <f t="shared" si="0"/>
        <v>LLB424</v>
      </c>
      <c r="B44" s="3" t="s">
        <v>9</v>
      </c>
      <c r="C44" s="3" t="s">
        <v>159</v>
      </c>
      <c r="D44" s="3" t="s">
        <v>160</v>
      </c>
      <c r="E44" s="3" t="s">
        <v>161</v>
      </c>
      <c r="F44" s="3" t="s">
        <v>162</v>
      </c>
      <c r="G44" s="3" t="s">
        <v>37</v>
      </c>
      <c r="H44" s="3" t="s">
        <v>136</v>
      </c>
      <c r="I44" s="3" t="e">
        <f>VLOOKUP(E44,#REF!,3,FALSE)</f>
        <v>#REF!</v>
      </c>
    </row>
    <row r="45" spans="1:9" ht="14.45" customHeight="1" x14ac:dyDescent="0.3">
      <c r="A45" s="17" t="str">
        <f t="shared" si="0"/>
        <v>LLB327</v>
      </c>
      <c r="B45" s="3" t="s">
        <v>9</v>
      </c>
      <c r="C45" s="3" t="s">
        <v>159</v>
      </c>
      <c r="D45" s="3" t="s">
        <v>163</v>
      </c>
      <c r="E45" s="3" t="s">
        <v>164</v>
      </c>
      <c r="F45" s="3" t="s">
        <v>165</v>
      </c>
      <c r="G45" s="3" t="s">
        <v>37</v>
      </c>
      <c r="H45" s="3" t="s">
        <v>42</v>
      </c>
      <c r="I45" s="3" t="e">
        <f>VLOOKUP(E45,#REF!,3,FALSE)</f>
        <v>#REF!</v>
      </c>
    </row>
    <row r="46" spans="1:9" ht="14.45" customHeight="1" x14ac:dyDescent="0.3">
      <c r="A46" s="17" t="str">
        <f t="shared" si="0"/>
        <v>LLB322</v>
      </c>
      <c r="B46" s="5" t="s">
        <v>9</v>
      </c>
      <c r="C46" s="3" t="s">
        <v>128</v>
      </c>
      <c r="D46" s="3" t="s">
        <v>163</v>
      </c>
      <c r="E46" s="3" t="s">
        <v>166</v>
      </c>
      <c r="F46" s="3" t="s">
        <v>167</v>
      </c>
      <c r="G46" s="3" t="s">
        <v>37</v>
      </c>
      <c r="H46" s="3" t="s">
        <v>136</v>
      </c>
      <c r="I46" s="3" t="e">
        <f>VLOOKUP(E46,#REF!,3,FALSE)</f>
        <v>#REF!</v>
      </c>
    </row>
    <row r="47" spans="1:9" ht="14.45" customHeight="1" x14ac:dyDescent="0.3">
      <c r="A47" s="17" t="str">
        <f t="shared" si="0"/>
        <v>LLB123</v>
      </c>
      <c r="B47" s="5" t="s">
        <v>9</v>
      </c>
      <c r="C47" s="3" t="s">
        <v>128</v>
      </c>
      <c r="D47" s="3" t="s">
        <v>34</v>
      </c>
      <c r="E47" s="3" t="s">
        <v>168</v>
      </c>
      <c r="F47" s="3" t="s">
        <v>169</v>
      </c>
      <c r="G47" s="3" t="s">
        <v>37</v>
      </c>
      <c r="H47" s="3" t="s">
        <v>38</v>
      </c>
      <c r="I47" s="3" t="e">
        <f>VLOOKUP(E47,#REF!,3,FALSE)</f>
        <v>#REF!</v>
      </c>
    </row>
    <row r="48" spans="1:9" ht="14.45" customHeight="1" x14ac:dyDescent="0.3">
      <c r="A48" s="17" t="str">
        <f t="shared" si="0"/>
        <v>LLB223</v>
      </c>
      <c r="B48" s="5" t="s">
        <v>170</v>
      </c>
      <c r="C48" s="3" t="s">
        <v>128</v>
      </c>
      <c r="D48" s="3" t="s">
        <v>129</v>
      </c>
      <c r="E48" s="3" t="s">
        <v>171</v>
      </c>
      <c r="F48" s="3" t="s">
        <v>172</v>
      </c>
      <c r="G48" s="3" t="s">
        <v>37</v>
      </c>
      <c r="H48" s="3" t="s">
        <v>42</v>
      </c>
      <c r="I48" s="3" t="e">
        <f>VLOOKUP(E48,#REF!,3,FALSE)</f>
        <v>#REF!</v>
      </c>
    </row>
    <row r="49" spans="1:9" ht="14.45" customHeight="1" x14ac:dyDescent="0.3">
      <c r="A49" s="17" t="str">
        <f t="shared" si="0"/>
        <v>LLB111</v>
      </c>
      <c r="B49" s="5" t="s">
        <v>9</v>
      </c>
      <c r="C49" s="3" t="s">
        <v>128</v>
      </c>
      <c r="D49" s="3" t="s">
        <v>120</v>
      </c>
      <c r="E49" s="3" t="s">
        <v>173</v>
      </c>
      <c r="F49" s="3" t="s">
        <v>174</v>
      </c>
      <c r="G49" s="3" t="s">
        <v>37</v>
      </c>
      <c r="H49" s="3" t="s">
        <v>123</v>
      </c>
      <c r="I49" s="3" t="e">
        <f>VLOOKUP(E49,#REF!,3,FALSE)</f>
        <v>#REF!</v>
      </c>
    </row>
    <row r="50" spans="1:9" ht="14.45" customHeight="1" x14ac:dyDescent="0.3">
      <c r="A50" s="17" t="str">
        <f t="shared" si="0"/>
        <v>LLB212</v>
      </c>
      <c r="B50" s="5" t="s">
        <v>9</v>
      </c>
      <c r="C50" s="3" t="s">
        <v>128</v>
      </c>
      <c r="D50" s="3" t="s">
        <v>39</v>
      </c>
      <c r="E50" s="3" t="s">
        <v>175</v>
      </c>
      <c r="F50" s="3" t="s">
        <v>176</v>
      </c>
      <c r="G50" s="3" t="s">
        <v>37</v>
      </c>
      <c r="H50" s="3" t="s">
        <v>38</v>
      </c>
      <c r="I50" s="3" t="e">
        <f>VLOOKUP(E50,#REF!,3,FALSE)</f>
        <v>#REF!</v>
      </c>
    </row>
    <row r="51" spans="1:9" ht="14.45" customHeight="1" x14ac:dyDescent="0.3">
      <c r="A51" s="17" t="str">
        <f t="shared" si="0"/>
        <v>LLB113</v>
      </c>
      <c r="B51" s="5" t="s">
        <v>9</v>
      </c>
      <c r="C51" s="5" t="s">
        <v>177</v>
      </c>
      <c r="D51" s="5" t="s">
        <v>120</v>
      </c>
      <c r="E51" s="5" t="s">
        <v>178</v>
      </c>
      <c r="F51" s="3" t="s">
        <v>179</v>
      </c>
      <c r="G51" s="5" t="s">
        <v>37</v>
      </c>
      <c r="H51" s="5" t="s">
        <v>123</v>
      </c>
      <c r="I51" s="3" t="e">
        <f>VLOOKUP(E51,#REF!,3,FALSE)</f>
        <v>#REF!</v>
      </c>
    </row>
    <row r="52" spans="1:9" ht="14.45" customHeight="1" x14ac:dyDescent="0.3">
      <c r="A52" s="17" t="str">
        <f t="shared" si="0"/>
        <v>LLB311</v>
      </c>
      <c r="B52" s="5" t="s">
        <v>9</v>
      </c>
      <c r="C52" s="5" t="s">
        <v>177</v>
      </c>
      <c r="D52" s="5" t="s">
        <v>180</v>
      </c>
      <c r="E52" s="5" t="s">
        <v>181</v>
      </c>
      <c r="F52" s="3" t="s">
        <v>182</v>
      </c>
      <c r="G52" s="5" t="s">
        <v>37</v>
      </c>
      <c r="H52" s="5" t="s">
        <v>42</v>
      </c>
      <c r="I52" s="3" t="e">
        <f>VLOOKUP(E52,#REF!,3,FALSE)</f>
        <v>#REF!</v>
      </c>
    </row>
    <row r="53" spans="1:9" ht="14.45" customHeight="1" x14ac:dyDescent="0.3">
      <c r="A53" s="17" t="str">
        <f t="shared" si="0"/>
        <v>LLB426</v>
      </c>
      <c r="B53" s="5" t="s">
        <v>9</v>
      </c>
      <c r="C53" s="5" t="s">
        <v>177</v>
      </c>
      <c r="D53" s="15" t="s">
        <v>160</v>
      </c>
      <c r="E53" s="5" t="s">
        <v>183</v>
      </c>
      <c r="F53" s="3" t="s">
        <v>184</v>
      </c>
      <c r="G53" s="5" t="s">
        <v>37</v>
      </c>
      <c r="H53" s="5" t="s">
        <v>136</v>
      </c>
      <c r="I53" s="3" t="e">
        <f>VLOOKUP(E53,#REF!,3,FALSE)</f>
        <v>#REF!</v>
      </c>
    </row>
    <row r="54" spans="1:9" ht="14.45" customHeight="1" x14ac:dyDescent="0.3">
      <c r="A54" s="17" t="str">
        <f t="shared" si="0"/>
        <v>LLB211</v>
      </c>
      <c r="B54" s="3" t="s">
        <v>9</v>
      </c>
      <c r="C54" s="5" t="s">
        <v>177</v>
      </c>
      <c r="D54" s="3" t="s">
        <v>39</v>
      </c>
      <c r="E54" s="3" t="s">
        <v>185</v>
      </c>
      <c r="F54" s="3" t="s">
        <v>186</v>
      </c>
      <c r="G54" s="3" t="s">
        <v>37</v>
      </c>
      <c r="H54" s="3" t="s">
        <v>42</v>
      </c>
      <c r="I54" s="3" t="e">
        <f>VLOOKUP(E54,#REF!,3,FALSE)</f>
        <v>#REF!</v>
      </c>
    </row>
    <row r="55" spans="1:9" ht="14.45" customHeight="1" x14ac:dyDescent="0.3">
      <c r="A55" s="17" t="str">
        <f t="shared" si="0"/>
        <v>PLM324</v>
      </c>
      <c r="B55" s="3" t="s">
        <v>170</v>
      </c>
      <c r="C55" s="3" t="s">
        <v>10</v>
      </c>
      <c r="D55" s="3" t="s">
        <v>187</v>
      </c>
      <c r="E55" s="3" t="s">
        <v>188</v>
      </c>
      <c r="F55" s="3" t="s">
        <v>189</v>
      </c>
      <c r="G55" s="3" t="s">
        <v>19</v>
      </c>
      <c r="H55" s="3" t="s">
        <v>24</v>
      </c>
      <c r="I55" s="3" t="e">
        <f>VLOOKUP(E55,#REF!,3,FALSE)</f>
        <v>#REF!</v>
      </c>
    </row>
    <row r="56" spans="1:9" ht="14.45" customHeight="1" x14ac:dyDescent="0.3">
      <c r="A56" s="17" t="str">
        <f t="shared" si="0"/>
        <v>LLB112</v>
      </c>
      <c r="B56" s="5" t="s">
        <v>170</v>
      </c>
      <c r="C56" s="5" t="s">
        <v>10</v>
      </c>
      <c r="D56" s="5" t="s">
        <v>120</v>
      </c>
      <c r="E56" s="5" t="s">
        <v>121</v>
      </c>
      <c r="F56" s="3" t="s">
        <v>122</v>
      </c>
      <c r="G56" s="5" t="s">
        <v>37</v>
      </c>
      <c r="H56" s="5" t="s">
        <v>123</v>
      </c>
      <c r="I56" s="3" t="e">
        <f>VLOOKUP(E56,#REF!,3,FALSE)</f>
        <v>#REF!</v>
      </c>
    </row>
    <row r="57" spans="1:9" ht="14.45" customHeight="1" x14ac:dyDescent="0.3">
      <c r="A57" s="17" t="str">
        <f t="shared" si="0"/>
        <v>IRDS315</v>
      </c>
      <c r="B57" s="3" t="s">
        <v>170</v>
      </c>
      <c r="C57" s="3" t="s">
        <v>10</v>
      </c>
      <c r="D57" s="3" t="s">
        <v>76</v>
      </c>
      <c r="E57" s="6" t="s">
        <v>190</v>
      </c>
      <c r="F57" s="3" t="s">
        <v>191</v>
      </c>
      <c r="G57" s="3" t="s">
        <v>28</v>
      </c>
      <c r="H57" s="3" t="s">
        <v>65</v>
      </c>
      <c r="I57" s="3" t="e">
        <f>VLOOKUP(E57,#REF!,3,FALSE)</f>
        <v>#REF!</v>
      </c>
    </row>
    <row r="58" spans="1:9" ht="14.45" customHeight="1" x14ac:dyDescent="0.3">
      <c r="A58" s="17" t="str">
        <f t="shared" si="0"/>
        <v>BBA116/DBA116</v>
      </c>
      <c r="B58" s="3" t="s">
        <v>170</v>
      </c>
      <c r="C58" s="3" t="s">
        <v>10</v>
      </c>
      <c r="D58" s="3" t="s">
        <v>57</v>
      </c>
      <c r="E58" s="3" t="s">
        <v>192</v>
      </c>
      <c r="F58" s="3" t="s">
        <v>193</v>
      </c>
      <c r="G58" s="3" t="s">
        <v>19</v>
      </c>
      <c r="H58" s="3" t="s">
        <v>20</v>
      </c>
      <c r="I58" s="3" t="e">
        <f>VLOOKUP(E58,#REF!,3,FALSE)</f>
        <v>#REF!</v>
      </c>
    </row>
    <row r="59" spans="1:9" ht="14.45" customHeight="1" x14ac:dyDescent="0.3">
      <c r="A59" s="17" t="str">
        <f t="shared" si="0"/>
        <v>BIT325</v>
      </c>
      <c r="B59" s="3" t="s">
        <v>170</v>
      </c>
      <c r="C59" s="3" t="s">
        <v>10</v>
      </c>
      <c r="D59" s="3" t="s">
        <v>194</v>
      </c>
      <c r="E59" s="3" t="s">
        <v>195</v>
      </c>
      <c r="F59" s="3" t="s">
        <v>196</v>
      </c>
      <c r="G59" s="3" t="s">
        <v>14</v>
      </c>
      <c r="H59" s="3" t="s">
        <v>61</v>
      </c>
      <c r="I59" s="3" t="e">
        <f>VLOOKUP(E59,#REF!,3,FALSE)</f>
        <v>#REF!</v>
      </c>
    </row>
    <row r="60" spans="1:9" ht="14.45" customHeight="1" x14ac:dyDescent="0.3">
      <c r="A60" s="17" t="str">
        <f t="shared" si="0"/>
        <v>IRDS323</v>
      </c>
      <c r="B60" s="3" t="s">
        <v>170</v>
      </c>
      <c r="C60" s="3" t="s">
        <v>10</v>
      </c>
      <c r="D60" s="3" t="s">
        <v>144</v>
      </c>
      <c r="E60" s="3" t="s">
        <v>197</v>
      </c>
      <c r="F60" s="3" t="s">
        <v>198</v>
      </c>
      <c r="G60" s="3" t="s">
        <v>28</v>
      </c>
      <c r="H60" s="3" t="s">
        <v>79</v>
      </c>
      <c r="I60" s="3" t="e">
        <f>VLOOKUP(E60,#REF!,3,FALSE)</f>
        <v>#REF!</v>
      </c>
    </row>
    <row r="61" spans="1:9" ht="14.45" customHeight="1" x14ac:dyDescent="0.3">
      <c r="A61" s="17" t="str">
        <f t="shared" si="0"/>
        <v>LLB421</v>
      </c>
      <c r="B61" s="5" t="s">
        <v>170</v>
      </c>
      <c r="C61" s="5" t="s">
        <v>10</v>
      </c>
      <c r="D61" s="15" t="s">
        <v>160</v>
      </c>
      <c r="E61" s="5" t="s">
        <v>199</v>
      </c>
      <c r="F61" s="3" t="s">
        <v>200</v>
      </c>
      <c r="G61" s="5" t="s">
        <v>37</v>
      </c>
      <c r="H61" s="5" t="s">
        <v>136</v>
      </c>
      <c r="I61" s="3" t="e">
        <f>VLOOKUP(E61,#REF!,3,FALSE)</f>
        <v>#REF!</v>
      </c>
    </row>
    <row r="62" spans="1:9" ht="14.45" customHeight="1" x14ac:dyDescent="0.3">
      <c r="A62" s="17" t="str">
        <f t="shared" si="0"/>
        <v>LLB325</v>
      </c>
      <c r="B62" s="5" t="s">
        <v>170</v>
      </c>
      <c r="C62" s="5" t="s">
        <v>10</v>
      </c>
      <c r="D62" s="15" t="s">
        <v>163</v>
      </c>
      <c r="E62" s="5" t="s">
        <v>201</v>
      </c>
      <c r="F62" s="3" t="s">
        <v>202</v>
      </c>
      <c r="G62" s="5" t="s">
        <v>37</v>
      </c>
      <c r="H62" s="5" t="s">
        <v>42</v>
      </c>
      <c r="I62" s="3" t="e">
        <f>VLOOKUP(E62,#REF!,3,FALSE)</f>
        <v>#REF!</v>
      </c>
    </row>
    <row r="63" spans="1:9" ht="14.45" customHeight="1" x14ac:dyDescent="0.3">
      <c r="A63" s="17" t="str">
        <f t="shared" si="0"/>
        <v>LLB125</v>
      </c>
      <c r="B63" s="5" t="s">
        <v>170</v>
      </c>
      <c r="C63" s="5" t="s">
        <v>10</v>
      </c>
      <c r="D63" s="5" t="s">
        <v>34</v>
      </c>
      <c r="E63" s="5" t="s">
        <v>203</v>
      </c>
      <c r="F63" s="3" t="s">
        <v>204</v>
      </c>
      <c r="G63" s="5" t="s">
        <v>37</v>
      </c>
      <c r="H63" s="5" t="s">
        <v>38</v>
      </c>
      <c r="I63" s="3" t="e">
        <f>VLOOKUP(E63,#REF!,3,FALSE)</f>
        <v>#REF!</v>
      </c>
    </row>
    <row r="64" spans="1:9" ht="14.45" customHeight="1" x14ac:dyDescent="0.3">
      <c r="A64" s="17" t="str">
        <f t="shared" si="0"/>
        <v>BJC110</v>
      </c>
      <c r="B64" s="3" t="s">
        <v>170</v>
      </c>
      <c r="C64" s="3" t="s">
        <v>10</v>
      </c>
      <c r="D64" s="3" t="s">
        <v>205</v>
      </c>
      <c r="E64" s="3" t="s">
        <v>206</v>
      </c>
      <c r="F64" s="3" t="s">
        <v>207</v>
      </c>
      <c r="G64" s="3" t="s">
        <v>28</v>
      </c>
      <c r="H64" s="3" t="s">
        <v>46</v>
      </c>
      <c r="I64" s="3" t="e">
        <f>VLOOKUP(E64,#REF!,3,FALSE)</f>
        <v>#REF!</v>
      </c>
    </row>
    <row r="65" spans="1:9" ht="14.45" customHeight="1" x14ac:dyDescent="0.3">
      <c r="A65" s="17" t="str">
        <f t="shared" si="0"/>
        <v>HRM325</v>
      </c>
      <c r="B65" s="3" t="s">
        <v>170</v>
      </c>
      <c r="C65" s="3" t="s">
        <v>10</v>
      </c>
      <c r="D65" s="3" t="s">
        <v>21</v>
      </c>
      <c r="E65" s="3" t="s">
        <v>208</v>
      </c>
      <c r="F65" s="3" t="s">
        <v>209</v>
      </c>
      <c r="G65" s="3" t="s">
        <v>19</v>
      </c>
      <c r="H65" s="3" t="s">
        <v>55</v>
      </c>
      <c r="I65" s="3" t="e">
        <f>VLOOKUP(E65,#REF!,3,FALSE)</f>
        <v>#REF!</v>
      </c>
    </row>
    <row r="66" spans="1:9" ht="14.45" customHeight="1" x14ac:dyDescent="0.3">
      <c r="A66" s="17" t="str">
        <f t="shared" si="0"/>
        <v>BBA313</v>
      </c>
      <c r="B66" s="3" t="s">
        <v>170</v>
      </c>
      <c r="C66" s="3" t="s">
        <v>47</v>
      </c>
      <c r="D66" s="3" t="s">
        <v>210</v>
      </c>
      <c r="E66" s="3" t="s">
        <v>211</v>
      </c>
      <c r="F66" s="3" t="s">
        <v>212</v>
      </c>
      <c r="G66" s="3" t="s">
        <v>19</v>
      </c>
      <c r="H66" s="3" t="s">
        <v>83</v>
      </c>
      <c r="I66" s="3" t="e">
        <f>VLOOKUP(E66,#REF!,3,FALSE)</f>
        <v>#REF!</v>
      </c>
    </row>
    <row r="67" spans="1:9" ht="14.45" customHeight="1" x14ac:dyDescent="0.3">
      <c r="A67" s="17" t="str">
        <f t="shared" si="0"/>
        <v>HEC113</v>
      </c>
      <c r="B67" s="3" t="s">
        <v>170</v>
      </c>
      <c r="C67" s="3" t="s">
        <v>47</v>
      </c>
      <c r="D67" s="3" t="s">
        <v>213</v>
      </c>
      <c r="E67" s="3" t="s">
        <v>214</v>
      </c>
      <c r="F67" s="3" t="s">
        <v>215</v>
      </c>
      <c r="G67" s="3" t="s">
        <v>28</v>
      </c>
      <c r="H67" s="3" t="s">
        <v>112</v>
      </c>
      <c r="I67" s="3" t="e">
        <f>VLOOKUP(E67,#REF!,3,FALSE)</f>
        <v>#REF!</v>
      </c>
    </row>
    <row r="68" spans="1:9" ht="14.45" customHeight="1" x14ac:dyDescent="0.3">
      <c r="A68" s="17" t="str">
        <f t="shared" ref="A68:A131" si="1">E68</f>
        <v>BPH114</v>
      </c>
      <c r="B68" s="3" t="s">
        <v>216</v>
      </c>
      <c r="C68" s="3" t="s">
        <v>47</v>
      </c>
      <c r="D68" s="3" t="s">
        <v>217</v>
      </c>
      <c r="E68" s="3" t="s">
        <v>218</v>
      </c>
      <c r="F68" s="3" t="s">
        <v>219</v>
      </c>
      <c r="G68" s="3" t="s">
        <v>14</v>
      </c>
      <c r="H68" s="3" t="s">
        <v>220</v>
      </c>
      <c r="I68" s="3" t="e">
        <f>VLOOKUP(E68,#REF!,3,FALSE)</f>
        <v>#REF!</v>
      </c>
    </row>
    <row r="69" spans="1:9" ht="14.45" customHeight="1" x14ac:dyDescent="0.3">
      <c r="A69" s="17" t="str">
        <f t="shared" si="1"/>
        <v>BBA122/DBA122</v>
      </c>
      <c r="B69" s="3" t="s">
        <v>170</v>
      </c>
      <c r="C69" s="3" t="s">
        <v>47</v>
      </c>
      <c r="D69" s="3" t="s">
        <v>221</v>
      </c>
      <c r="E69" s="8" t="s">
        <v>222</v>
      </c>
      <c r="F69" s="8" t="s">
        <v>223</v>
      </c>
      <c r="G69" s="3" t="s">
        <v>19</v>
      </c>
      <c r="H69" s="3" t="s">
        <v>20</v>
      </c>
      <c r="I69" s="3" t="e">
        <f>VLOOKUP(E69,#REF!,3,FALSE)</f>
        <v>#REF!</v>
      </c>
    </row>
    <row r="70" spans="1:9" ht="14.45" customHeight="1" x14ac:dyDescent="0.3">
      <c r="A70" s="17" t="str">
        <f t="shared" si="1"/>
        <v>BIT111</v>
      </c>
      <c r="B70" s="3" t="s">
        <v>170</v>
      </c>
      <c r="C70" s="3" t="s">
        <v>47</v>
      </c>
      <c r="D70" s="3" t="s">
        <v>224</v>
      </c>
      <c r="E70" s="3" t="s">
        <v>225</v>
      </c>
      <c r="F70" s="3" t="s">
        <v>226</v>
      </c>
      <c r="G70" s="3" t="s">
        <v>14</v>
      </c>
      <c r="H70" s="3" t="s">
        <v>70</v>
      </c>
      <c r="I70" s="3" t="e">
        <f>VLOOKUP(E70,#REF!,3,FALSE)</f>
        <v>#REF!</v>
      </c>
    </row>
    <row r="71" spans="1:9" ht="14.45" customHeight="1" x14ac:dyDescent="0.3">
      <c r="A71" s="17" t="str">
        <f t="shared" si="1"/>
        <v>IRDS114</v>
      </c>
      <c r="B71" s="3" t="s">
        <v>170</v>
      </c>
      <c r="C71" s="3" t="s">
        <v>47</v>
      </c>
      <c r="D71" s="3" t="s">
        <v>25</v>
      </c>
      <c r="E71" s="3" t="s">
        <v>227</v>
      </c>
      <c r="F71" s="3" t="s">
        <v>228</v>
      </c>
      <c r="G71" s="3" t="s">
        <v>28</v>
      </c>
      <c r="H71" s="3" t="s">
        <v>65</v>
      </c>
      <c r="I71" s="3" t="e">
        <f>VLOOKUP(E71,#REF!,3,FALSE)</f>
        <v>#REF!</v>
      </c>
    </row>
    <row r="72" spans="1:9" ht="14.45" customHeight="1" x14ac:dyDescent="0.3">
      <c r="A72" s="17" t="str">
        <f t="shared" si="1"/>
        <v>HRM315</v>
      </c>
      <c r="B72" s="3" t="s">
        <v>170</v>
      </c>
      <c r="C72" s="3" t="s">
        <v>47</v>
      </c>
      <c r="D72" s="3" t="s">
        <v>229</v>
      </c>
      <c r="E72" s="3" t="s">
        <v>230</v>
      </c>
      <c r="F72" s="3" t="s">
        <v>231</v>
      </c>
      <c r="G72" s="3" t="s">
        <v>19</v>
      </c>
      <c r="H72" s="3" t="s">
        <v>24</v>
      </c>
      <c r="I72" s="3" t="e">
        <f>VLOOKUP(E72,#REF!,3,FALSE)</f>
        <v>#REF!</v>
      </c>
    </row>
    <row r="73" spans="1:9" ht="14.45" customHeight="1" x14ac:dyDescent="0.3">
      <c r="A73" s="17" t="str">
        <f t="shared" si="1"/>
        <v>BIT110</v>
      </c>
      <c r="B73" s="3" t="s">
        <v>170</v>
      </c>
      <c r="C73" s="3" t="s">
        <v>47</v>
      </c>
      <c r="D73" s="3" t="s">
        <v>57</v>
      </c>
      <c r="E73" s="3" t="s">
        <v>232</v>
      </c>
      <c r="F73" s="3" t="s">
        <v>233</v>
      </c>
      <c r="G73" s="3" t="s">
        <v>14</v>
      </c>
      <c r="H73" s="3" t="s">
        <v>33</v>
      </c>
      <c r="I73" s="3" t="e">
        <f>VLOOKUP(E73,#REF!,3,FALSE)</f>
        <v>#REF!</v>
      </c>
    </row>
    <row r="74" spans="1:9" ht="14.45" customHeight="1" x14ac:dyDescent="0.3">
      <c r="A74" s="17" t="str">
        <f t="shared" si="1"/>
        <v>HEC125</v>
      </c>
      <c r="B74" s="3" t="s">
        <v>170</v>
      </c>
      <c r="C74" s="3" t="s">
        <v>47</v>
      </c>
      <c r="D74" s="3" t="s">
        <v>234</v>
      </c>
      <c r="E74" s="3" t="s">
        <v>235</v>
      </c>
      <c r="F74" s="3" t="s">
        <v>236</v>
      </c>
      <c r="G74" s="3" t="s">
        <v>28</v>
      </c>
      <c r="H74" s="3" t="s">
        <v>237</v>
      </c>
      <c r="I74" s="3" t="e">
        <f>VLOOKUP(E74,#REF!,3,FALSE)</f>
        <v>#REF!</v>
      </c>
    </row>
    <row r="75" spans="1:9" ht="14.45" customHeight="1" x14ac:dyDescent="0.3">
      <c r="A75" s="17" t="str">
        <f t="shared" si="1"/>
        <v>BSE222</v>
      </c>
      <c r="B75" s="5" t="s">
        <v>170</v>
      </c>
      <c r="C75" s="5" t="s">
        <v>47</v>
      </c>
      <c r="D75" s="5" t="s">
        <v>238</v>
      </c>
      <c r="E75" s="5" t="s">
        <v>239</v>
      </c>
      <c r="F75" s="3" t="s">
        <v>240</v>
      </c>
      <c r="G75" s="5" t="s">
        <v>14</v>
      </c>
      <c r="H75" s="5" t="s">
        <v>241</v>
      </c>
      <c r="I75" s="3" t="e">
        <f>VLOOKUP(E75,#REF!,3,FALSE)</f>
        <v>#REF!</v>
      </c>
    </row>
    <row r="76" spans="1:9" ht="14.45" customHeight="1" x14ac:dyDescent="0.3">
      <c r="A76" s="17" t="str">
        <f t="shared" si="1"/>
        <v>BSE414</v>
      </c>
      <c r="B76" s="5" t="s">
        <v>170</v>
      </c>
      <c r="C76" s="3" t="s">
        <v>47</v>
      </c>
      <c r="D76" s="5" t="s">
        <v>156</v>
      </c>
      <c r="E76" s="5" t="s">
        <v>242</v>
      </c>
      <c r="F76" s="5" t="s">
        <v>243</v>
      </c>
      <c r="G76" s="5" t="s">
        <v>14</v>
      </c>
      <c r="H76" s="5" t="s">
        <v>61</v>
      </c>
      <c r="I76" s="5" t="e">
        <f>VLOOKUP(E76,#REF!,3,FALSE)</f>
        <v>#REF!</v>
      </c>
    </row>
    <row r="77" spans="1:9" ht="14.45" customHeight="1" x14ac:dyDescent="0.3">
      <c r="A77" s="17" t="str">
        <f t="shared" si="1"/>
        <v>COM324</v>
      </c>
      <c r="B77" s="3" t="s">
        <v>170</v>
      </c>
      <c r="C77" s="3" t="s">
        <v>96</v>
      </c>
      <c r="D77" s="3" t="s">
        <v>58</v>
      </c>
      <c r="E77" s="3" t="s">
        <v>244</v>
      </c>
      <c r="F77" s="3" t="s">
        <v>245</v>
      </c>
      <c r="G77" s="3" t="s">
        <v>14</v>
      </c>
      <c r="H77" s="3" t="s">
        <v>61</v>
      </c>
      <c r="I77" s="3" t="e">
        <f>VLOOKUP(E77,#REF!,3,FALSE)</f>
        <v>#REF!</v>
      </c>
    </row>
    <row r="78" spans="1:9" ht="14.45" customHeight="1" x14ac:dyDescent="0.3">
      <c r="A78" s="17" t="str">
        <f t="shared" si="1"/>
        <v>FOA122</v>
      </c>
      <c r="B78" s="3" t="s">
        <v>170</v>
      </c>
      <c r="C78" s="3" t="s">
        <v>96</v>
      </c>
      <c r="D78" s="3" t="s">
        <v>234</v>
      </c>
      <c r="E78" s="3" t="s">
        <v>246</v>
      </c>
      <c r="F78" s="3" t="s">
        <v>247</v>
      </c>
      <c r="G78" s="3" t="s">
        <v>28</v>
      </c>
      <c r="H78" s="3" t="s">
        <v>112</v>
      </c>
      <c r="I78" s="3" t="e">
        <f>VLOOKUP(E78,#REF!,3,FALSE)</f>
        <v>#REF!</v>
      </c>
    </row>
    <row r="79" spans="1:9" ht="14.45" customHeight="1" x14ac:dyDescent="0.3">
      <c r="A79" s="17" t="str">
        <f t="shared" si="1"/>
        <v>DBA221</v>
      </c>
      <c r="B79" s="3" t="s">
        <v>170</v>
      </c>
      <c r="C79" s="3" t="s">
        <v>96</v>
      </c>
      <c r="D79" s="3" t="s">
        <v>248</v>
      </c>
      <c r="E79" s="3" t="s">
        <v>249</v>
      </c>
      <c r="F79" s="3" t="s">
        <v>250</v>
      </c>
      <c r="G79" s="3" t="s">
        <v>19</v>
      </c>
      <c r="H79" s="3" t="s">
        <v>55</v>
      </c>
      <c r="I79" s="3" t="e">
        <f>VLOOKUP(E79,#REF!,3,FALSE)</f>
        <v>#REF!</v>
      </c>
    </row>
    <row r="80" spans="1:9" ht="14.45" customHeight="1" x14ac:dyDescent="0.3">
      <c r="A80" s="17" t="str">
        <f t="shared" si="1"/>
        <v>BBF222</v>
      </c>
      <c r="B80" s="3" t="s">
        <v>170</v>
      </c>
      <c r="C80" s="3" t="s">
        <v>96</v>
      </c>
      <c r="D80" s="5" t="s">
        <v>251</v>
      </c>
      <c r="E80" s="3" t="s">
        <v>252</v>
      </c>
      <c r="F80" s="3" t="s">
        <v>253</v>
      </c>
      <c r="G80" s="3" t="s">
        <v>19</v>
      </c>
      <c r="H80" s="3" t="s">
        <v>237</v>
      </c>
      <c r="I80" s="3" t="e">
        <f>VLOOKUP(E80,#REF!,3,FALSE)</f>
        <v>#REF!</v>
      </c>
    </row>
    <row r="81" spans="1:9" ht="14.45" customHeight="1" x14ac:dyDescent="0.3">
      <c r="A81" s="17" t="str">
        <f t="shared" si="1"/>
        <v>IRDS316</v>
      </c>
      <c r="B81" s="3" t="s">
        <v>170</v>
      </c>
      <c r="C81" s="3" t="s">
        <v>96</v>
      </c>
      <c r="D81" s="5" t="s">
        <v>76</v>
      </c>
      <c r="E81" s="3" t="s">
        <v>254</v>
      </c>
      <c r="F81" s="3" t="s">
        <v>255</v>
      </c>
      <c r="G81" s="3" t="s">
        <v>28</v>
      </c>
      <c r="H81" s="3" t="s">
        <v>29</v>
      </c>
      <c r="I81" s="3" t="e">
        <f>VLOOKUP(E81,#REF!,3,FALSE)</f>
        <v>#REF!</v>
      </c>
    </row>
    <row r="82" spans="1:9" ht="14.45" customHeight="1" x14ac:dyDescent="0.3">
      <c r="A82" s="17" t="str">
        <f t="shared" si="1"/>
        <v>BBA322</v>
      </c>
      <c r="B82" s="3" t="s">
        <v>170</v>
      </c>
      <c r="C82" s="3" t="s">
        <v>96</v>
      </c>
      <c r="D82" s="3" t="s">
        <v>256</v>
      </c>
      <c r="E82" s="3" t="s">
        <v>257</v>
      </c>
      <c r="F82" s="3" t="s">
        <v>258</v>
      </c>
      <c r="G82" s="3" t="s">
        <v>19</v>
      </c>
      <c r="H82" s="3" t="s">
        <v>83</v>
      </c>
      <c r="I82" s="3" t="e">
        <f>VLOOKUP(E82,#REF!,3,FALSE)</f>
        <v>#REF!</v>
      </c>
    </row>
    <row r="83" spans="1:9" ht="14.45" customHeight="1" x14ac:dyDescent="0.3">
      <c r="A83" s="17" t="str">
        <f t="shared" si="1"/>
        <v>FOU114</v>
      </c>
      <c r="B83" s="3" t="s">
        <v>170</v>
      </c>
      <c r="C83" s="3" t="s">
        <v>96</v>
      </c>
      <c r="D83" s="5" t="s">
        <v>43</v>
      </c>
      <c r="E83" s="3" t="s">
        <v>259</v>
      </c>
      <c r="F83" s="3" t="s">
        <v>260</v>
      </c>
      <c r="G83" s="3" t="s">
        <v>28</v>
      </c>
      <c r="H83" s="3" t="s">
        <v>46</v>
      </c>
      <c r="I83" s="3" t="e">
        <f>VLOOKUP(E83,#REF!,3,FALSE)</f>
        <v>#REF!</v>
      </c>
    </row>
    <row r="84" spans="1:9" ht="14.45" customHeight="1" x14ac:dyDescent="0.3">
      <c r="A84" s="17" t="str">
        <f t="shared" si="1"/>
        <v>BIT110</v>
      </c>
      <c r="B84" s="3" t="s">
        <v>170</v>
      </c>
      <c r="C84" s="3" t="s">
        <v>96</v>
      </c>
      <c r="D84" s="3" t="s">
        <v>261</v>
      </c>
      <c r="E84" s="3" t="s">
        <v>232</v>
      </c>
      <c r="F84" s="3" t="s">
        <v>233</v>
      </c>
      <c r="G84" s="3" t="s">
        <v>14</v>
      </c>
      <c r="H84" s="3" t="s">
        <v>33</v>
      </c>
      <c r="I84" s="3" t="e">
        <f>VLOOKUP(E84,#REF!,3,FALSE)</f>
        <v>#REF!</v>
      </c>
    </row>
    <row r="85" spans="1:9" ht="14.45" customHeight="1" x14ac:dyDescent="0.3">
      <c r="A85" s="17" t="str">
        <f t="shared" si="1"/>
        <v>BBA315</v>
      </c>
      <c r="B85" s="3" t="s">
        <v>170</v>
      </c>
      <c r="C85" s="3" t="s">
        <v>96</v>
      </c>
      <c r="D85" s="5" t="s">
        <v>210</v>
      </c>
      <c r="E85" s="3" t="s">
        <v>262</v>
      </c>
      <c r="F85" s="3" t="s">
        <v>263</v>
      </c>
      <c r="G85" s="3" t="s">
        <v>19</v>
      </c>
      <c r="H85" s="3" t="s">
        <v>24</v>
      </c>
      <c r="I85" s="3" t="e">
        <f>VLOOKUP(E85,#REF!,3,FALSE)</f>
        <v>#REF!</v>
      </c>
    </row>
    <row r="86" spans="1:9" ht="14.45" customHeight="1" x14ac:dyDescent="0.3">
      <c r="A86" s="17" t="str">
        <f t="shared" si="1"/>
        <v>COM113</v>
      </c>
      <c r="B86" s="3" t="s">
        <v>170</v>
      </c>
      <c r="C86" s="3" t="s">
        <v>96</v>
      </c>
      <c r="D86" s="3" t="s">
        <v>264</v>
      </c>
      <c r="E86" s="3" t="s">
        <v>265</v>
      </c>
      <c r="F86" s="3" t="s">
        <v>266</v>
      </c>
      <c r="G86" s="3" t="s">
        <v>14</v>
      </c>
      <c r="H86" s="3" t="s">
        <v>267</v>
      </c>
      <c r="I86" s="3" t="e">
        <f>VLOOKUP(E86,#REF!,3,FALSE)</f>
        <v>#REF!</v>
      </c>
    </row>
    <row r="87" spans="1:9" ht="14.45" customHeight="1" x14ac:dyDescent="0.3">
      <c r="A87" s="17" t="str">
        <f t="shared" si="1"/>
        <v>BSE321</v>
      </c>
      <c r="B87" s="5" t="s">
        <v>170</v>
      </c>
      <c r="C87" s="5" t="s">
        <v>96</v>
      </c>
      <c r="D87" s="5" t="s">
        <v>156</v>
      </c>
      <c r="E87" s="5" t="s">
        <v>268</v>
      </c>
      <c r="F87" s="5" t="s">
        <v>269</v>
      </c>
      <c r="G87" s="5" t="s">
        <v>14</v>
      </c>
      <c r="H87" s="5" t="s">
        <v>241</v>
      </c>
      <c r="I87" s="5" t="e">
        <f>VLOOKUP(E87,#REF!,3,FALSE)</f>
        <v>#REF!</v>
      </c>
    </row>
    <row r="88" spans="1:9" ht="14.45" customHeight="1" x14ac:dyDescent="0.3">
      <c r="A88" s="17" t="str">
        <f t="shared" si="1"/>
        <v>LLB324</v>
      </c>
      <c r="B88" s="5" t="s">
        <v>170</v>
      </c>
      <c r="C88" s="5" t="s">
        <v>119</v>
      </c>
      <c r="D88" s="15" t="s">
        <v>163</v>
      </c>
      <c r="E88" s="5" t="s">
        <v>270</v>
      </c>
      <c r="F88" s="3" t="s">
        <v>271</v>
      </c>
      <c r="G88" s="5" t="s">
        <v>37</v>
      </c>
      <c r="H88" s="5" t="s">
        <v>42</v>
      </c>
      <c r="I88" s="3" t="e">
        <f>VLOOKUP(E88,#REF!,3,FALSE)</f>
        <v>#REF!</v>
      </c>
    </row>
    <row r="89" spans="1:9" ht="14.45" customHeight="1" x14ac:dyDescent="0.3">
      <c r="A89" s="17" t="str">
        <f t="shared" si="1"/>
        <v>LLB122</v>
      </c>
      <c r="B89" s="5" t="s">
        <v>170</v>
      </c>
      <c r="C89" s="5" t="s">
        <v>119</v>
      </c>
      <c r="D89" s="5" t="s">
        <v>34</v>
      </c>
      <c r="E89" s="5" t="s">
        <v>272</v>
      </c>
      <c r="F89" s="3" t="s">
        <v>273</v>
      </c>
      <c r="G89" s="5" t="s">
        <v>37</v>
      </c>
      <c r="H89" s="5" t="s">
        <v>38</v>
      </c>
      <c r="I89" s="3" t="e">
        <f>VLOOKUP(E89,#REF!,3,FALSE)</f>
        <v>#REF!</v>
      </c>
    </row>
    <row r="90" spans="1:9" ht="14.45" customHeight="1" x14ac:dyDescent="0.3">
      <c r="A90" s="17" t="str">
        <f t="shared" si="1"/>
        <v>LLB312</v>
      </c>
      <c r="B90" s="5" t="s">
        <v>170</v>
      </c>
      <c r="C90" s="5" t="s">
        <v>119</v>
      </c>
      <c r="D90" s="5" t="s">
        <v>180</v>
      </c>
      <c r="E90" s="5" t="s">
        <v>274</v>
      </c>
      <c r="F90" s="3" t="s">
        <v>275</v>
      </c>
      <c r="G90" s="5" t="s">
        <v>37</v>
      </c>
      <c r="H90" s="5" t="s">
        <v>123</v>
      </c>
      <c r="I90" s="3" t="e">
        <f>VLOOKUP(E90,#REF!,3,FALSE)</f>
        <v>#REF!</v>
      </c>
    </row>
    <row r="91" spans="1:9" ht="14.45" customHeight="1" x14ac:dyDescent="0.3">
      <c r="A91" s="17" t="str">
        <f t="shared" si="1"/>
        <v>LLB426</v>
      </c>
      <c r="B91" s="5" t="s">
        <v>9</v>
      </c>
      <c r="C91" s="5" t="s">
        <v>119</v>
      </c>
      <c r="D91" s="15" t="s">
        <v>160</v>
      </c>
      <c r="E91" s="5" t="s">
        <v>183</v>
      </c>
      <c r="F91" s="3" t="s">
        <v>184</v>
      </c>
      <c r="G91" s="5" t="s">
        <v>37</v>
      </c>
      <c r="H91" s="5" t="s">
        <v>136</v>
      </c>
      <c r="I91" s="3" t="e">
        <f>VLOOKUP(E91,#REF!,3,FALSE)</f>
        <v>#REF!</v>
      </c>
    </row>
    <row r="92" spans="1:9" ht="14.45" customHeight="1" x14ac:dyDescent="0.3">
      <c r="A92" s="17" t="str">
        <f t="shared" si="1"/>
        <v>PLM313</v>
      </c>
      <c r="B92" s="3" t="s">
        <v>170</v>
      </c>
      <c r="C92" s="3" t="s">
        <v>140</v>
      </c>
      <c r="D92" s="3" t="s">
        <v>276</v>
      </c>
      <c r="E92" s="3" t="s">
        <v>277</v>
      </c>
      <c r="F92" s="3" t="s">
        <v>278</v>
      </c>
      <c r="G92" s="3" t="s">
        <v>19</v>
      </c>
      <c r="H92" s="3" t="s">
        <v>79</v>
      </c>
      <c r="I92" s="3" t="e">
        <f>VLOOKUP(E92,#REF!,3,FALSE)</f>
        <v>#REF!</v>
      </c>
    </row>
    <row r="93" spans="1:9" ht="14.45" customHeight="1" x14ac:dyDescent="0.3">
      <c r="A93" s="17" t="str">
        <f t="shared" si="1"/>
        <v>LLB225</v>
      </c>
      <c r="B93" s="3" t="s">
        <v>170</v>
      </c>
      <c r="C93" s="3" t="s">
        <v>140</v>
      </c>
      <c r="D93" s="3" t="s">
        <v>129</v>
      </c>
      <c r="E93" s="3" t="s">
        <v>279</v>
      </c>
      <c r="F93" s="3" t="s">
        <v>280</v>
      </c>
      <c r="G93" s="3" t="s">
        <v>37</v>
      </c>
      <c r="H93" s="3" t="s">
        <v>42</v>
      </c>
      <c r="I93" s="3" t="e">
        <f>VLOOKUP(E93,#REF!,3,FALSE)</f>
        <v>#REF!</v>
      </c>
    </row>
    <row r="94" spans="1:9" ht="14.45" customHeight="1" x14ac:dyDescent="0.3">
      <c r="A94" s="17" t="str">
        <f t="shared" si="1"/>
        <v>EHS214</v>
      </c>
      <c r="B94" s="3" t="s">
        <v>170</v>
      </c>
      <c r="C94" s="3" t="s">
        <v>140</v>
      </c>
      <c r="D94" s="3" t="s">
        <v>281</v>
      </c>
      <c r="E94" s="3" t="s">
        <v>282</v>
      </c>
      <c r="F94" s="3" t="s">
        <v>283</v>
      </c>
      <c r="G94" s="3" t="s">
        <v>14</v>
      </c>
      <c r="H94" s="3" t="s">
        <v>220</v>
      </c>
      <c r="I94" s="3" t="e">
        <f>VLOOKUP(E94,#REF!,3,FALSE)</f>
        <v>#REF!</v>
      </c>
    </row>
    <row r="95" spans="1:9" ht="14.45" customHeight="1" x14ac:dyDescent="0.3">
      <c r="A95" s="17" t="str">
        <f t="shared" si="1"/>
        <v>BAC327</v>
      </c>
      <c r="B95" s="3" t="s">
        <v>170</v>
      </c>
      <c r="C95" s="3" t="s">
        <v>140</v>
      </c>
      <c r="D95" s="3" t="s">
        <v>284</v>
      </c>
      <c r="E95" s="3" t="s">
        <v>285</v>
      </c>
      <c r="F95" s="3" t="s">
        <v>286</v>
      </c>
      <c r="G95" s="3" t="s">
        <v>19</v>
      </c>
      <c r="H95" s="3" t="s">
        <v>287</v>
      </c>
      <c r="I95" s="3" t="e">
        <f>VLOOKUP(E95,#REF!,3,FALSE)</f>
        <v>#REF!</v>
      </c>
    </row>
    <row r="96" spans="1:9" ht="14.45" customHeight="1" x14ac:dyDescent="0.3">
      <c r="A96" s="17" t="str">
        <f t="shared" si="1"/>
        <v>IRDS313</v>
      </c>
      <c r="B96" s="3" t="s">
        <v>170</v>
      </c>
      <c r="C96" s="3" t="s">
        <v>140</v>
      </c>
      <c r="D96" s="3" t="s">
        <v>76</v>
      </c>
      <c r="E96" s="3" t="s">
        <v>288</v>
      </c>
      <c r="F96" s="3" t="s">
        <v>289</v>
      </c>
      <c r="G96" s="3" t="s">
        <v>28</v>
      </c>
      <c r="H96" s="3" t="s">
        <v>29</v>
      </c>
      <c r="I96" s="3" t="e">
        <f>VLOOKUP(E96,#REF!,3,FALSE)</f>
        <v>#REF!</v>
      </c>
    </row>
    <row r="97" spans="1:9" ht="14.45" customHeight="1" x14ac:dyDescent="0.3">
      <c r="A97" s="17" t="str">
        <f t="shared" si="1"/>
        <v>BIT215</v>
      </c>
      <c r="B97" s="3" t="s">
        <v>170</v>
      </c>
      <c r="C97" s="3" t="s">
        <v>140</v>
      </c>
      <c r="D97" s="3" t="s">
        <v>290</v>
      </c>
      <c r="E97" s="3" t="s">
        <v>291</v>
      </c>
      <c r="F97" s="3" t="s">
        <v>292</v>
      </c>
      <c r="G97" s="3" t="s">
        <v>14</v>
      </c>
      <c r="H97" s="3" t="s">
        <v>33</v>
      </c>
      <c r="I97" s="3" t="e">
        <f>VLOOKUP(E97,#REF!,3,FALSE)</f>
        <v>#REF!</v>
      </c>
    </row>
    <row r="98" spans="1:9" ht="14.45" customHeight="1" x14ac:dyDescent="0.3">
      <c r="A98" s="17" t="str">
        <f t="shared" si="1"/>
        <v>LLB322</v>
      </c>
      <c r="B98" s="5" t="s">
        <v>170</v>
      </c>
      <c r="C98" s="5" t="s">
        <v>159</v>
      </c>
      <c r="D98" s="15" t="s">
        <v>163</v>
      </c>
      <c r="E98" s="5" t="s">
        <v>166</v>
      </c>
      <c r="F98" s="3" t="s">
        <v>167</v>
      </c>
      <c r="G98" s="5" t="s">
        <v>37</v>
      </c>
      <c r="H98" s="5" t="s">
        <v>42</v>
      </c>
      <c r="I98" s="3" t="e">
        <f>VLOOKUP(E98,#REF!,3,FALSE)</f>
        <v>#REF!</v>
      </c>
    </row>
    <row r="99" spans="1:9" ht="14.45" customHeight="1" x14ac:dyDescent="0.3">
      <c r="A99" s="17" t="str">
        <f t="shared" si="1"/>
        <v>LLB424</v>
      </c>
      <c r="B99" s="5" t="s">
        <v>170</v>
      </c>
      <c r="C99" s="5" t="s">
        <v>128</v>
      </c>
      <c r="D99" s="15" t="s">
        <v>160</v>
      </c>
      <c r="E99" s="5" t="s">
        <v>161</v>
      </c>
      <c r="F99" s="3" t="s">
        <v>162</v>
      </c>
      <c r="G99" s="5" t="s">
        <v>37</v>
      </c>
      <c r="H99" s="5" t="s">
        <v>136</v>
      </c>
      <c r="I99" s="3" t="e">
        <f>VLOOKUP(E99,#REF!,3,FALSE)</f>
        <v>#REF!</v>
      </c>
    </row>
    <row r="100" spans="1:9" ht="14.45" customHeight="1" x14ac:dyDescent="0.3">
      <c r="A100" s="17" t="str">
        <f t="shared" si="1"/>
        <v>LLB224</v>
      </c>
      <c r="B100" s="5" t="s">
        <v>56</v>
      </c>
      <c r="C100" s="5" t="s">
        <v>128</v>
      </c>
      <c r="D100" s="5" t="s">
        <v>129</v>
      </c>
      <c r="E100" s="5" t="s">
        <v>293</v>
      </c>
      <c r="F100" s="3" t="s">
        <v>294</v>
      </c>
      <c r="G100" s="5" t="s">
        <v>37</v>
      </c>
      <c r="H100" s="5" t="s">
        <v>123</v>
      </c>
      <c r="I100" s="3" t="e">
        <f>VLOOKUP(E100,#REF!,3,FALSE)</f>
        <v>#REF!</v>
      </c>
    </row>
    <row r="101" spans="1:9" ht="14.45" customHeight="1" x14ac:dyDescent="0.3">
      <c r="A101" s="17" t="str">
        <f t="shared" si="1"/>
        <v>LLB416</v>
      </c>
      <c r="B101" s="5" t="s">
        <v>170</v>
      </c>
      <c r="C101" s="5" t="s">
        <v>128</v>
      </c>
      <c r="D101" s="5" t="s">
        <v>133</v>
      </c>
      <c r="E101" s="5" t="s">
        <v>295</v>
      </c>
      <c r="F101" s="3" t="s">
        <v>296</v>
      </c>
      <c r="G101" s="5" t="s">
        <v>37</v>
      </c>
      <c r="H101" s="5" t="s">
        <v>42</v>
      </c>
      <c r="I101" s="3" t="e">
        <f>VLOOKUP(E101,#REF!,3,FALSE)</f>
        <v>#REF!</v>
      </c>
    </row>
    <row r="102" spans="1:9" ht="14.45" customHeight="1" x14ac:dyDescent="0.3">
      <c r="A102" s="17" t="str">
        <f t="shared" si="1"/>
        <v>LLB121</v>
      </c>
      <c r="B102" s="5" t="s">
        <v>170</v>
      </c>
      <c r="C102" s="5" t="s">
        <v>128</v>
      </c>
      <c r="D102" s="5" t="s">
        <v>34</v>
      </c>
      <c r="E102" s="5" t="s">
        <v>35</v>
      </c>
      <c r="F102" s="3" t="s">
        <v>36</v>
      </c>
      <c r="G102" s="5" t="s">
        <v>37</v>
      </c>
      <c r="H102" s="5" t="s">
        <v>38</v>
      </c>
      <c r="I102" s="3" t="e">
        <f>VLOOKUP(E102,#REF!,3,FALSE)</f>
        <v>#REF!</v>
      </c>
    </row>
    <row r="103" spans="1:9" ht="14.45" customHeight="1" x14ac:dyDescent="0.3">
      <c r="A103" s="17" t="str">
        <f t="shared" si="1"/>
        <v>LLB314</v>
      </c>
      <c r="B103" s="5" t="s">
        <v>170</v>
      </c>
      <c r="C103" s="5" t="s">
        <v>128</v>
      </c>
      <c r="D103" s="5" t="s">
        <v>180</v>
      </c>
      <c r="E103" s="5" t="s">
        <v>297</v>
      </c>
      <c r="F103" s="3" t="s">
        <v>298</v>
      </c>
      <c r="G103" s="5" t="s">
        <v>37</v>
      </c>
      <c r="H103" s="5" t="s">
        <v>132</v>
      </c>
      <c r="I103" s="3" t="e">
        <f>VLOOKUP(E103,#REF!,3,FALSE)</f>
        <v>#REF!</v>
      </c>
    </row>
    <row r="104" spans="1:9" ht="14.45" customHeight="1" x14ac:dyDescent="0.3">
      <c r="A104" s="17" t="str">
        <f t="shared" si="1"/>
        <v>LLB212</v>
      </c>
      <c r="B104" s="5" t="s">
        <v>170</v>
      </c>
      <c r="C104" s="5" t="s">
        <v>128</v>
      </c>
      <c r="D104" s="5" t="s">
        <v>39</v>
      </c>
      <c r="E104" s="5" t="s">
        <v>175</v>
      </c>
      <c r="F104" s="3" t="s">
        <v>176</v>
      </c>
      <c r="G104" s="5" t="s">
        <v>37</v>
      </c>
      <c r="H104" s="5" t="s">
        <v>38</v>
      </c>
      <c r="I104" s="3" t="e">
        <f>VLOOKUP(E104,#REF!,3,FALSE)</f>
        <v>#REF!</v>
      </c>
    </row>
    <row r="105" spans="1:9" ht="14.45" customHeight="1" x14ac:dyDescent="0.3">
      <c r="A105" s="17" t="str">
        <f t="shared" si="1"/>
        <v>LLB323</v>
      </c>
      <c r="B105" s="5" t="s">
        <v>170</v>
      </c>
      <c r="C105" s="5" t="s">
        <v>299</v>
      </c>
      <c r="D105" s="15" t="s">
        <v>163</v>
      </c>
      <c r="E105" s="5" t="s">
        <v>300</v>
      </c>
      <c r="F105" s="3" t="s">
        <v>301</v>
      </c>
      <c r="G105" s="5" t="s">
        <v>37</v>
      </c>
      <c r="H105" s="5" t="s">
        <v>132</v>
      </c>
      <c r="I105" s="3" t="e">
        <f>VLOOKUP(E105,#REF!,3,FALSE)</f>
        <v>#REF!</v>
      </c>
    </row>
    <row r="106" spans="1:9" ht="14.45" customHeight="1" x14ac:dyDescent="0.3">
      <c r="A106" s="17" t="str">
        <f t="shared" si="1"/>
        <v>LLB315</v>
      </c>
      <c r="B106" s="5" t="s">
        <v>170</v>
      </c>
      <c r="C106" s="5" t="s">
        <v>177</v>
      </c>
      <c r="D106" s="5" t="s">
        <v>180</v>
      </c>
      <c r="E106" s="5" t="s">
        <v>302</v>
      </c>
      <c r="F106" s="3" t="s">
        <v>303</v>
      </c>
      <c r="G106" s="5" t="s">
        <v>37</v>
      </c>
      <c r="H106" s="5" t="s">
        <v>38</v>
      </c>
      <c r="I106" s="3" t="e">
        <f>VLOOKUP(E106,#REF!,3,FALSE)</f>
        <v>#REF!</v>
      </c>
    </row>
    <row r="107" spans="1:9" ht="14.45" customHeight="1" x14ac:dyDescent="0.3">
      <c r="A107" s="17" t="str">
        <f t="shared" si="1"/>
        <v>LLB422</v>
      </c>
      <c r="B107" s="5" t="s">
        <v>170</v>
      </c>
      <c r="C107" s="5" t="s">
        <v>177</v>
      </c>
      <c r="D107" s="3" t="s">
        <v>160</v>
      </c>
      <c r="E107" s="5" t="s">
        <v>304</v>
      </c>
      <c r="F107" s="3" t="s">
        <v>305</v>
      </c>
      <c r="G107" s="5" t="s">
        <v>37</v>
      </c>
      <c r="H107" s="5" t="s">
        <v>136</v>
      </c>
      <c r="I107" s="3" t="e">
        <f>VLOOKUP(E107,#REF!,3,FALSE)</f>
        <v>#REF!</v>
      </c>
    </row>
    <row r="108" spans="1:9" ht="14.45" customHeight="1" x14ac:dyDescent="0.3">
      <c r="A108" s="17" t="str">
        <f t="shared" si="1"/>
        <v>LLB214</v>
      </c>
      <c r="B108" s="5" t="s">
        <v>170</v>
      </c>
      <c r="C108" s="5" t="s">
        <v>177</v>
      </c>
      <c r="D108" s="5" t="s">
        <v>39</v>
      </c>
      <c r="E108" s="5" t="s">
        <v>306</v>
      </c>
      <c r="F108" s="3" t="s">
        <v>307</v>
      </c>
      <c r="G108" s="5" t="s">
        <v>37</v>
      </c>
      <c r="H108" s="5" t="s">
        <v>308</v>
      </c>
      <c r="I108" s="3" t="e">
        <f>VLOOKUP(E108,#REF!,3,FALSE)</f>
        <v>#REF!</v>
      </c>
    </row>
    <row r="109" spans="1:9" ht="14.45" customHeight="1" x14ac:dyDescent="0.3">
      <c r="A109" s="17" t="str">
        <f t="shared" si="1"/>
        <v>LLB221</v>
      </c>
      <c r="B109" s="5" t="s">
        <v>170</v>
      </c>
      <c r="C109" s="5" t="s">
        <v>177</v>
      </c>
      <c r="D109" s="5" t="s">
        <v>129</v>
      </c>
      <c r="E109" s="5" t="s">
        <v>309</v>
      </c>
      <c r="F109" s="3" t="s">
        <v>310</v>
      </c>
      <c r="G109" s="5" t="s">
        <v>37</v>
      </c>
      <c r="H109" s="5" t="s">
        <v>311</v>
      </c>
      <c r="I109" s="3" t="e">
        <f>VLOOKUP(E109,#REF!,3,FALSE)</f>
        <v>#REF!</v>
      </c>
    </row>
    <row r="110" spans="1:9" ht="14.45" customHeight="1" x14ac:dyDescent="0.3">
      <c r="A110" s="17" t="str">
        <f t="shared" si="1"/>
        <v>LLB412</v>
      </c>
      <c r="B110" s="5" t="s">
        <v>170</v>
      </c>
      <c r="C110" s="5" t="s">
        <v>177</v>
      </c>
      <c r="D110" s="5" t="s">
        <v>133</v>
      </c>
      <c r="E110" s="5" t="s">
        <v>134</v>
      </c>
      <c r="F110" s="3" t="s">
        <v>135</v>
      </c>
      <c r="G110" s="5" t="s">
        <v>37</v>
      </c>
      <c r="H110" s="5" t="s">
        <v>132</v>
      </c>
      <c r="I110" s="3" t="e">
        <f>VLOOKUP(E110,#REF!,3,FALSE)</f>
        <v>#REF!</v>
      </c>
    </row>
    <row r="111" spans="1:9" ht="14.45" customHeight="1" x14ac:dyDescent="0.3">
      <c r="A111" s="17" t="str">
        <f t="shared" si="1"/>
        <v>LLB225</v>
      </c>
      <c r="B111" s="3" t="s">
        <v>170</v>
      </c>
      <c r="C111" s="3" t="s">
        <v>312</v>
      </c>
      <c r="D111" s="3" t="s">
        <v>129</v>
      </c>
      <c r="E111" s="3" t="s">
        <v>279</v>
      </c>
      <c r="F111" s="3" t="s">
        <v>280</v>
      </c>
      <c r="G111" s="3" t="s">
        <v>37</v>
      </c>
      <c r="H111" s="3" t="s">
        <v>38</v>
      </c>
      <c r="I111" s="3" t="e">
        <f>VLOOKUP(E111,#REF!,3,FALSE)</f>
        <v>#REF!</v>
      </c>
    </row>
    <row r="112" spans="1:9" ht="14.45" customHeight="1" x14ac:dyDescent="0.3">
      <c r="A112" s="17" t="str">
        <f t="shared" si="1"/>
        <v>IRDS122/BPA225</v>
      </c>
      <c r="B112" s="3" t="s">
        <v>56</v>
      </c>
      <c r="C112" s="3" t="s">
        <v>10</v>
      </c>
      <c r="D112" s="3" t="s">
        <v>313</v>
      </c>
      <c r="E112" s="3" t="s">
        <v>314</v>
      </c>
      <c r="F112" s="3" t="s">
        <v>315</v>
      </c>
      <c r="G112" s="3" t="s">
        <v>28</v>
      </c>
      <c r="H112" s="3" t="s">
        <v>79</v>
      </c>
      <c r="I112" s="3" t="e">
        <f>VLOOKUP(E112,#REF!,3,FALSE)</f>
        <v>#REF!</v>
      </c>
    </row>
    <row r="113" spans="1:9" ht="14.45" customHeight="1" x14ac:dyDescent="0.3">
      <c r="A113" s="17" t="str">
        <f t="shared" si="1"/>
        <v>BBA113/DBA113</v>
      </c>
      <c r="B113" s="3" t="s">
        <v>56</v>
      </c>
      <c r="C113" s="3" t="s">
        <v>10</v>
      </c>
      <c r="D113" s="3" t="s">
        <v>57</v>
      </c>
      <c r="E113" s="3" t="s">
        <v>316</v>
      </c>
      <c r="F113" s="3" t="s">
        <v>317</v>
      </c>
      <c r="G113" s="3" t="s">
        <v>19</v>
      </c>
      <c r="H113" s="3" t="s">
        <v>237</v>
      </c>
      <c r="I113" s="3" t="e">
        <f>VLOOKUP(E113,#REF!,3,FALSE)</f>
        <v>#REF!</v>
      </c>
    </row>
    <row r="114" spans="1:9" ht="16.5" customHeight="1" x14ac:dyDescent="0.3">
      <c r="A114" s="17" t="str">
        <f t="shared" si="1"/>
        <v>BSE111</v>
      </c>
      <c r="B114" s="3" t="s">
        <v>56</v>
      </c>
      <c r="C114" s="3" t="s">
        <v>10</v>
      </c>
      <c r="D114" s="3" t="s">
        <v>318</v>
      </c>
      <c r="E114" s="3" t="s">
        <v>319</v>
      </c>
      <c r="F114" s="3" t="s">
        <v>320</v>
      </c>
      <c r="G114" s="3" t="s">
        <v>14</v>
      </c>
      <c r="H114" s="3" t="s">
        <v>70</v>
      </c>
      <c r="I114" s="3" t="e">
        <f>VLOOKUP(E114,#REF!,3,FALSE)</f>
        <v>#REF!</v>
      </c>
    </row>
    <row r="115" spans="1:9" ht="14.45" customHeight="1" x14ac:dyDescent="0.3">
      <c r="A115" s="17" t="str">
        <f t="shared" si="1"/>
        <v>FOU113</v>
      </c>
      <c r="B115" s="3" t="s">
        <v>56</v>
      </c>
      <c r="C115" s="3" t="s">
        <v>10</v>
      </c>
      <c r="D115" s="3" t="s">
        <v>234</v>
      </c>
      <c r="E115" s="3" t="s">
        <v>321</v>
      </c>
      <c r="F115" s="3" t="s">
        <v>322</v>
      </c>
      <c r="G115" s="3" t="s">
        <v>28</v>
      </c>
      <c r="H115" s="3" t="s">
        <v>51</v>
      </c>
      <c r="I115" s="3" t="e">
        <f>VLOOKUP(E115,#REF!,3,FALSE)</f>
        <v>#REF!</v>
      </c>
    </row>
    <row r="116" spans="1:9" ht="14.45" customHeight="1" x14ac:dyDescent="0.3">
      <c r="A116" s="17" t="str">
        <f t="shared" si="1"/>
        <v>DBA222</v>
      </c>
      <c r="B116" s="3" t="s">
        <v>56</v>
      </c>
      <c r="C116" s="3" t="s">
        <v>10</v>
      </c>
      <c r="D116" s="3" t="s">
        <v>248</v>
      </c>
      <c r="E116" s="3" t="s">
        <v>323</v>
      </c>
      <c r="F116" s="3" t="s">
        <v>253</v>
      </c>
      <c r="G116" s="3" t="s">
        <v>19</v>
      </c>
      <c r="H116" s="3" t="s">
        <v>55</v>
      </c>
      <c r="I116" s="3" t="e">
        <f>VLOOKUP(E116,#REF!,3,FALSE)</f>
        <v>#REF!</v>
      </c>
    </row>
    <row r="117" spans="1:9" ht="14.45" customHeight="1" x14ac:dyDescent="0.3">
      <c r="A117" s="17" t="str">
        <f t="shared" si="1"/>
        <v>BBA116/DBA116</v>
      </c>
      <c r="B117" s="3" t="s">
        <v>56</v>
      </c>
      <c r="C117" s="3" t="s">
        <v>10</v>
      </c>
      <c r="D117" s="3" t="s">
        <v>324</v>
      </c>
      <c r="E117" s="3" t="s">
        <v>192</v>
      </c>
      <c r="F117" s="3" t="s">
        <v>193</v>
      </c>
      <c r="G117" s="3" t="s">
        <v>19</v>
      </c>
      <c r="H117" s="3" t="s">
        <v>20</v>
      </c>
      <c r="I117" s="3" t="e">
        <f>VLOOKUP(E117,#REF!,3,FALSE)</f>
        <v>#REF!</v>
      </c>
    </row>
    <row r="118" spans="1:9" ht="14.45" customHeight="1" x14ac:dyDescent="0.3">
      <c r="A118" s="17" t="str">
        <f t="shared" si="1"/>
        <v>BPH324</v>
      </c>
      <c r="B118" s="3" t="s">
        <v>56</v>
      </c>
      <c r="C118" s="3" t="s">
        <v>10</v>
      </c>
      <c r="D118" s="3" t="s">
        <v>325</v>
      </c>
      <c r="E118" s="3" t="s">
        <v>326</v>
      </c>
      <c r="F118" s="3" t="s">
        <v>327</v>
      </c>
      <c r="G118" s="3" t="s">
        <v>14</v>
      </c>
      <c r="H118" s="3" t="s">
        <v>220</v>
      </c>
      <c r="I118" s="3" t="e">
        <f>VLOOKUP(E118,#REF!,3,FALSE)</f>
        <v>#REF!</v>
      </c>
    </row>
    <row r="119" spans="1:9" ht="14.45" customHeight="1" x14ac:dyDescent="0.3">
      <c r="A119" s="17" t="str">
        <f t="shared" si="1"/>
        <v>BSE314</v>
      </c>
      <c r="B119" s="3" t="s">
        <v>56</v>
      </c>
      <c r="C119" s="3" t="s">
        <v>10</v>
      </c>
      <c r="D119" s="3" t="s">
        <v>328</v>
      </c>
      <c r="E119" s="3" t="s">
        <v>329</v>
      </c>
      <c r="F119" s="3" t="s">
        <v>330</v>
      </c>
      <c r="G119" s="3" t="s">
        <v>14</v>
      </c>
      <c r="H119" s="3" t="s">
        <v>61</v>
      </c>
      <c r="I119" s="3" t="e">
        <f>VLOOKUP(E119,#REF!,3,FALSE)</f>
        <v>#REF!</v>
      </c>
    </row>
    <row r="120" spans="1:9" ht="14.45" customHeight="1" x14ac:dyDescent="0.3">
      <c r="A120" s="17" t="str">
        <f t="shared" si="1"/>
        <v>BSE226</v>
      </c>
      <c r="B120" s="5" t="s">
        <v>56</v>
      </c>
      <c r="C120" s="3" t="s">
        <v>10</v>
      </c>
      <c r="D120" s="5" t="s">
        <v>238</v>
      </c>
      <c r="E120" s="5" t="s">
        <v>331</v>
      </c>
      <c r="F120" s="3" t="s">
        <v>332</v>
      </c>
      <c r="G120" s="5" t="s">
        <v>14</v>
      </c>
      <c r="H120" s="5" t="s">
        <v>15</v>
      </c>
      <c r="I120" s="3" t="e">
        <f>VLOOKUP(E120,#REF!,3,FALSE)</f>
        <v>#REF!</v>
      </c>
    </row>
    <row r="121" spans="1:9" ht="14.45" customHeight="1" x14ac:dyDescent="0.3">
      <c r="A121" s="17" t="str">
        <f t="shared" si="1"/>
        <v>LLB411</v>
      </c>
      <c r="B121" s="5" t="s">
        <v>56</v>
      </c>
      <c r="C121" s="5" t="s">
        <v>10</v>
      </c>
      <c r="D121" s="5" t="s">
        <v>133</v>
      </c>
      <c r="E121" s="5" t="s">
        <v>333</v>
      </c>
      <c r="F121" s="3" t="s">
        <v>334</v>
      </c>
      <c r="G121" s="5" t="s">
        <v>37</v>
      </c>
      <c r="H121" s="5" t="s">
        <v>136</v>
      </c>
      <c r="I121" s="3" t="e">
        <f>VLOOKUP(E121,#REF!,3,FALSE)</f>
        <v>#REF!</v>
      </c>
    </row>
    <row r="122" spans="1:9" ht="14.45" customHeight="1" x14ac:dyDescent="0.3">
      <c r="A122" s="17" t="str">
        <f t="shared" si="1"/>
        <v>LLB223</v>
      </c>
      <c r="B122" s="5" t="s">
        <v>56</v>
      </c>
      <c r="C122" s="5" t="s">
        <v>10</v>
      </c>
      <c r="D122" s="5" t="s">
        <v>129</v>
      </c>
      <c r="E122" s="5" t="s">
        <v>171</v>
      </c>
      <c r="F122" s="3" t="s">
        <v>172</v>
      </c>
      <c r="G122" s="5" t="s">
        <v>37</v>
      </c>
      <c r="H122" s="5" t="s">
        <v>42</v>
      </c>
      <c r="I122" s="3" t="e">
        <f>VLOOKUP(E122,#REF!,3,FALSE)</f>
        <v>#REF!</v>
      </c>
    </row>
    <row r="123" spans="1:9" ht="14.45" customHeight="1" x14ac:dyDescent="0.3">
      <c r="A123" s="17" t="str">
        <f t="shared" si="1"/>
        <v>LLB325</v>
      </c>
      <c r="B123" s="3" t="s">
        <v>56</v>
      </c>
      <c r="C123" s="5" t="s">
        <v>10</v>
      </c>
      <c r="D123" s="3" t="s">
        <v>163</v>
      </c>
      <c r="E123" s="3" t="s">
        <v>201</v>
      </c>
      <c r="F123" s="3" t="s">
        <v>202</v>
      </c>
      <c r="G123" s="3" t="s">
        <v>37</v>
      </c>
      <c r="H123" s="3" t="s">
        <v>42</v>
      </c>
      <c r="I123" s="3" t="e">
        <f>VLOOKUP(E123,#REF!,3,FALSE)</f>
        <v>#REF!</v>
      </c>
    </row>
    <row r="124" spans="1:9" ht="14.45" customHeight="1" x14ac:dyDescent="0.3">
      <c r="A124" s="17" t="str">
        <f t="shared" si="1"/>
        <v>LLB125</v>
      </c>
      <c r="B124" s="5" t="s">
        <v>56</v>
      </c>
      <c r="C124" s="5" t="s">
        <v>10</v>
      </c>
      <c r="D124" s="5" t="s">
        <v>34</v>
      </c>
      <c r="E124" s="5" t="s">
        <v>203</v>
      </c>
      <c r="F124" s="3" t="s">
        <v>204</v>
      </c>
      <c r="G124" s="5" t="s">
        <v>37</v>
      </c>
      <c r="H124" s="5" t="s">
        <v>38</v>
      </c>
      <c r="I124" s="3" t="e">
        <f>VLOOKUP(E124,#REF!,3,FALSE)</f>
        <v>#REF!</v>
      </c>
    </row>
    <row r="125" spans="1:9" ht="14.45" customHeight="1" x14ac:dyDescent="0.3">
      <c r="A125" s="17" t="str">
        <f t="shared" si="1"/>
        <v>LLB213</v>
      </c>
      <c r="B125" s="5" t="s">
        <v>66</v>
      </c>
      <c r="C125" s="5" t="s">
        <v>10</v>
      </c>
      <c r="D125" s="5" t="s">
        <v>39</v>
      </c>
      <c r="E125" s="5" t="s">
        <v>40</v>
      </c>
      <c r="F125" s="3" t="s">
        <v>41</v>
      </c>
      <c r="G125" s="5" t="s">
        <v>37</v>
      </c>
      <c r="H125" s="5" t="s">
        <v>38</v>
      </c>
      <c r="I125" s="3" t="e">
        <f>VLOOKUP(E125,#REF!,3,FALSE)</f>
        <v>#REF!</v>
      </c>
    </row>
    <row r="126" spans="1:9" ht="14.45" customHeight="1" x14ac:dyDescent="0.3">
      <c r="A126" s="17" t="str">
        <f t="shared" si="1"/>
        <v>BPH212</v>
      </c>
      <c r="B126" s="3" t="s">
        <v>56</v>
      </c>
      <c r="C126" s="3" t="s">
        <v>10</v>
      </c>
      <c r="D126" s="3" t="s">
        <v>217</v>
      </c>
      <c r="E126" s="3" t="s">
        <v>335</v>
      </c>
      <c r="F126" s="3" t="s">
        <v>336</v>
      </c>
      <c r="G126" s="3" t="s">
        <v>14</v>
      </c>
      <c r="H126" s="3" t="s">
        <v>29</v>
      </c>
      <c r="I126" s="3" t="e">
        <f>VLOOKUP(E126,#REF!,3,FALSE)</f>
        <v>#REF!</v>
      </c>
    </row>
    <row r="127" spans="1:9" ht="14.45" customHeight="1" x14ac:dyDescent="0.3">
      <c r="A127" s="17" t="str">
        <f t="shared" si="1"/>
        <v>DBA216</v>
      </c>
      <c r="B127" s="3" t="s">
        <v>56</v>
      </c>
      <c r="C127" s="3" t="s">
        <v>10</v>
      </c>
      <c r="D127" s="3" t="s">
        <v>337</v>
      </c>
      <c r="E127" s="3" t="s">
        <v>338</v>
      </c>
      <c r="F127" s="3" t="s">
        <v>339</v>
      </c>
      <c r="G127" s="3" t="s">
        <v>19</v>
      </c>
      <c r="H127" s="3" t="s">
        <v>87</v>
      </c>
      <c r="I127" s="3" t="e">
        <f>VLOOKUP(E127,#REF!,3,FALSE)</f>
        <v>#REF!</v>
      </c>
    </row>
    <row r="128" spans="1:9" ht="14.45" customHeight="1" x14ac:dyDescent="0.3">
      <c r="A128" s="17" t="str">
        <f t="shared" si="1"/>
        <v>BJC125</v>
      </c>
      <c r="B128" s="3" t="s">
        <v>56</v>
      </c>
      <c r="C128" s="3" t="s">
        <v>10</v>
      </c>
      <c r="D128" s="3" t="s">
        <v>113</v>
      </c>
      <c r="E128" s="3" t="s">
        <v>340</v>
      </c>
      <c r="F128" s="3" t="s">
        <v>341</v>
      </c>
      <c r="G128" s="3" t="s">
        <v>28</v>
      </c>
      <c r="H128" s="3" t="s">
        <v>103</v>
      </c>
      <c r="I128" s="3" t="e">
        <f>VLOOKUP(E128,#REF!,3,FALSE)</f>
        <v>#REF!</v>
      </c>
    </row>
    <row r="129" spans="1:9" ht="14.45" customHeight="1" x14ac:dyDescent="0.3">
      <c r="A129" s="17" t="str">
        <f t="shared" si="1"/>
        <v>BPA125/IRDS214</v>
      </c>
      <c r="B129" s="3" t="s">
        <v>56</v>
      </c>
      <c r="C129" s="3" t="s">
        <v>47</v>
      </c>
      <c r="D129" s="3" t="s">
        <v>342</v>
      </c>
      <c r="E129" s="3" t="s">
        <v>343</v>
      </c>
      <c r="F129" s="3" t="s">
        <v>344</v>
      </c>
      <c r="G129" s="3" t="s">
        <v>28</v>
      </c>
      <c r="H129" s="3" t="s">
        <v>79</v>
      </c>
      <c r="I129" s="3" t="e">
        <f>VLOOKUP(E129,#REF!,3,FALSE)</f>
        <v>#REF!</v>
      </c>
    </row>
    <row r="130" spans="1:9" ht="14.45" customHeight="1" x14ac:dyDescent="0.3">
      <c r="A130" s="17" t="str">
        <f t="shared" si="1"/>
        <v>BBA311/DBA127</v>
      </c>
      <c r="B130" s="3" t="s">
        <v>56</v>
      </c>
      <c r="C130" s="3" t="s">
        <v>47</v>
      </c>
      <c r="D130" s="3" t="s">
        <v>345</v>
      </c>
      <c r="E130" s="3" t="s">
        <v>346</v>
      </c>
      <c r="F130" s="3" t="s">
        <v>347</v>
      </c>
      <c r="G130" s="3" t="s">
        <v>19</v>
      </c>
      <c r="H130" s="3" t="s">
        <v>20</v>
      </c>
      <c r="I130" s="3" t="e">
        <f>VLOOKUP(E130,#REF!,3,FALSE)</f>
        <v>#REF!</v>
      </c>
    </row>
    <row r="131" spans="1:9" ht="14.45" customHeight="1" x14ac:dyDescent="0.3">
      <c r="A131" s="17" t="str">
        <f t="shared" si="1"/>
        <v>BIS313</v>
      </c>
      <c r="B131" s="3" t="s">
        <v>56</v>
      </c>
      <c r="C131" s="3" t="s">
        <v>47</v>
      </c>
      <c r="D131" s="3" t="s">
        <v>348</v>
      </c>
      <c r="E131" s="3" t="s">
        <v>349</v>
      </c>
      <c r="F131" s="3" t="s">
        <v>350</v>
      </c>
      <c r="G131" s="3" t="s">
        <v>14</v>
      </c>
      <c r="H131" s="3" t="s">
        <v>91</v>
      </c>
      <c r="I131" s="3" t="e">
        <f>VLOOKUP(E131,#REF!,3,FALSE)</f>
        <v>#REF!</v>
      </c>
    </row>
    <row r="132" spans="1:9" ht="14.45" customHeight="1" x14ac:dyDescent="0.3">
      <c r="A132" s="17" t="str">
        <f t="shared" ref="A132:A195" si="2">E132</f>
        <v>BJC225</v>
      </c>
      <c r="B132" s="3" t="s">
        <v>56</v>
      </c>
      <c r="C132" s="3" t="s">
        <v>47</v>
      </c>
      <c r="D132" s="3" t="s">
        <v>351</v>
      </c>
      <c r="E132" s="3" t="s">
        <v>352</v>
      </c>
      <c r="F132" s="3" t="s">
        <v>353</v>
      </c>
      <c r="G132" s="3" t="s">
        <v>28</v>
      </c>
      <c r="H132" s="3" t="s">
        <v>83</v>
      </c>
      <c r="I132" s="3" t="e">
        <f>VLOOKUP(E132,#REF!,3,FALSE)</f>
        <v>#REF!</v>
      </c>
    </row>
    <row r="133" spans="1:9" ht="14.45" customHeight="1" x14ac:dyDescent="0.3">
      <c r="A133" s="17" t="str">
        <f t="shared" si="2"/>
        <v>BPH122</v>
      </c>
      <c r="B133" s="3" t="s">
        <v>56</v>
      </c>
      <c r="C133" s="3" t="s">
        <v>47</v>
      </c>
      <c r="D133" s="3" t="s">
        <v>354</v>
      </c>
      <c r="E133" s="3" t="s">
        <v>355</v>
      </c>
      <c r="F133" s="3" t="s">
        <v>356</v>
      </c>
      <c r="G133" s="3" t="s">
        <v>14</v>
      </c>
      <c r="H133" s="3" t="s">
        <v>220</v>
      </c>
      <c r="I133" s="3" t="e">
        <f>VLOOKUP(E133,#REF!,3,FALSE)</f>
        <v>#REF!</v>
      </c>
    </row>
    <row r="134" spans="1:9" ht="14.45" customHeight="1" x14ac:dyDescent="0.3">
      <c r="A134" s="17" t="str">
        <f t="shared" si="2"/>
        <v>BBA314</v>
      </c>
      <c r="B134" s="3" t="s">
        <v>56</v>
      </c>
      <c r="C134" s="3" t="s">
        <v>47</v>
      </c>
      <c r="D134" s="3" t="s">
        <v>357</v>
      </c>
      <c r="E134" s="3" t="s">
        <v>358</v>
      </c>
      <c r="F134" s="3" t="s">
        <v>359</v>
      </c>
      <c r="G134" s="3" t="s">
        <v>19</v>
      </c>
      <c r="H134" s="3" t="s">
        <v>287</v>
      </c>
      <c r="I134" s="3" t="e">
        <f>VLOOKUP(E134,#REF!,3,FALSE)</f>
        <v>#REF!</v>
      </c>
    </row>
    <row r="135" spans="1:9" ht="14.45" customHeight="1" x14ac:dyDescent="0.3">
      <c r="A135" s="17" t="str">
        <f t="shared" si="2"/>
        <v>BPH222</v>
      </c>
      <c r="B135" s="3" t="s">
        <v>216</v>
      </c>
      <c r="C135" s="3" t="s">
        <v>96</v>
      </c>
      <c r="D135" s="3" t="s">
        <v>360</v>
      </c>
      <c r="E135" s="3" t="s">
        <v>361</v>
      </c>
      <c r="F135" s="3" t="s">
        <v>362</v>
      </c>
      <c r="G135" s="3" t="s">
        <v>14</v>
      </c>
      <c r="H135" s="3" t="s">
        <v>363</v>
      </c>
      <c r="I135" s="3" t="e">
        <f>VLOOKUP(E135,#REF!,3,FALSE)</f>
        <v>#REF!</v>
      </c>
    </row>
    <row r="136" spans="1:9" ht="14.45" customHeight="1" x14ac:dyDescent="0.3">
      <c r="A136" s="17" t="str">
        <f t="shared" si="2"/>
        <v>PLM322</v>
      </c>
      <c r="B136" s="3" t="s">
        <v>56</v>
      </c>
      <c r="C136" s="3" t="s">
        <v>47</v>
      </c>
      <c r="D136" s="3" t="s">
        <v>187</v>
      </c>
      <c r="E136" s="3" t="s">
        <v>364</v>
      </c>
      <c r="F136" s="3" t="s">
        <v>365</v>
      </c>
      <c r="G136" s="3" t="s">
        <v>19</v>
      </c>
      <c r="H136" s="3" t="s">
        <v>55</v>
      </c>
      <c r="I136" s="3" t="e">
        <f>VLOOKUP(E136,#REF!,3,FALSE)</f>
        <v>#REF!</v>
      </c>
    </row>
    <row r="137" spans="1:9" ht="14.45" customHeight="1" x14ac:dyDescent="0.3">
      <c r="A137" s="17" t="str">
        <f t="shared" si="2"/>
        <v>BPH112</v>
      </c>
      <c r="B137" s="3" t="s">
        <v>56</v>
      </c>
      <c r="C137" s="3" t="s">
        <v>47</v>
      </c>
      <c r="D137" s="3" t="s">
        <v>217</v>
      </c>
      <c r="E137" s="3" t="s">
        <v>366</v>
      </c>
      <c r="F137" s="3" t="s">
        <v>367</v>
      </c>
      <c r="G137" s="3" t="s">
        <v>14</v>
      </c>
      <c r="H137" s="3" t="s">
        <v>368</v>
      </c>
      <c r="I137" s="3" t="e">
        <f>VLOOKUP(E137,#REF!,3,FALSE)</f>
        <v>#REF!</v>
      </c>
    </row>
    <row r="138" spans="1:9" ht="14.45" customHeight="1" x14ac:dyDescent="0.3">
      <c r="A138" s="17" t="str">
        <f t="shared" si="2"/>
        <v>DIT224</v>
      </c>
      <c r="B138" s="3" t="s">
        <v>56</v>
      </c>
      <c r="C138" s="3" t="s">
        <v>47</v>
      </c>
      <c r="D138" s="3" t="s">
        <v>369</v>
      </c>
      <c r="E138" s="3" t="s">
        <v>370</v>
      </c>
      <c r="F138" s="3" t="s">
        <v>371</v>
      </c>
      <c r="G138" s="3" t="s">
        <v>14</v>
      </c>
      <c r="H138" s="3" t="s">
        <v>267</v>
      </c>
      <c r="I138" s="3" t="e">
        <f>VLOOKUP(E138,#REF!,3,FALSE)</f>
        <v>#REF!</v>
      </c>
    </row>
    <row r="139" spans="1:9" ht="14.45" customHeight="1" x14ac:dyDescent="0.3">
      <c r="A139" s="17" t="str">
        <f t="shared" si="2"/>
        <v>IRDS124</v>
      </c>
      <c r="B139" s="3" t="s">
        <v>56</v>
      </c>
      <c r="C139" s="3" t="s">
        <v>47</v>
      </c>
      <c r="D139" s="3" t="s">
        <v>80</v>
      </c>
      <c r="E139" s="3" t="s">
        <v>372</v>
      </c>
      <c r="F139" s="3" t="s">
        <v>373</v>
      </c>
      <c r="G139" s="3" t="s">
        <v>28</v>
      </c>
      <c r="H139" s="3" t="s">
        <v>103</v>
      </c>
      <c r="I139" s="3" t="e">
        <f>VLOOKUP(E139,#REF!,3,FALSE)</f>
        <v>#REF!</v>
      </c>
    </row>
    <row r="140" spans="1:9" ht="14.45" customHeight="1" x14ac:dyDescent="0.3">
      <c r="A140" s="17" t="str">
        <f t="shared" si="2"/>
        <v>BPH321</v>
      </c>
      <c r="B140" s="3" t="s">
        <v>56</v>
      </c>
      <c r="C140" s="3" t="s">
        <v>47</v>
      </c>
      <c r="D140" s="3" t="s">
        <v>325</v>
      </c>
      <c r="E140" s="3" t="s">
        <v>374</v>
      </c>
      <c r="F140" s="3" t="s">
        <v>375</v>
      </c>
      <c r="G140" s="3" t="s">
        <v>14</v>
      </c>
      <c r="H140" s="3" t="s">
        <v>65</v>
      </c>
      <c r="I140" s="3" t="e">
        <f>VLOOKUP(E140,#REF!,3,FALSE)</f>
        <v>#REF!</v>
      </c>
    </row>
    <row r="141" spans="1:9" ht="14.45" customHeight="1" x14ac:dyDescent="0.3">
      <c r="A141" s="17" t="str">
        <f t="shared" si="2"/>
        <v>BIT121/BSE121</v>
      </c>
      <c r="B141" s="3" t="s">
        <v>56</v>
      </c>
      <c r="C141" s="3" t="s">
        <v>47</v>
      </c>
      <c r="D141" s="3" t="s">
        <v>376</v>
      </c>
      <c r="E141" s="3" t="s">
        <v>377</v>
      </c>
      <c r="F141" s="3" t="s">
        <v>378</v>
      </c>
      <c r="G141" s="3" t="s">
        <v>14</v>
      </c>
      <c r="H141" s="3" t="s">
        <v>51</v>
      </c>
      <c r="I141" s="3" t="e">
        <f>VLOOKUP(E141,#REF!,3,FALSE)</f>
        <v>#REF!</v>
      </c>
    </row>
    <row r="142" spans="1:9" ht="14.45" customHeight="1" x14ac:dyDescent="0.3">
      <c r="A142" s="17" t="str">
        <f t="shared" si="2"/>
        <v>BBA216</v>
      </c>
      <c r="B142" s="3" t="s">
        <v>56</v>
      </c>
      <c r="C142" s="3" t="s">
        <v>47</v>
      </c>
      <c r="D142" s="3" t="s">
        <v>379</v>
      </c>
      <c r="E142" s="3" t="s">
        <v>380</v>
      </c>
      <c r="F142" s="3" t="s">
        <v>381</v>
      </c>
      <c r="G142" s="3" t="s">
        <v>19</v>
      </c>
      <c r="H142" s="3" t="s">
        <v>237</v>
      </c>
      <c r="I142" s="3" t="e">
        <f>VLOOKUP(E142,#REF!,3,FALSE)</f>
        <v>#REF!</v>
      </c>
    </row>
    <row r="143" spans="1:9" ht="14.45" customHeight="1" x14ac:dyDescent="0.3">
      <c r="A143" s="17" t="str">
        <f t="shared" si="2"/>
        <v>BJC325</v>
      </c>
      <c r="B143" s="3" t="s">
        <v>56</v>
      </c>
      <c r="C143" s="3" t="s">
        <v>47</v>
      </c>
      <c r="D143" s="3" t="s">
        <v>382</v>
      </c>
      <c r="E143" s="3" t="s">
        <v>383</v>
      </c>
      <c r="F143" s="3" t="s">
        <v>384</v>
      </c>
      <c r="G143" s="3" t="s">
        <v>28</v>
      </c>
      <c r="H143" s="3" t="s">
        <v>87</v>
      </c>
      <c r="I143" s="3" t="e">
        <f>VLOOKUP(E143,#REF!,3,FALSE)</f>
        <v>#REF!</v>
      </c>
    </row>
    <row r="144" spans="1:9" ht="14.45" customHeight="1" x14ac:dyDescent="0.3">
      <c r="A144" s="17" t="str">
        <f t="shared" si="2"/>
        <v>FOS125</v>
      </c>
      <c r="B144" s="5" t="s">
        <v>56</v>
      </c>
      <c r="C144" s="3" t="s">
        <v>47</v>
      </c>
      <c r="D144" s="5" t="s">
        <v>92</v>
      </c>
      <c r="E144" s="5" t="s">
        <v>385</v>
      </c>
      <c r="F144" s="5" t="s">
        <v>386</v>
      </c>
      <c r="G144" s="5" t="s">
        <v>14</v>
      </c>
      <c r="H144" s="5" t="s">
        <v>24</v>
      </c>
      <c r="I144" s="3" t="e">
        <f>VLOOKUP(E144,#REF!,3,FALSE)</f>
        <v>#REF!</v>
      </c>
    </row>
    <row r="145" spans="1:9" ht="14.45" customHeight="1" x14ac:dyDescent="0.3">
      <c r="A145" s="17" t="str">
        <f t="shared" si="2"/>
        <v>BSE412</v>
      </c>
      <c r="B145" s="5" t="s">
        <v>56</v>
      </c>
      <c r="C145" s="3" t="s">
        <v>47</v>
      </c>
      <c r="D145" s="5" t="s">
        <v>387</v>
      </c>
      <c r="E145" s="5" t="s">
        <v>388</v>
      </c>
      <c r="F145" s="5" t="s">
        <v>389</v>
      </c>
      <c r="G145" s="5" t="s">
        <v>14</v>
      </c>
      <c r="H145" s="5" t="s">
        <v>241</v>
      </c>
      <c r="I145" s="5" t="e">
        <f>VLOOKUP(E145,#REF!,3,FALSE)</f>
        <v>#REF!</v>
      </c>
    </row>
    <row r="146" spans="1:9" ht="14.45" customHeight="1" x14ac:dyDescent="0.3">
      <c r="A146" s="17" t="str">
        <f t="shared" si="2"/>
        <v>IRDS223</v>
      </c>
      <c r="B146" s="3" t="s">
        <v>56</v>
      </c>
      <c r="C146" s="3" t="s">
        <v>96</v>
      </c>
      <c r="D146" s="3" t="s">
        <v>390</v>
      </c>
      <c r="E146" s="3" t="s">
        <v>391</v>
      </c>
      <c r="F146" s="3" t="s">
        <v>392</v>
      </c>
      <c r="G146" s="3" t="s">
        <v>28</v>
      </c>
      <c r="H146" s="3" t="s">
        <v>65</v>
      </c>
      <c r="I146" s="3" t="e">
        <f>VLOOKUP(E146,#REF!,3,FALSE)</f>
        <v>#REF!</v>
      </c>
    </row>
    <row r="147" spans="1:9" ht="14.45" customHeight="1" x14ac:dyDescent="0.3">
      <c r="A147" s="17" t="str">
        <f t="shared" si="2"/>
        <v>BBA113/DBA113</v>
      </c>
      <c r="B147" s="3" t="s">
        <v>56</v>
      </c>
      <c r="C147" s="3" t="s">
        <v>96</v>
      </c>
      <c r="D147" s="3" t="s">
        <v>393</v>
      </c>
      <c r="E147" s="3" t="s">
        <v>316</v>
      </c>
      <c r="F147" s="3" t="s">
        <v>317</v>
      </c>
      <c r="G147" s="3" t="s">
        <v>19</v>
      </c>
      <c r="H147" s="3" t="s">
        <v>20</v>
      </c>
      <c r="I147" s="3" t="e">
        <f>VLOOKUP(E147,#REF!,3,FALSE)</f>
        <v>#REF!</v>
      </c>
    </row>
    <row r="148" spans="1:9" ht="14.45" customHeight="1" x14ac:dyDescent="0.3">
      <c r="A148" s="17" t="str">
        <f t="shared" si="2"/>
        <v>BPA213</v>
      </c>
      <c r="B148" s="3" t="s">
        <v>56</v>
      </c>
      <c r="C148" s="3" t="s">
        <v>96</v>
      </c>
      <c r="D148" s="3" t="s">
        <v>62</v>
      </c>
      <c r="E148" s="3" t="s">
        <v>394</v>
      </c>
      <c r="F148" s="3" t="s">
        <v>395</v>
      </c>
      <c r="G148" s="3" t="s">
        <v>28</v>
      </c>
      <c r="H148" s="3" t="s">
        <v>103</v>
      </c>
      <c r="I148" s="3" t="e">
        <f>VLOOKUP(E148,#REF!,3,FALSE)</f>
        <v>#REF!</v>
      </c>
    </row>
    <row r="149" spans="1:9" ht="14.45" customHeight="1" x14ac:dyDescent="0.3">
      <c r="A149" s="17" t="str">
        <f t="shared" si="2"/>
        <v>BJC313</v>
      </c>
      <c r="B149" s="3" t="s">
        <v>56</v>
      </c>
      <c r="C149" s="3" t="s">
        <v>96</v>
      </c>
      <c r="D149" s="3" t="s">
        <v>396</v>
      </c>
      <c r="E149" s="3" t="s">
        <v>397</v>
      </c>
      <c r="F149" s="3" t="s">
        <v>398</v>
      </c>
      <c r="G149" s="3" t="s">
        <v>28</v>
      </c>
      <c r="H149" s="3" t="s">
        <v>87</v>
      </c>
      <c r="I149" s="3" t="e">
        <f>VLOOKUP(E149,#REF!,3,FALSE)</f>
        <v>#REF!</v>
      </c>
    </row>
    <row r="150" spans="1:9" ht="14.45" customHeight="1" x14ac:dyDescent="0.3">
      <c r="A150" s="17" t="str">
        <f t="shared" si="2"/>
        <v>BPH216</v>
      </c>
      <c r="B150" s="3" t="s">
        <v>56</v>
      </c>
      <c r="C150" s="3" t="s">
        <v>96</v>
      </c>
      <c r="D150" s="3" t="s">
        <v>281</v>
      </c>
      <c r="E150" s="3" t="s">
        <v>399</v>
      </c>
      <c r="F150" s="7" t="s">
        <v>400</v>
      </c>
      <c r="G150" s="3" t="s">
        <v>14</v>
      </c>
      <c r="H150" s="3" t="s">
        <v>220</v>
      </c>
      <c r="I150" s="3" t="e">
        <f>VLOOKUP(E150,#REF!,3,FALSE)</f>
        <v>#REF!</v>
      </c>
    </row>
    <row r="151" spans="1:9" ht="14.45" customHeight="1" x14ac:dyDescent="0.3">
      <c r="A151" s="17" t="str">
        <f t="shared" si="2"/>
        <v>BBF316</v>
      </c>
      <c r="B151" s="3" t="s">
        <v>56</v>
      </c>
      <c r="C151" s="3" t="s">
        <v>96</v>
      </c>
      <c r="D151" s="3" t="s">
        <v>401</v>
      </c>
      <c r="E151" s="3" t="s">
        <v>402</v>
      </c>
      <c r="F151" s="3" t="s">
        <v>403</v>
      </c>
      <c r="G151" s="3" t="s">
        <v>19</v>
      </c>
      <c r="H151" s="3" t="s">
        <v>287</v>
      </c>
      <c r="I151" s="3" t="e">
        <f>VLOOKUP(E151,#REF!,3,FALSE)</f>
        <v>#REF!</v>
      </c>
    </row>
    <row r="152" spans="1:9" ht="14.45" customHeight="1" x14ac:dyDescent="0.3">
      <c r="A152" s="17" t="str">
        <f t="shared" si="2"/>
        <v>DBA223</v>
      </c>
      <c r="B152" s="3" t="s">
        <v>56</v>
      </c>
      <c r="C152" s="3" t="s">
        <v>96</v>
      </c>
      <c r="D152" s="3" t="s">
        <v>248</v>
      </c>
      <c r="E152" s="3" t="s">
        <v>404</v>
      </c>
      <c r="F152" s="3" t="s">
        <v>405</v>
      </c>
      <c r="G152" s="3" t="s">
        <v>19</v>
      </c>
      <c r="H152" s="3" t="s">
        <v>83</v>
      </c>
      <c r="I152" s="3" t="e">
        <f>VLOOKUP(E152,#REF!,3,FALSE)</f>
        <v>#REF!</v>
      </c>
    </row>
    <row r="153" spans="1:9" ht="14.45" customHeight="1" x14ac:dyDescent="0.3">
      <c r="A153" s="17" t="str">
        <f t="shared" si="2"/>
        <v>EHS223</v>
      </c>
      <c r="B153" s="3" t="s">
        <v>56</v>
      </c>
      <c r="C153" s="3" t="s">
        <v>96</v>
      </c>
      <c r="D153" s="3" t="s">
        <v>360</v>
      </c>
      <c r="E153" s="3" t="s">
        <v>406</v>
      </c>
      <c r="F153" s="3" t="s">
        <v>23</v>
      </c>
      <c r="G153" s="3" t="s">
        <v>14</v>
      </c>
      <c r="H153" s="3" t="s">
        <v>407</v>
      </c>
      <c r="I153" s="3" t="e">
        <f>VLOOKUP(E153,#REF!,3,FALSE)</f>
        <v>#REF!</v>
      </c>
    </row>
    <row r="154" spans="1:9" ht="14.45" customHeight="1" x14ac:dyDescent="0.3">
      <c r="A154" s="17" t="str">
        <f t="shared" si="2"/>
        <v>COM323</v>
      </c>
      <c r="B154" s="3" t="s">
        <v>56</v>
      </c>
      <c r="C154" s="3" t="s">
        <v>96</v>
      </c>
      <c r="D154" s="3" t="s">
        <v>408</v>
      </c>
      <c r="E154" s="3" t="s">
        <v>409</v>
      </c>
      <c r="F154" s="3" t="s">
        <v>410</v>
      </c>
      <c r="G154" s="3" t="s">
        <v>14</v>
      </c>
      <c r="H154" s="3" t="s">
        <v>70</v>
      </c>
      <c r="I154" s="3" t="e">
        <f>VLOOKUP(E154,#REF!,3,FALSE)</f>
        <v>#REF!</v>
      </c>
    </row>
    <row r="155" spans="1:9" ht="14.45" customHeight="1" x14ac:dyDescent="0.3">
      <c r="A155" s="17" t="str">
        <f t="shared" si="2"/>
        <v>BSE221</v>
      </c>
      <c r="B155" s="5" t="s">
        <v>56</v>
      </c>
      <c r="C155" s="5" t="s">
        <v>96</v>
      </c>
      <c r="D155" s="5" t="s">
        <v>238</v>
      </c>
      <c r="E155" s="5" t="s">
        <v>411</v>
      </c>
      <c r="F155" s="3" t="s">
        <v>412</v>
      </c>
      <c r="G155" s="5" t="s">
        <v>14</v>
      </c>
      <c r="H155" s="5" t="s">
        <v>61</v>
      </c>
      <c r="I155" s="3" t="e">
        <f>VLOOKUP(E155,#REF!,3,FALSE)</f>
        <v>#REF!</v>
      </c>
    </row>
    <row r="156" spans="1:9" ht="14.45" customHeight="1" x14ac:dyDescent="0.3">
      <c r="A156" s="17" t="str">
        <f t="shared" si="2"/>
        <v>BIT110</v>
      </c>
      <c r="B156" s="3" t="s">
        <v>56</v>
      </c>
      <c r="C156" s="3" t="s">
        <v>96</v>
      </c>
      <c r="D156" s="3" t="s">
        <v>205</v>
      </c>
      <c r="E156" s="3" t="s">
        <v>232</v>
      </c>
      <c r="F156" s="3" t="s">
        <v>233</v>
      </c>
      <c r="G156" s="3" t="s">
        <v>14</v>
      </c>
      <c r="H156" s="3" t="s">
        <v>33</v>
      </c>
      <c r="I156" s="3" t="e">
        <f>VLOOKUP(E156,#REF!,3,FALSE)</f>
        <v>#REF!</v>
      </c>
    </row>
    <row r="157" spans="1:9" ht="14.45" customHeight="1" x14ac:dyDescent="0.3">
      <c r="A157" s="17" t="str">
        <f t="shared" si="2"/>
        <v>DBA126</v>
      </c>
      <c r="B157" s="3" t="s">
        <v>56</v>
      </c>
      <c r="C157" s="3" t="s">
        <v>96</v>
      </c>
      <c r="D157" s="3" t="s">
        <v>413</v>
      </c>
      <c r="E157" s="3" t="s">
        <v>414</v>
      </c>
      <c r="F157" s="3" t="s">
        <v>415</v>
      </c>
      <c r="G157" s="3" t="s">
        <v>19</v>
      </c>
      <c r="H157" s="3" t="s">
        <v>55</v>
      </c>
      <c r="I157" s="3" t="e">
        <f>VLOOKUP(E157,#REF!,3,FALSE)</f>
        <v>#REF!</v>
      </c>
    </row>
    <row r="158" spans="1:9" ht="14.45" customHeight="1" x14ac:dyDescent="0.3">
      <c r="A158" s="17" t="str">
        <f t="shared" si="2"/>
        <v>FOA123</v>
      </c>
      <c r="B158" s="3" t="s">
        <v>56</v>
      </c>
      <c r="C158" s="3" t="s">
        <v>47</v>
      </c>
      <c r="D158" s="3" t="s">
        <v>234</v>
      </c>
      <c r="E158" s="3" t="s">
        <v>416</v>
      </c>
      <c r="F158" s="3" t="s">
        <v>417</v>
      </c>
      <c r="G158" s="3" t="s">
        <v>19</v>
      </c>
      <c r="H158" s="3" t="s">
        <v>112</v>
      </c>
      <c r="I158" s="3" t="e">
        <f>VLOOKUP(E158,#REF!,3,FALSE)</f>
        <v>#REF!</v>
      </c>
    </row>
    <row r="159" spans="1:9" ht="14.45" customHeight="1" x14ac:dyDescent="0.3">
      <c r="A159" s="17" t="str">
        <f t="shared" si="2"/>
        <v>BJC322</v>
      </c>
      <c r="B159" s="3" t="s">
        <v>56</v>
      </c>
      <c r="C159" s="3" t="s">
        <v>96</v>
      </c>
      <c r="D159" s="3" t="s">
        <v>382</v>
      </c>
      <c r="E159" s="3" t="s">
        <v>418</v>
      </c>
      <c r="F159" s="3" t="s">
        <v>419</v>
      </c>
      <c r="G159" s="3" t="s">
        <v>28</v>
      </c>
      <c r="H159" s="3" t="s">
        <v>420</v>
      </c>
      <c r="I159" s="3" t="e">
        <f>VLOOKUP(E159,#REF!,3,FALSE)</f>
        <v>#REF!</v>
      </c>
    </row>
    <row r="160" spans="1:9" ht="14.45" customHeight="1" x14ac:dyDescent="0.3">
      <c r="A160" s="17" t="str">
        <f t="shared" si="2"/>
        <v>BJC323</v>
      </c>
      <c r="B160" s="3" t="s">
        <v>56</v>
      </c>
      <c r="C160" s="3" t="s">
        <v>119</v>
      </c>
      <c r="D160" s="3" t="s">
        <v>382</v>
      </c>
      <c r="E160" s="3" t="s">
        <v>421</v>
      </c>
      <c r="F160" s="3" t="s">
        <v>422</v>
      </c>
      <c r="G160" s="3" t="s">
        <v>28</v>
      </c>
      <c r="H160" s="3" t="s">
        <v>420</v>
      </c>
      <c r="I160" s="3" t="e">
        <f>VLOOKUP(E160,#REF!,3,FALSE)</f>
        <v>#REF!</v>
      </c>
    </row>
    <row r="161" spans="1:9" ht="14.45" customHeight="1" x14ac:dyDescent="0.3">
      <c r="A161" s="17" t="str">
        <f t="shared" si="2"/>
        <v>LLB413</v>
      </c>
      <c r="B161" s="3" t="s">
        <v>56</v>
      </c>
      <c r="C161" s="3" t="s">
        <v>128</v>
      </c>
      <c r="D161" s="3" t="s">
        <v>133</v>
      </c>
      <c r="E161" s="3" t="s">
        <v>423</v>
      </c>
      <c r="F161" s="3" t="s">
        <v>424</v>
      </c>
      <c r="G161" s="3" t="s">
        <v>37</v>
      </c>
      <c r="H161" s="3" t="s">
        <v>136</v>
      </c>
      <c r="I161" s="3" t="e">
        <f>VLOOKUP(E161,#REF!,3,FALSE)</f>
        <v>#REF!</v>
      </c>
    </row>
    <row r="162" spans="1:9" ht="14.45" customHeight="1" x14ac:dyDescent="0.3">
      <c r="A162" s="17" t="str">
        <f t="shared" si="2"/>
        <v>LLB313</v>
      </c>
      <c r="B162" s="3" t="s">
        <v>56</v>
      </c>
      <c r="C162" s="3" t="s">
        <v>128</v>
      </c>
      <c r="D162" s="3" t="s">
        <v>180</v>
      </c>
      <c r="E162" s="3" t="s">
        <v>425</v>
      </c>
      <c r="F162" s="3" t="s">
        <v>426</v>
      </c>
      <c r="G162" s="3" t="s">
        <v>37</v>
      </c>
      <c r="H162" s="3" t="s">
        <v>132</v>
      </c>
      <c r="I162" s="3" t="e">
        <f>VLOOKUP(E162,#REF!,3,FALSE)</f>
        <v>#REF!</v>
      </c>
    </row>
    <row r="163" spans="1:9" ht="14.45" customHeight="1" x14ac:dyDescent="0.3">
      <c r="A163" s="17" t="str">
        <f t="shared" si="2"/>
        <v>LLB123</v>
      </c>
      <c r="B163" s="3" t="s">
        <v>56</v>
      </c>
      <c r="C163" s="3" t="s">
        <v>128</v>
      </c>
      <c r="D163" s="3" t="s">
        <v>34</v>
      </c>
      <c r="E163" s="3" t="s">
        <v>168</v>
      </c>
      <c r="F163" s="3" t="s">
        <v>427</v>
      </c>
      <c r="G163" s="3" t="s">
        <v>37</v>
      </c>
      <c r="H163" s="3" t="s">
        <v>38</v>
      </c>
      <c r="I163" s="3" t="e">
        <f>VLOOKUP(E163,#REF!,3,FALSE)</f>
        <v>#REF!</v>
      </c>
    </row>
    <row r="164" spans="1:9" ht="14.45" customHeight="1" x14ac:dyDescent="0.3">
      <c r="A164" s="17" t="str">
        <f t="shared" si="2"/>
        <v>LLB111</v>
      </c>
      <c r="B164" s="3" t="s">
        <v>56</v>
      </c>
      <c r="C164" s="3" t="s">
        <v>128</v>
      </c>
      <c r="D164" s="3" t="s">
        <v>120</v>
      </c>
      <c r="E164" s="3" t="s">
        <v>173</v>
      </c>
      <c r="F164" s="3" t="s">
        <v>174</v>
      </c>
      <c r="G164" s="3" t="s">
        <v>37</v>
      </c>
      <c r="H164" s="3" t="s">
        <v>123</v>
      </c>
      <c r="I164" s="3" t="e">
        <f>VLOOKUP(E164,#REF!,3,FALSE)</f>
        <v>#REF!</v>
      </c>
    </row>
    <row r="165" spans="1:9" ht="14.45" customHeight="1" x14ac:dyDescent="0.3">
      <c r="A165" s="17" t="str">
        <f t="shared" si="2"/>
        <v>LLB323</v>
      </c>
      <c r="B165" s="3" t="s">
        <v>56</v>
      </c>
      <c r="C165" s="5" t="s">
        <v>299</v>
      </c>
      <c r="D165" s="3" t="s">
        <v>163</v>
      </c>
      <c r="E165" s="3" t="s">
        <v>300</v>
      </c>
      <c r="F165" s="3" t="s">
        <v>301</v>
      </c>
      <c r="G165" s="3" t="s">
        <v>37</v>
      </c>
      <c r="H165" s="3" t="s">
        <v>132</v>
      </c>
      <c r="I165" s="3" t="e">
        <f>VLOOKUP(E165,#REF!,3,FALSE)</f>
        <v>#REF!</v>
      </c>
    </row>
    <row r="166" spans="1:9" ht="14.45" customHeight="1" x14ac:dyDescent="0.3">
      <c r="A166" s="17" t="str">
        <f t="shared" si="2"/>
        <v>LLB115</v>
      </c>
      <c r="B166" s="3" t="s">
        <v>56</v>
      </c>
      <c r="C166" s="3" t="s">
        <v>177</v>
      </c>
      <c r="D166" s="3" t="s">
        <v>120</v>
      </c>
      <c r="E166" s="3" t="s">
        <v>428</v>
      </c>
      <c r="F166" s="3" t="s">
        <v>429</v>
      </c>
      <c r="G166" s="3" t="s">
        <v>37</v>
      </c>
      <c r="H166" s="3" t="s">
        <v>123</v>
      </c>
      <c r="I166" s="3" t="e">
        <f>VLOOKUP(E166,#REF!,3,FALSE)</f>
        <v>#REF!</v>
      </c>
    </row>
    <row r="167" spans="1:9" ht="14.45" customHeight="1" x14ac:dyDescent="0.3">
      <c r="A167" s="17" t="str">
        <f t="shared" si="2"/>
        <v>LLB414</v>
      </c>
      <c r="B167" s="3" t="s">
        <v>56</v>
      </c>
      <c r="C167" s="3" t="s">
        <v>177</v>
      </c>
      <c r="D167" s="3" t="s">
        <v>133</v>
      </c>
      <c r="E167" s="3" t="s">
        <v>430</v>
      </c>
      <c r="F167" s="3" t="s">
        <v>431</v>
      </c>
      <c r="G167" s="3" t="s">
        <v>37</v>
      </c>
      <c r="H167" s="3" t="s">
        <v>136</v>
      </c>
      <c r="I167" s="3" t="e">
        <f>VLOOKUP(E167,#REF!,3,FALSE)</f>
        <v>#REF!</v>
      </c>
    </row>
    <row r="168" spans="1:9" ht="14.45" customHeight="1" x14ac:dyDescent="0.3">
      <c r="A168" s="17" t="str">
        <f t="shared" si="2"/>
        <v>LLB311</v>
      </c>
      <c r="B168" s="3" t="s">
        <v>56</v>
      </c>
      <c r="C168" s="3" t="s">
        <v>177</v>
      </c>
      <c r="D168" s="3" t="s">
        <v>180</v>
      </c>
      <c r="E168" s="3" t="s">
        <v>181</v>
      </c>
      <c r="F168" s="3" t="s">
        <v>182</v>
      </c>
      <c r="G168" s="3" t="s">
        <v>37</v>
      </c>
      <c r="H168" s="3" t="s">
        <v>38</v>
      </c>
      <c r="I168" s="3" t="e">
        <f>VLOOKUP(E168,#REF!,3,FALSE)</f>
        <v>#REF!</v>
      </c>
    </row>
    <row r="169" spans="1:9" ht="14.45" customHeight="1" x14ac:dyDescent="0.3">
      <c r="A169" s="17" t="str">
        <f t="shared" si="2"/>
        <v>LLB222</v>
      </c>
      <c r="B169" s="3" t="s">
        <v>56</v>
      </c>
      <c r="C169" s="3" t="s">
        <v>177</v>
      </c>
      <c r="D169" s="3" t="s">
        <v>129</v>
      </c>
      <c r="E169" s="3" t="s">
        <v>130</v>
      </c>
      <c r="F169" s="3" t="s">
        <v>131</v>
      </c>
      <c r="G169" s="3" t="s">
        <v>37</v>
      </c>
      <c r="H169" s="3" t="s">
        <v>132</v>
      </c>
      <c r="I169" s="3" t="e">
        <f>VLOOKUP(E169,#REF!,3,FALSE)</f>
        <v>#REF!</v>
      </c>
    </row>
    <row r="170" spans="1:9" ht="14.45" customHeight="1" x14ac:dyDescent="0.3">
      <c r="A170" s="17" t="str">
        <f t="shared" si="2"/>
        <v>BJC128</v>
      </c>
      <c r="B170" s="3" t="s">
        <v>56</v>
      </c>
      <c r="C170" s="3" t="s">
        <v>432</v>
      </c>
      <c r="D170" s="3" t="s">
        <v>84</v>
      </c>
      <c r="E170" s="3" t="s">
        <v>433</v>
      </c>
      <c r="F170" s="3" t="s">
        <v>434</v>
      </c>
      <c r="G170" s="3" t="s">
        <v>28</v>
      </c>
      <c r="H170" s="3" t="s">
        <v>87</v>
      </c>
      <c r="I170" s="3" t="e">
        <f>VLOOKUP(E170,#REF!,3,FALSE)</f>
        <v>#REF!</v>
      </c>
    </row>
    <row r="171" spans="1:9" ht="14.45" customHeight="1" x14ac:dyDescent="0.3">
      <c r="A171" s="17" t="str">
        <f t="shared" si="2"/>
        <v>BIT222</v>
      </c>
      <c r="B171" s="3" t="s">
        <v>66</v>
      </c>
      <c r="C171" s="3" t="s">
        <v>10</v>
      </c>
      <c r="D171" s="3" t="s">
        <v>435</v>
      </c>
      <c r="E171" s="3" t="s">
        <v>436</v>
      </c>
      <c r="F171" s="3" t="s">
        <v>437</v>
      </c>
      <c r="G171" s="3" t="s">
        <v>14</v>
      </c>
      <c r="H171" s="3" t="s">
        <v>91</v>
      </c>
      <c r="I171" s="3" t="e">
        <f>VLOOKUP(E171,#REF!,3,FALSE)</f>
        <v>#REF!</v>
      </c>
    </row>
    <row r="172" spans="1:9" ht="14.45" customHeight="1" x14ac:dyDescent="0.3">
      <c r="A172" s="17" t="str">
        <f t="shared" si="2"/>
        <v>BBA212</v>
      </c>
      <c r="B172" s="3" t="s">
        <v>66</v>
      </c>
      <c r="C172" s="3" t="s">
        <v>10</v>
      </c>
      <c r="D172" s="3" t="s">
        <v>438</v>
      </c>
      <c r="E172" s="3" t="s">
        <v>439</v>
      </c>
      <c r="F172" s="3" t="s">
        <v>440</v>
      </c>
      <c r="G172" s="3" t="s">
        <v>19</v>
      </c>
      <c r="H172" s="3" t="s">
        <v>237</v>
      </c>
      <c r="I172" s="3" t="e">
        <f>VLOOKUP(E172,#REF!,3,FALSE)</f>
        <v>#REF!</v>
      </c>
    </row>
    <row r="173" spans="1:9" ht="14.45" customHeight="1" x14ac:dyDescent="0.3">
      <c r="A173" s="17" t="str">
        <f t="shared" si="2"/>
        <v>BSF323</v>
      </c>
      <c r="B173" s="3" t="s">
        <v>66</v>
      </c>
      <c r="C173" s="3" t="s">
        <v>10</v>
      </c>
      <c r="D173" s="3" t="s">
        <v>441</v>
      </c>
      <c r="E173" s="3" t="s">
        <v>442</v>
      </c>
      <c r="F173" s="3" t="s">
        <v>443</v>
      </c>
      <c r="G173" s="3" t="s">
        <v>19</v>
      </c>
      <c r="H173" s="3" t="s">
        <v>287</v>
      </c>
      <c r="I173" s="3" t="e">
        <f>VLOOKUP(E173,#REF!,3,FALSE)</f>
        <v>#REF!</v>
      </c>
    </row>
    <row r="174" spans="1:9" ht="14.45" customHeight="1" x14ac:dyDescent="0.3">
      <c r="A174" s="17" t="str">
        <f t="shared" si="2"/>
        <v>BPA123</v>
      </c>
      <c r="B174" s="3" t="s">
        <v>66</v>
      </c>
      <c r="C174" s="3" t="s">
        <v>10</v>
      </c>
      <c r="D174" s="3" t="s">
        <v>444</v>
      </c>
      <c r="E174" s="3" t="s">
        <v>445</v>
      </c>
      <c r="F174" s="3" t="s">
        <v>446</v>
      </c>
      <c r="G174" s="3" t="s">
        <v>28</v>
      </c>
      <c r="H174" s="3" t="s">
        <v>65</v>
      </c>
      <c r="I174" s="3" t="e">
        <f>VLOOKUP(E174,#REF!,3,FALSE)</f>
        <v>#REF!</v>
      </c>
    </row>
    <row r="175" spans="1:9" ht="14.45" customHeight="1" x14ac:dyDescent="0.3">
      <c r="A175" s="17" t="str">
        <f t="shared" si="2"/>
        <v>LLB421</v>
      </c>
      <c r="B175" s="3" t="s">
        <v>66</v>
      </c>
      <c r="C175" s="3" t="s">
        <v>10</v>
      </c>
      <c r="D175" s="3" t="s">
        <v>160</v>
      </c>
      <c r="E175" s="3" t="s">
        <v>199</v>
      </c>
      <c r="F175" s="3" t="s">
        <v>200</v>
      </c>
      <c r="G175" s="3" t="s">
        <v>37</v>
      </c>
      <c r="H175" s="3" t="s">
        <v>136</v>
      </c>
      <c r="I175" s="3" t="e">
        <f>VLOOKUP(E175,#REF!,3,FALSE)</f>
        <v>#REF!</v>
      </c>
    </row>
    <row r="176" spans="1:9" ht="14.45" customHeight="1" x14ac:dyDescent="0.3">
      <c r="A176" s="17" t="str">
        <f t="shared" si="2"/>
        <v>BBA115</v>
      </c>
      <c r="B176" s="3" t="s">
        <v>66</v>
      </c>
      <c r="C176" s="3" t="s">
        <v>10</v>
      </c>
      <c r="D176" s="3" t="s">
        <v>57</v>
      </c>
      <c r="E176" s="3" t="s">
        <v>447</v>
      </c>
      <c r="F176" s="3" t="s">
        <v>448</v>
      </c>
      <c r="G176" s="3" t="s">
        <v>19</v>
      </c>
      <c r="H176" s="3" t="s">
        <v>20</v>
      </c>
      <c r="I176" s="3" t="e">
        <f>VLOOKUP(E176,#REF!,3,FALSE)</f>
        <v>#REF!</v>
      </c>
    </row>
    <row r="177" spans="1:9" ht="14.45" customHeight="1" x14ac:dyDescent="0.3">
      <c r="A177" s="17" t="str">
        <f t="shared" si="2"/>
        <v>BBA323</v>
      </c>
      <c r="B177" s="3" t="s">
        <v>66</v>
      </c>
      <c r="C177" s="3" t="s">
        <v>10</v>
      </c>
      <c r="D177" s="3" t="s">
        <v>52</v>
      </c>
      <c r="E177" s="3" t="s">
        <v>449</v>
      </c>
      <c r="F177" s="3" t="s">
        <v>450</v>
      </c>
      <c r="G177" s="3" t="s">
        <v>19</v>
      </c>
      <c r="H177" s="3" t="s">
        <v>24</v>
      </c>
      <c r="I177" s="3" t="e">
        <f>VLOOKUP(E177,#REF!,3,FALSE)</f>
        <v>#REF!</v>
      </c>
    </row>
    <row r="178" spans="1:9" ht="14.45" customHeight="1" x14ac:dyDescent="0.3">
      <c r="A178" s="17" t="str">
        <f t="shared" si="2"/>
        <v>BPA312</v>
      </c>
      <c r="B178" s="3" t="s">
        <v>66</v>
      </c>
      <c r="C178" s="3" t="s">
        <v>10</v>
      </c>
      <c r="D178" s="3" t="s">
        <v>106</v>
      </c>
      <c r="E178" s="3" t="s">
        <v>451</v>
      </c>
      <c r="F178" s="3" t="s">
        <v>452</v>
      </c>
      <c r="G178" s="3" t="s">
        <v>28</v>
      </c>
      <c r="H178" s="3" t="s">
        <v>103</v>
      </c>
      <c r="I178" s="3" t="e">
        <f>VLOOKUP(E178,#REF!,3,FALSE)</f>
        <v>#REF!</v>
      </c>
    </row>
    <row r="179" spans="1:9" ht="14.45" customHeight="1" x14ac:dyDescent="0.3">
      <c r="A179" s="17" t="str">
        <f t="shared" si="2"/>
        <v>BJC110</v>
      </c>
      <c r="B179" s="3" t="s">
        <v>66</v>
      </c>
      <c r="C179" s="3" t="s">
        <v>10</v>
      </c>
      <c r="D179" s="3" t="s">
        <v>453</v>
      </c>
      <c r="E179" s="3" t="s">
        <v>206</v>
      </c>
      <c r="F179" s="3" t="s">
        <v>207</v>
      </c>
      <c r="G179" s="3" t="s">
        <v>28</v>
      </c>
      <c r="H179" s="3" t="s">
        <v>46</v>
      </c>
      <c r="I179" s="3" t="e">
        <f>VLOOKUP(E179,#REF!,3,FALSE)</f>
        <v>#REF!</v>
      </c>
    </row>
    <row r="180" spans="1:9" ht="14.45" customHeight="1" x14ac:dyDescent="0.3">
      <c r="A180" s="17" t="str">
        <f t="shared" si="2"/>
        <v>BBA125/DBA125</v>
      </c>
      <c r="B180" s="3" t="s">
        <v>66</v>
      </c>
      <c r="C180" s="3" t="s">
        <v>10</v>
      </c>
      <c r="D180" s="3" t="s">
        <v>221</v>
      </c>
      <c r="E180" s="3" t="s">
        <v>454</v>
      </c>
      <c r="F180" s="3" t="s">
        <v>455</v>
      </c>
      <c r="G180" s="3" t="s">
        <v>19</v>
      </c>
      <c r="H180" s="3" t="s">
        <v>112</v>
      </c>
      <c r="I180" s="3" t="e">
        <f>VLOOKUP(E180,#REF!,3,FALSE)</f>
        <v>#REF!</v>
      </c>
    </row>
    <row r="181" spans="1:9" ht="14.45" customHeight="1" x14ac:dyDescent="0.3">
      <c r="A181" s="17" t="str">
        <f t="shared" si="2"/>
        <v>BJC326</v>
      </c>
      <c r="B181" s="3" t="s">
        <v>66</v>
      </c>
      <c r="C181" s="3" t="s">
        <v>10</v>
      </c>
      <c r="D181" s="3" t="s">
        <v>382</v>
      </c>
      <c r="E181" s="3" t="s">
        <v>456</v>
      </c>
      <c r="F181" s="3" t="s">
        <v>457</v>
      </c>
      <c r="G181" s="3" t="s">
        <v>28</v>
      </c>
      <c r="H181" s="3" t="s">
        <v>29</v>
      </c>
      <c r="I181" s="3" t="e">
        <f>VLOOKUP(E181,#REF!,3,FALSE)</f>
        <v>#REF!</v>
      </c>
    </row>
    <row r="182" spans="1:9" ht="14.45" customHeight="1" x14ac:dyDescent="0.3">
      <c r="A182" s="17" t="str">
        <f t="shared" si="2"/>
        <v>COM212</v>
      </c>
      <c r="B182" s="3" t="s">
        <v>66</v>
      </c>
      <c r="C182" s="3" t="s">
        <v>10</v>
      </c>
      <c r="D182" s="3" t="s">
        <v>458</v>
      </c>
      <c r="E182" s="3" t="s">
        <v>459</v>
      </c>
      <c r="F182" s="3" t="s">
        <v>460</v>
      </c>
      <c r="G182" s="3" t="s">
        <v>14</v>
      </c>
      <c r="H182" s="3" t="s">
        <v>267</v>
      </c>
      <c r="I182" s="3" t="e">
        <f>VLOOKUP(E182,#REF!,3,FALSE)</f>
        <v>#REF!</v>
      </c>
    </row>
    <row r="183" spans="1:9" ht="14.45" customHeight="1" x14ac:dyDescent="0.3">
      <c r="A183" s="17" t="str">
        <f t="shared" si="2"/>
        <v>DIT114</v>
      </c>
      <c r="B183" s="3" t="s">
        <v>66</v>
      </c>
      <c r="C183" s="3" t="s">
        <v>10</v>
      </c>
      <c r="D183" s="3" t="s">
        <v>11</v>
      </c>
      <c r="E183" s="3" t="s">
        <v>461</v>
      </c>
      <c r="F183" s="3" t="s">
        <v>462</v>
      </c>
      <c r="G183" s="3" t="s">
        <v>14</v>
      </c>
      <c r="H183" s="3" t="s">
        <v>70</v>
      </c>
      <c r="I183" s="3" t="e">
        <f>VLOOKUP(E183,#REF!,3,FALSE)</f>
        <v>#REF!</v>
      </c>
    </row>
    <row r="184" spans="1:9" ht="14.45" customHeight="1" x14ac:dyDescent="0.3">
      <c r="A184" s="17" t="str">
        <f t="shared" si="2"/>
        <v>HEC128</v>
      </c>
      <c r="B184" s="5" t="s">
        <v>66</v>
      </c>
      <c r="C184" s="5" t="s">
        <v>10</v>
      </c>
      <c r="D184" s="5" t="s">
        <v>92</v>
      </c>
      <c r="E184" s="5" t="s">
        <v>463</v>
      </c>
      <c r="F184" s="5" t="s">
        <v>464</v>
      </c>
      <c r="G184" s="5" t="s">
        <v>14</v>
      </c>
      <c r="H184" s="5" t="s">
        <v>79</v>
      </c>
      <c r="I184" s="5" t="e">
        <f>VLOOKUP(E184,#REF!,3,FALSE)</f>
        <v>#REF!</v>
      </c>
    </row>
    <row r="185" spans="1:9" ht="14.45" customHeight="1" x14ac:dyDescent="0.3">
      <c r="A185" s="17" t="str">
        <f t="shared" si="2"/>
        <v>BJC212</v>
      </c>
      <c r="B185" s="5" t="s">
        <v>66</v>
      </c>
      <c r="C185" s="3" t="s">
        <v>10</v>
      </c>
      <c r="D185" s="5" t="s">
        <v>150</v>
      </c>
      <c r="E185" s="5" t="s">
        <v>465</v>
      </c>
      <c r="F185" s="5" t="s">
        <v>466</v>
      </c>
      <c r="G185" s="5" t="s">
        <v>14</v>
      </c>
      <c r="H185" s="5" t="s">
        <v>87</v>
      </c>
      <c r="I185" s="5" t="e">
        <f>VLOOKUP(E185,#REF!,3,FALSE)</f>
        <v>#REF!</v>
      </c>
    </row>
    <row r="186" spans="1:9" ht="14.45" customHeight="1" x14ac:dyDescent="0.3">
      <c r="A186" s="17" t="str">
        <f t="shared" si="2"/>
        <v>BPA122</v>
      </c>
      <c r="B186" s="3" t="s">
        <v>66</v>
      </c>
      <c r="C186" s="3" t="s">
        <v>47</v>
      </c>
      <c r="D186" s="3" t="s">
        <v>444</v>
      </c>
      <c r="E186" s="3" t="s">
        <v>467</v>
      </c>
      <c r="F186" s="3" t="s">
        <v>468</v>
      </c>
      <c r="G186" s="3" t="s">
        <v>28</v>
      </c>
      <c r="H186" s="3" t="s">
        <v>79</v>
      </c>
      <c r="I186" s="3" t="e">
        <f>VLOOKUP(E186,#REF!,3,FALSE)</f>
        <v>#REF!</v>
      </c>
    </row>
    <row r="187" spans="1:9" ht="14.45" customHeight="1" x14ac:dyDescent="0.3">
      <c r="A187" s="17" t="str">
        <f t="shared" si="2"/>
        <v>BJC311</v>
      </c>
      <c r="B187" s="3" t="s">
        <v>66</v>
      </c>
      <c r="C187" s="3" t="s">
        <v>47</v>
      </c>
      <c r="D187" s="3" t="s">
        <v>396</v>
      </c>
      <c r="E187" s="3" t="s">
        <v>469</v>
      </c>
      <c r="F187" s="3" t="s">
        <v>470</v>
      </c>
      <c r="G187" s="3" t="s">
        <v>28</v>
      </c>
      <c r="H187" s="3" t="s">
        <v>55</v>
      </c>
      <c r="I187" s="3" t="e">
        <f>VLOOKUP(E187,#REF!,3,FALSE)</f>
        <v>#REF!</v>
      </c>
    </row>
    <row r="188" spans="1:9" ht="14.45" customHeight="1" x14ac:dyDescent="0.3">
      <c r="A188" s="17" t="str">
        <f t="shared" si="2"/>
        <v>BJC116</v>
      </c>
      <c r="B188" s="3" t="s">
        <v>66</v>
      </c>
      <c r="C188" s="3" t="s">
        <v>47</v>
      </c>
      <c r="D188" s="3" t="s">
        <v>471</v>
      </c>
      <c r="E188" s="3" t="s">
        <v>472</v>
      </c>
      <c r="F188" s="3" t="s">
        <v>473</v>
      </c>
      <c r="G188" s="3" t="s">
        <v>28</v>
      </c>
      <c r="H188" s="3" t="s">
        <v>112</v>
      </c>
      <c r="I188" s="3" t="e">
        <f>VLOOKUP(E188,#REF!,3,FALSE)</f>
        <v>#REF!</v>
      </c>
    </row>
    <row r="189" spans="1:9" ht="14.45" customHeight="1" x14ac:dyDescent="0.3">
      <c r="A189" s="17" t="str">
        <f t="shared" si="2"/>
        <v>HRM314</v>
      </c>
      <c r="B189" s="3" t="s">
        <v>66</v>
      </c>
      <c r="C189" s="3" t="s">
        <v>47</v>
      </c>
      <c r="D189" s="3" t="s">
        <v>229</v>
      </c>
      <c r="E189" s="3" t="s">
        <v>474</v>
      </c>
      <c r="F189" s="3" t="s">
        <v>475</v>
      </c>
      <c r="G189" s="3" t="s">
        <v>19</v>
      </c>
      <c r="H189" s="3" t="s">
        <v>83</v>
      </c>
      <c r="I189" s="3" t="e">
        <f>VLOOKUP(E189,#REF!,3,FALSE)</f>
        <v>#REF!</v>
      </c>
    </row>
    <row r="190" spans="1:9" ht="14.45" customHeight="1" x14ac:dyDescent="0.3">
      <c r="A190" s="17" t="str">
        <f t="shared" si="2"/>
        <v>BPH313</v>
      </c>
      <c r="B190" s="3" t="s">
        <v>66</v>
      </c>
      <c r="C190" s="3" t="s">
        <v>47</v>
      </c>
      <c r="D190" s="3" t="s">
        <v>476</v>
      </c>
      <c r="E190" s="3" t="s">
        <v>477</v>
      </c>
      <c r="F190" s="3" t="s">
        <v>478</v>
      </c>
      <c r="G190" s="3" t="s">
        <v>14</v>
      </c>
      <c r="H190" s="3" t="s">
        <v>220</v>
      </c>
      <c r="I190" s="3" t="e">
        <f>VLOOKUP(E190,#REF!,3,FALSE)</f>
        <v>#REF!</v>
      </c>
    </row>
    <row r="191" spans="1:9" ht="14.45" customHeight="1" x14ac:dyDescent="0.3">
      <c r="A191" s="17" t="str">
        <f t="shared" si="2"/>
        <v>BPA324</v>
      </c>
      <c r="B191" s="3" t="s">
        <v>66</v>
      </c>
      <c r="C191" s="3" t="s">
        <v>47</v>
      </c>
      <c r="D191" s="3" t="s">
        <v>479</v>
      </c>
      <c r="E191" s="3" t="s">
        <v>480</v>
      </c>
      <c r="F191" s="3" t="s">
        <v>481</v>
      </c>
      <c r="G191" s="3" t="s">
        <v>28</v>
      </c>
      <c r="H191" s="3" t="s">
        <v>29</v>
      </c>
      <c r="I191" s="3" t="e">
        <f>VLOOKUP(E191,#REF!,3,FALSE)</f>
        <v>#REF!</v>
      </c>
    </row>
    <row r="192" spans="1:9" ht="14.45" customHeight="1" x14ac:dyDescent="0.3">
      <c r="A192" s="17" t="str">
        <f t="shared" si="2"/>
        <v>FOA121</v>
      </c>
      <c r="B192" s="3" t="s">
        <v>66</v>
      </c>
      <c r="C192" s="3" t="s">
        <v>47</v>
      </c>
      <c r="D192" s="3" t="s">
        <v>234</v>
      </c>
      <c r="E192" s="3" t="s">
        <v>482</v>
      </c>
      <c r="F192" s="3" t="s">
        <v>483</v>
      </c>
      <c r="G192" s="3" t="s">
        <v>19</v>
      </c>
      <c r="H192" s="3" t="s">
        <v>87</v>
      </c>
      <c r="I192" s="3" t="e">
        <f>VLOOKUP(E192,#REF!,3,FALSE)</f>
        <v>#REF!</v>
      </c>
    </row>
    <row r="193" spans="1:9" ht="14.45" customHeight="1" x14ac:dyDescent="0.3">
      <c r="A193" s="17" t="str">
        <f t="shared" si="2"/>
        <v>PLM314</v>
      </c>
      <c r="B193" s="3" t="s">
        <v>66</v>
      </c>
      <c r="C193" s="3" t="s">
        <v>47</v>
      </c>
      <c r="D193" s="3" t="s">
        <v>484</v>
      </c>
      <c r="E193" s="3" t="s">
        <v>485</v>
      </c>
      <c r="F193" s="3" t="s">
        <v>486</v>
      </c>
      <c r="G193" s="3" t="s">
        <v>19</v>
      </c>
      <c r="H193" s="3" t="s">
        <v>24</v>
      </c>
      <c r="I193" s="3" t="e">
        <f>VLOOKUP(E193,#REF!,3,FALSE)</f>
        <v>#REF!</v>
      </c>
    </row>
    <row r="194" spans="1:9" ht="14.45" customHeight="1" x14ac:dyDescent="0.3">
      <c r="A194" s="17" t="str">
        <f t="shared" si="2"/>
        <v>BPH215</v>
      </c>
      <c r="B194" s="3" t="s">
        <v>66</v>
      </c>
      <c r="C194" s="3" t="s">
        <v>47</v>
      </c>
      <c r="D194" s="3" t="s">
        <v>281</v>
      </c>
      <c r="E194" s="3" t="s">
        <v>487</v>
      </c>
      <c r="F194" s="3" t="s">
        <v>488</v>
      </c>
      <c r="G194" s="3" t="s">
        <v>14</v>
      </c>
      <c r="H194" s="3" t="s">
        <v>363</v>
      </c>
      <c r="I194" s="3" t="e">
        <f>VLOOKUP(E194,#REF!,3,FALSE)</f>
        <v>#REF!</v>
      </c>
    </row>
    <row r="195" spans="1:9" ht="14.45" customHeight="1" x14ac:dyDescent="0.3">
      <c r="A195" s="17" t="str">
        <f t="shared" si="2"/>
        <v>FOS111</v>
      </c>
      <c r="B195" s="3" t="s">
        <v>66</v>
      </c>
      <c r="C195" s="3" t="s">
        <v>47</v>
      </c>
      <c r="D195" s="3" t="s">
        <v>489</v>
      </c>
      <c r="E195" s="3" t="s">
        <v>490</v>
      </c>
      <c r="F195" s="3" t="s">
        <v>491</v>
      </c>
      <c r="G195" s="3" t="s">
        <v>14</v>
      </c>
      <c r="H195" s="3" t="s">
        <v>492</v>
      </c>
      <c r="I195" s="3" t="e">
        <f>VLOOKUP(E195,#REF!,3,FALSE)</f>
        <v>#REF!</v>
      </c>
    </row>
    <row r="196" spans="1:9" ht="14.45" customHeight="1" x14ac:dyDescent="0.3">
      <c r="A196" s="17" t="str">
        <f t="shared" ref="A196:A259" si="3">E196</f>
        <v>BSE224</v>
      </c>
      <c r="B196" s="3" t="s">
        <v>66</v>
      </c>
      <c r="C196" s="3" t="s">
        <v>47</v>
      </c>
      <c r="D196" s="3" t="s">
        <v>493</v>
      </c>
      <c r="E196" s="3" t="s">
        <v>494</v>
      </c>
      <c r="F196" s="3" t="s">
        <v>495</v>
      </c>
      <c r="G196" s="3" t="s">
        <v>14</v>
      </c>
      <c r="H196" s="3" t="s">
        <v>61</v>
      </c>
      <c r="I196" s="3" t="e">
        <f>VLOOKUP(E196,#REF!,3,FALSE)</f>
        <v>#REF!</v>
      </c>
    </row>
    <row r="197" spans="1:9" ht="14.45" customHeight="1" x14ac:dyDescent="0.3">
      <c r="A197" s="17" t="str">
        <f t="shared" si="3"/>
        <v>BPA316</v>
      </c>
      <c r="B197" s="3" t="s">
        <v>66</v>
      </c>
      <c r="C197" s="3" t="s">
        <v>47</v>
      </c>
      <c r="D197" s="3" t="s">
        <v>106</v>
      </c>
      <c r="E197" s="3" t="s">
        <v>496</v>
      </c>
      <c r="F197" s="3" t="s">
        <v>497</v>
      </c>
      <c r="G197" s="3" t="s">
        <v>28</v>
      </c>
      <c r="H197" s="3" t="s">
        <v>498</v>
      </c>
      <c r="I197" s="3" t="e">
        <f>VLOOKUP(E197,#REF!,3,FALSE)</f>
        <v>#REF!</v>
      </c>
    </row>
    <row r="198" spans="1:9" ht="14.45" customHeight="1" x14ac:dyDescent="0.3">
      <c r="A198" s="17" t="str">
        <f t="shared" si="3"/>
        <v>IRDS312</v>
      </c>
      <c r="B198" s="3" t="s">
        <v>66</v>
      </c>
      <c r="C198" s="3" t="s">
        <v>96</v>
      </c>
      <c r="D198" s="3" t="s">
        <v>76</v>
      </c>
      <c r="E198" s="3" t="s">
        <v>499</v>
      </c>
      <c r="F198" s="3" t="s">
        <v>500</v>
      </c>
      <c r="G198" s="3" t="s">
        <v>28</v>
      </c>
      <c r="H198" s="3" t="s">
        <v>91</v>
      </c>
      <c r="I198" s="3" t="e">
        <f>VLOOKUP(E198,#REF!,3,FALSE)</f>
        <v>#REF!</v>
      </c>
    </row>
    <row r="199" spans="1:9" ht="14.45" customHeight="1" x14ac:dyDescent="0.3">
      <c r="A199" s="17" t="str">
        <f t="shared" si="3"/>
        <v>IRDS216</v>
      </c>
      <c r="B199" s="3" t="s">
        <v>66</v>
      </c>
      <c r="C199" s="3" t="s">
        <v>47</v>
      </c>
      <c r="D199" s="3" t="s">
        <v>501</v>
      </c>
      <c r="E199" s="3" t="s">
        <v>502</v>
      </c>
      <c r="F199" s="3" t="s">
        <v>503</v>
      </c>
      <c r="G199" s="3" t="s">
        <v>28</v>
      </c>
      <c r="H199" s="3" t="s">
        <v>498</v>
      </c>
      <c r="I199" s="3" t="e">
        <f>VLOOKUP(E199,#REF!,3,FALSE)</f>
        <v>#REF!</v>
      </c>
    </row>
    <row r="200" spans="1:9" ht="14.45" customHeight="1" x14ac:dyDescent="0.3">
      <c r="A200" s="17" t="str">
        <f t="shared" si="3"/>
        <v>BPR321</v>
      </c>
      <c r="B200" s="3" t="s">
        <v>66</v>
      </c>
      <c r="C200" s="3" t="s">
        <v>47</v>
      </c>
      <c r="D200" s="3" t="s">
        <v>504</v>
      </c>
      <c r="E200" s="3" t="s">
        <v>505</v>
      </c>
      <c r="F200" s="3" t="s">
        <v>506</v>
      </c>
      <c r="G200" s="3" t="s">
        <v>28</v>
      </c>
      <c r="H200" s="3" t="s">
        <v>507</v>
      </c>
      <c r="I200" s="3" t="e">
        <f>VLOOKUP(E200,#REF!,3,FALSE)</f>
        <v>#REF!</v>
      </c>
    </row>
    <row r="201" spans="1:9" ht="14.45" customHeight="1" x14ac:dyDescent="0.3">
      <c r="A201" s="17" t="str">
        <f t="shared" si="3"/>
        <v>BBA321</v>
      </c>
      <c r="B201" s="3" t="s">
        <v>66</v>
      </c>
      <c r="C201" s="3" t="s">
        <v>47</v>
      </c>
      <c r="D201" s="3" t="s">
        <v>508</v>
      </c>
      <c r="E201" s="3" t="s">
        <v>509</v>
      </c>
      <c r="F201" s="3" t="s">
        <v>510</v>
      </c>
      <c r="G201" s="3" t="s">
        <v>19</v>
      </c>
      <c r="H201" s="3" t="s">
        <v>287</v>
      </c>
      <c r="I201" s="3" t="e">
        <f>VLOOKUP(E201,#REF!,3,FALSE)</f>
        <v>#REF!</v>
      </c>
    </row>
    <row r="202" spans="1:9" ht="14.45" customHeight="1" x14ac:dyDescent="0.3">
      <c r="A202" s="17" t="str">
        <f t="shared" si="3"/>
        <v>BJC110</v>
      </c>
      <c r="B202" s="3" t="s">
        <v>66</v>
      </c>
      <c r="C202" s="3" t="s">
        <v>47</v>
      </c>
      <c r="D202" s="3" t="s">
        <v>57</v>
      </c>
      <c r="E202" s="3" t="s">
        <v>206</v>
      </c>
      <c r="F202" s="3" t="s">
        <v>207</v>
      </c>
      <c r="G202" s="3" t="s">
        <v>28</v>
      </c>
      <c r="H202" s="3" t="s">
        <v>46</v>
      </c>
      <c r="I202" s="3" t="e">
        <f>VLOOKUP(E202,#REF!,3,FALSE)</f>
        <v>#REF!</v>
      </c>
    </row>
    <row r="203" spans="1:9" ht="14.45" customHeight="1" x14ac:dyDescent="0.3">
      <c r="A203" s="17" t="str">
        <f t="shared" si="3"/>
        <v>BBA223</v>
      </c>
      <c r="B203" s="3" t="s">
        <v>66</v>
      </c>
      <c r="C203" s="3" t="s">
        <v>47</v>
      </c>
      <c r="D203" s="3" t="s">
        <v>251</v>
      </c>
      <c r="E203" s="3" t="s">
        <v>511</v>
      </c>
      <c r="F203" s="3" t="s">
        <v>512</v>
      </c>
      <c r="G203" s="3" t="s">
        <v>19</v>
      </c>
      <c r="H203" s="3" t="s">
        <v>237</v>
      </c>
      <c r="I203" s="3" t="e">
        <f>VLOOKUP(E203,#REF!,3,FALSE)</f>
        <v>#REF!</v>
      </c>
    </row>
    <row r="204" spans="1:9" ht="14.45" customHeight="1" x14ac:dyDescent="0.3">
      <c r="A204" s="17" t="str">
        <f t="shared" si="3"/>
        <v>BJC321</v>
      </c>
      <c r="B204" s="3" t="s">
        <v>66</v>
      </c>
      <c r="C204" s="3" t="s">
        <v>47</v>
      </c>
      <c r="D204" s="3" t="s">
        <v>382</v>
      </c>
      <c r="E204" s="3" t="s">
        <v>513</v>
      </c>
      <c r="F204" s="3" t="s">
        <v>514</v>
      </c>
      <c r="G204" s="3" t="s">
        <v>28</v>
      </c>
      <c r="H204" s="3" t="s">
        <v>420</v>
      </c>
      <c r="I204" s="3" t="e">
        <f>VLOOKUP(E204,#REF!,3,FALSE)</f>
        <v>#REF!</v>
      </c>
    </row>
    <row r="205" spans="1:9" ht="14.45" customHeight="1" x14ac:dyDescent="0.3">
      <c r="A205" s="17" t="str">
        <f t="shared" si="3"/>
        <v>COM322</v>
      </c>
      <c r="B205" s="3" t="s">
        <v>66</v>
      </c>
      <c r="C205" s="3" t="s">
        <v>47</v>
      </c>
      <c r="D205" s="3" t="s">
        <v>408</v>
      </c>
      <c r="E205" s="3" t="s">
        <v>515</v>
      </c>
      <c r="F205" s="3" t="s">
        <v>516</v>
      </c>
      <c r="G205" s="3" t="s">
        <v>14</v>
      </c>
      <c r="H205" s="3" t="s">
        <v>70</v>
      </c>
      <c r="I205" s="3" t="e">
        <f>VLOOKUP(E205,#REF!,3,FALSE)</f>
        <v>#REF!</v>
      </c>
    </row>
    <row r="206" spans="1:9" ht="14.45" customHeight="1" x14ac:dyDescent="0.3">
      <c r="A206" s="17" t="str">
        <f t="shared" si="3"/>
        <v>BPA222</v>
      </c>
      <c r="B206" s="3" t="s">
        <v>66</v>
      </c>
      <c r="C206" s="3" t="s">
        <v>47</v>
      </c>
      <c r="D206" s="3" t="s">
        <v>517</v>
      </c>
      <c r="E206" s="3" t="s">
        <v>518</v>
      </c>
      <c r="F206" s="3" t="s">
        <v>519</v>
      </c>
      <c r="G206" s="3" t="s">
        <v>28</v>
      </c>
      <c r="H206" s="3" t="s">
        <v>103</v>
      </c>
      <c r="I206" s="3" t="e">
        <f>VLOOKUP(E206,#REF!,3,FALSE)</f>
        <v>#REF!</v>
      </c>
    </row>
    <row r="207" spans="1:9" ht="14.45" customHeight="1" x14ac:dyDescent="0.3">
      <c r="A207" s="17" t="str">
        <f t="shared" si="3"/>
        <v>BJC127</v>
      </c>
      <c r="B207" s="3" t="s">
        <v>66</v>
      </c>
      <c r="C207" s="3" t="s">
        <v>47</v>
      </c>
      <c r="D207" s="3" t="s">
        <v>84</v>
      </c>
      <c r="E207" s="3" t="s">
        <v>520</v>
      </c>
      <c r="F207" s="3" t="s">
        <v>521</v>
      </c>
      <c r="G207" s="3" t="s">
        <v>28</v>
      </c>
      <c r="H207" s="3" t="s">
        <v>65</v>
      </c>
      <c r="I207" s="3" t="e">
        <f>VLOOKUP(E207,#REF!,3,FALSE)</f>
        <v>#REF!</v>
      </c>
    </row>
    <row r="208" spans="1:9" ht="14.45" customHeight="1" x14ac:dyDescent="0.3">
      <c r="A208" s="17" t="str">
        <f t="shared" si="3"/>
        <v>BIT225</v>
      </c>
      <c r="B208" s="3" t="s">
        <v>66</v>
      </c>
      <c r="C208" s="3" t="s">
        <v>47</v>
      </c>
      <c r="D208" s="3" t="s">
        <v>522</v>
      </c>
      <c r="E208" s="3" t="s">
        <v>523</v>
      </c>
      <c r="F208" s="3" t="s">
        <v>524</v>
      </c>
      <c r="G208" s="3" t="s">
        <v>14</v>
      </c>
      <c r="H208" s="3" t="s">
        <v>33</v>
      </c>
      <c r="I208" s="3" t="e">
        <f>VLOOKUP(E208,#REF!,3,FALSE)</f>
        <v>#REF!</v>
      </c>
    </row>
    <row r="209" spans="1:9" ht="14.45" customHeight="1" x14ac:dyDescent="0.3">
      <c r="A209" s="17" t="str">
        <f t="shared" si="3"/>
        <v>BIT314</v>
      </c>
      <c r="B209" s="3" t="s">
        <v>66</v>
      </c>
      <c r="C209" s="3" t="s">
        <v>47</v>
      </c>
      <c r="D209" s="3" t="s">
        <v>525</v>
      </c>
      <c r="E209" s="3" t="s">
        <v>526</v>
      </c>
      <c r="F209" s="3" t="s">
        <v>527</v>
      </c>
      <c r="G209" s="3" t="s">
        <v>14</v>
      </c>
      <c r="H209" s="3" t="s">
        <v>51</v>
      </c>
      <c r="I209" s="3" t="e">
        <f>VLOOKUP(E209,#REF!,3,FALSE)</f>
        <v>#REF!</v>
      </c>
    </row>
    <row r="210" spans="1:9" ht="14.45" customHeight="1" x14ac:dyDescent="0.3">
      <c r="A210" s="17" t="str">
        <f t="shared" si="3"/>
        <v>BBA214/DBA213/AGM212</v>
      </c>
      <c r="B210" s="3" t="s">
        <v>66</v>
      </c>
      <c r="C210" s="3" t="s">
        <v>47</v>
      </c>
      <c r="D210" s="3" t="s">
        <v>528</v>
      </c>
      <c r="E210" s="3" t="s">
        <v>529</v>
      </c>
      <c r="F210" s="3" t="s">
        <v>530</v>
      </c>
      <c r="G210" s="3" t="s">
        <v>19</v>
      </c>
      <c r="H210" s="3" t="s">
        <v>20</v>
      </c>
      <c r="I210" s="3" t="e">
        <f>VLOOKUP(E210,#REF!,3,FALSE)</f>
        <v>#REF!</v>
      </c>
    </row>
    <row r="211" spans="1:9" ht="14.45" customHeight="1" x14ac:dyDescent="0.3">
      <c r="A211" s="17" t="str">
        <f t="shared" si="3"/>
        <v>IRDS211</v>
      </c>
      <c r="B211" s="3" t="s">
        <v>66</v>
      </c>
      <c r="C211" s="3" t="s">
        <v>96</v>
      </c>
      <c r="D211" s="3" t="s">
        <v>501</v>
      </c>
      <c r="E211" s="3" t="s">
        <v>531</v>
      </c>
      <c r="F211" s="3" t="s">
        <v>532</v>
      </c>
      <c r="G211" s="3" t="s">
        <v>28</v>
      </c>
      <c r="H211" s="3" t="s">
        <v>15</v>
      </c>
      <c r="I211" s="3" t="e">
        <f>VLOOKUP(E211,#REF!,3,FALSE)</f>
        <v>#REF!</v>
      </c>
    </row>
    <row r="212" spans="1:9" ht="14.45" customHeight="1" x14ac:dyDescent="0.3">
      <c r="A212" s="17" t="str">
        <f t="shared" si="3"/>
        <v>BPH113</v>
      </c>
      <c r="B212" s="3" t="s">
        <v>216</v>
      </c>
      <c r="C212" s="3" t="s">
        <v>96</v>
      </c>
      <c r="D212" s="3" t="s">
        <v>217</v>
      </c>
      <c r="E212" s="3" t="s">
        <v>533</v>
      </c>
      <c r="F212" s="3" t="s">
        <v>534</v>
      </c>
      <c r="G212" s="3" t="s">
        <v>14</v>
      </c>
      <c r="H212" s="3" t="s">
        <v>492</v>
      </c>
      <c r="I212" s="3" t="e">
        <f>VLOOKUP(E212,#REF!,3,FALSE)</f>
        <v>#REF!</v>
      </c>
    </row>
    <row r="213" spans="1:9" ht="16.5" customHeight="1" x14ac:dyDescent="0.3">
      <c r="A213" s="17" t="str">
        <f t="shared" si="3"/>
        <v>BAC313</v>
      </c>
      <c r="B213" s="3" t="s">
        <v>66</v>
      </c>
      <c r="C213" s="3" t="s">
        <v>96</v>
      </c>
      <c r="D213" s="3" t="s">
        <v>535</v>
      </c>
      <c r="E213" s="3" t="s">
        <v>536</v>
      </c>
      <c r="F213" s="3" t="s">
        <v>537</v>
      </c>
      <c r="G213" s="3" t="s">
        <v>19</v>
      </c>
      <c r="H213" s="3" t="s">
        <v>87</v>
      </c>
      <c r="I213" s="3" t="e">
        <f>VLOOKUP(E213,#REF!,3,FALSE)</f>
        <v>#REF!</v>
      </c>
    </row>
    <row r="214" spans="1:9" ht="14.45" customHeight="1" x14ac:dyDescent="0.3">
      <c r="A214" s="17" t="str">
        <f t="shared" si="3"/>
        <v>FOU110</v>
      </c>
      <c r="B214" s="3" t="s">
        <v>66</v>
      </c>
      <c r="C214" s="3" t="s">
        <v>96</v>
      </c>
      <c r="D214" s="3" t="s">
        <v>43</v>
      </c>
      <c r="E214" s="3" t="s">
        <v>538</v>
      </c>
      <c r="F214" s="3" t="s">
        <v>539</v>
      </c>
      <c r="G214" s="3" t="s">
        <v>14</v>
      </c>
      <c r="H214" s="3" t="s">
        <v>46</v>
      </c>
      <c r="I214" s="3" t="e">
        <f>VLOOKUP(E214,#REF!,3,FALSE)</f>
        <v>#REF!</v>
      </c>
    </row>
    <row r="215" spans="1:9" ht="14.45" customHeight="1" x14ac:dyDescent="0.3">
      <c r="A215" s="17" t="str">
        <f t="shared" si="3"/>
        <v>BJC324</v>
      </c>
      <c r="B215" s="3" t="s">
        <v>66</v>
      </c>
      <c r="C215" s="3" t="s">
        <v>96</v>
      </c>
      <c r="D215" s="3" t="s">
        <v>382</v>
      </c>
      <c r="E215" s="3" t="s">
        <v>540</v>
      </c>
      <c r="F215" s="3" t="s">
        <v>541</v>
      </c>
      <c r="G215" s="3" t="s">
        <v>28</v>
      </c>
      <c r="H215" s="3" t="s">
        <v>103</v>
      </c>
      <c r="I215" s="3" t="e">
        <f>VLOOKUP(E215,#REF!,3,FALSE)</f>
        <v>#REF!</v>
      </c>
    </row>
    <row r="216" spans="1:9" ht="14.45" customHeight="1" x14ac:dyDescent="0.3">
      <c r="A216" s="17" t="str">
        <f t="shared" si="3"/>
        <v>BJC217</v>
      </c>
      <c r="B216" s="3" t="s">
        <v>66</v>
      </c>
      <c r="C216" s="3" t="s">
        <v>96</v>
      </c>
      <c r="D216" s="3" t="s">
        <v>351</v>
      </c>
      <c r="E216" s="3" t="s">
        <v>542</v>
      </c>
      <c r="F216" s="3" t="s">
        <v>543</v>
      </c>
      <c r="G216" s="3" t="s">
        <v>28</v>
      </c>
      <c r="H216" s="3" t="s">
        <v>498</v>
      </c>
      <c r="I216" s="3" t="e">
        <f>VLOOKUP(E216,#REF!,3,FALSE)</f>
        <v>#REF!</v>
      </c>
    </row>
    <row r="217" spans="1:9" ht="14.45" customHeight="1" x14ac:dyDescent="0.3">
      <c r="A217" s="17" t="str">
        <f t="shared" si="3"/>
        <v>BJC112</v>
      </c>
      <c r="B217" s="3" t="s">
        <v>66</v>
      </c>
      <c r="C217" s="3" t="s">
        <v>96</v>
      </c>
      <c r="D217" s="3" t="s">
        <v>113</v>
      </c>
      <c r="E217" s="3" t="s">
        <v>544</v>
      </c>
      <c r="F217" s="3" t="s">
        <v>545</v>
      </c>
      <c r="G217" s="3" t="s">
        <v>28</v>
      </c>
      <c r="H217" s="3" t="s">
        <v>79</v>
      </c>
      <c r="I217" s="3" t="e">
        <f>VLOOKUP(E217,#REF!,3,FALSE)</f>
        <v>#REF!</v>
      </c>
    </row>
    <row r="218" spans="1:9" ht="14.45" customHeight="1" x14ac:dyDescent="0.3">
      <c r="A218" s="17" t="str">
        <f t="shared" si="3"/>
        <v>BBA211</v>
      </c>
      <c r="B218" s="3" t="s">
        <v>66</v>
      </c>
      <c r="C218" s="3" t="s">
        <v>96</v>
      </c>
      <c r="D218" s="3" t="s">
        <v>438</v>
      </c>
      <c r="E218" s="3" t="s">
        <v>546</v>
      </c>
      <c r="F218" s="3" t="s">
        <v>547</v>
      </c>
      <c r="G218" s="3" t="s">
        <v>19</v>
      </c>
      <c r="H218" s="3" t="s">
        <v>237</v>
      </c>
      <c r="I218" s="3" t="e">
        <f>VLOOKUP(E218,#REF!,3,FALSE)</f>
        <v>#REF!</v>
      </c>
    </row>
    <row r="219" spans="1:9" ht="14.45" customHeight="1" x14ac:dyDescent="0.3">
      <c r="A219" s="17" t="str">
        <f t="shared" si="3"/>
        <v>PLM325</v>
      </c>
      <c r="B219" s="3" t="s">
        <v>66</v>
      </c>
      <c r="C219" s="3" t="s">
        <v>96</v>
      </c>
      <c r="D219" s="3" t="s">
        <v>548</v>
      </c>
      <c r="E219" s="3" t="s">
        <v>549</v>
      </c>
      <c r="F219" s="3" t="s">
        <v>550</v>
      </c>
      <c r="G219" s="3" t="s">
        <v>19</v>
      </c>
      <c r="H219" s="3" t="s">
        <v>83</v>
      </c>
      <c r="I219" s="3" t="e">
        <f>VLOOKUP(E219,#REF!,3,FALSE)</f>
        <v>#REF!</v>
      </c>
    </row>
    <row r="220" spans="1:9" ht="14.45" customHeight="1" x14ac:dyDescent="0.3">
      <c r="A220" s="17" t="str">
        <f t="shared" si="3"/>
        <v>BPA211</v>
      </c>
      <c r="B220" s="3" t="s">
        <v>66</v>
      </c>
      <c r="C220" s="3" t="s">
        <v>96</v>
      </c>
      <c r="D220" s="3" t="s">
        <v>62</v>
      </c>
      <c r="E220" s="3" t="s">
        <v>551</v>
      </c>
      <c r="F220" s="3" t="s">
        <v>552</v>
      </c>
      <c r="G220" s="3" t="s">
        <v>28</v>
      </c>
      <c r="H220" s="3" t="s">
        <v>65</v>
      </c>
      <c r="I220" s="3" t="e">
        <f>VLOOKUP(E220,#REF!,3,FALSE)</f>
        <v>#REF!</v>
      </c>
    </row>
    <row r="221" spans="1:9" ht="14.45" customHeight="1" x14ac:dyDescent="0.3">
      <c r="A221" s="17" t="str">
        <f t="shared" si="3"/>
        <v>FOA120</v>
      </c>
      <c r="B221" s="3" t="s">
        <v>66</v>
      </c>
      <c r="C221" s="3" t="s">
        <v>96</v>
      </c>
      <c r="D221" s="3" t="s">
        <v>234</v>
      </c>
      <c r="E221" s="3" t="s">
        <v>553</v>
      </c>
      <c r="F221" s="3" t="s">
        <v>554</v>
      </c>
      <c r="G221" s="3" t="s">
        <v>28</v>
      </c>
      <c r="H221" s="3" t="s">
        <v>267</v>
      </c>
      <c r="I221" s="3" t="e">
        <f>VLOOKUP(E221,#REF!,3,FALSE)</f>
        <v>#REF!</v>
      </c>
    </row>
    <row r="222" spans="1:9" ht="14.45" customHeight="1" x14ac:dyDescent="0.3">
      <c r="A222" s="17" t="str">
        <f t="shared" si="3"/>
        <v>IRDS111</v>
      </c>
      <c r="B222" s="3" t="s">
        <v>66</v>
      </c>
      <c r="C222" s="3" t="s">
        <v>96</v>
      </c>
      <c r="D222" s="3" t="s">
        <v>25</v>
      </c>
      <c r="E222" s="3" t="s">
        <v>555</v>
      </c>
      <c r="F222" s="3" t="s">
        <v>556</v>
      </c>
      <c r="G222" s="3" t="s">
        <v>28</v>
      </c>
      <c r="H222" s="3" t="s">
        <v>220</v>
      </c>
      <c r="I222" s="3" t="e">
        <f>VLOOKUP(E222,#REF!,3,FALSE)</f>
        <v>#REF!</v>
      </c>
    </row>
    <row r="223" spans="1:9" ht="14.45" customHeight="1" x14ac:dyDescent="0.3">
      <c r="A223" s="17" t="str">
        <f t="shared" si="3"/>
        <v>BJC221</v>
      </c>
      <c r="B223" s="3" t="s">
        <v>66</v>
      </c>
      <c r="C223" s="3" t="s">
        <v>96</v>
      </c>
      <c r="D223" s="3" t="s">
        <v>150</v>
      </c>
      <c r="E223" s="3" t="s">
        <v>557</v>
      </c>
      <c r="F223" s="3" t="s">
        <v>558</v>
      </c>
      <c r="G223" s="3" t="s">
        <v>28</v>
      </c>
      <c r="H223" s="3" t="s">
        <v>507</v>
      </c>
      <c r="I223" s="3" t="e">
        <f>VLOOKUP(E223,#REF!,3,FALSE)</f>
        <v>#REF!</v>
      </c>
    </row>
    <row r="224" spans="1:9" ht="14.45" customHeight="1" x14ac:dyDescent="0.3">
      <c r="A224" s="17" t="str">
        <f t="shared" si="3"/>
        <v>BBA115</v>
      </c>
      <c r="B224" s="3" t="s">
        <v>66</v>
      </c>
      <c r="C224" s="3" t="s">
        <v>119</v>
      </c>
      <c r="D224" s="3" t="s">
        <v>16</v>
      </c>
      <c r="E224" s="3" t="s">
        <v>447</v>
      </c>
      <c r="F224" s="3" t="s">
        <v>448</v>
      </c>
      <c r="G224" s="3" t="s">
        <v>19</v>
      </c>
      <c r="H224" s="3" t="s">
        <v>20</v>
      </c>
      <c r="I224" s="3" t="e">
        <f>VLOOKUP(E224,#REF!,3,FALSE)</f>
        <v>#REF!</v>
      </c>
    </row>
    <row r="225" spans="1:9" ht="14.45" customHeight="1" x14ac:dyDescent="0.3">
      <c r="A225" s="17" t="str">
        <f t="shared" si="3"/>
        <v>BBA123/DBA128</v>
      </c>
      <c r="B225" s="3" t="s">
        <v>66</v>
      </c>
      <c r="C225" s="3" t="s">
        <v>96</v>
      </c>
      <c r="D225" s="5" t="s">
        <v>221</v>
      </c>
      <c r="E225" s="3" t="s">
        <v>559</v>
      </c>
      <c r="F225" s="3" t="s">
        <v>560</v>
      </c>
      <c r="G225" s="3" t="s">
        <v>19</v>
      </c>
      <c r="H225" s="3" t="s">
        <v>112</v>
      </c>
      <c r="I225" s="3" t="e">
        <f>VLOOKUP(E225,#REF!,3,FALSE)</f>
        <v>#REF!</v>
      </c>
    </row>
    <row r="226" spans="1:9" ht="14.45" customHeight="1" x14ac:dyDescent="0.3">
      <c r="A226" s="17" t="str">
        <f t="shared" si="3"/>
        <v>BPH311</v>
      </c>
      <c r="B226" s="3" t="s">
        <v>66</v>
      </c>
      <c r="C226" s="3" t="s">
        <v>96</v>
      </c>
      <c r="D226" s="3" t="s">
        <v>476</v>
      </c>
      <c r="E226" s="3" t="s">
        <v>561</v>
      </c>
      <c r="F226" s="3" t="s">
        <v>562</v>
      </c>
      <c r="G226" s="3" t="s">
        <v>14</v>
      </c>
      <c r="H226" s="3" t="s">
        <v>363</v>
      </c>
      <c r="I226" s="3" t="e">
        <f>VLOOKUP(E226,#REF!,3,FALSE)</f>
        <v>#REF!</v>
      </c>
    </row>
    <row r="227" spans="1:9" ht="14.45" customHeight="1" x14ac:dyDescent="0.3">
      <c r="A227" s="17" t="str">
        <f t="shared" si="3"/>
        <v>PLM316</v>
      </c>
      <c r="B227" s="3" t="s">
        <v>66</v>
      </c>
      <c r="C227" s="3" t="s">
        <v>96</v>
      </c>
      <c r="D227" s="3" t="s">
        <v>276</v>
      </c>
      <c r="E227" s="3" t="s">
        <v>563</v>
      </c>
      <c r="F227" s="3" t="s">
        <v>564</v>
      </c>
      <c r="G227" s="3" t="s">
        <v>19</v>
      </c>
      <c r="H227" s="3" t="s">
        <v>55</v>
      </c>
      <c r="I227" s="3" t="e">
        <f>VLOOKUP(E227,#REF!,3,FALSE)</f>
        <v>#REF!</v>
      </c>
    </row>
    <row r="228" spans="1:9" ht="14.45" customHeight="1" x14ac:dyDescent="0.3">
      <c r="A228" s="17" t="str">
        <f t="shared" si="3"/>
        <v>BJC314</v>
      </c>
      <c r="B228" s="3" t="s">
        <v>66</v>
      </c>
      <c r="C228" s="3" t="s">
        <v>96</v>
      </c>
      <c r="D228" s="3" t="s">
        <v>396</v>
      </c>
      <c r="E228" s="3" t="s">
        <v>565</v>
      </c>
      <c r="F228" s="3" t="s">
        <v>566</v>
      </c>
      <c r="G228" s="3" t="s">
        <v>28</v>
      </c>
      <c r="H228" s="3" t="s">
        <v>420</v>
      </c>
      <c r="I228" s="3" t="e">
        <f>VLOOKUP(E228,#REF!,3,FALSE)</f>
        <v>#REF!</v>
      </c>
    </row>
    <row r="229" spans="1:9" ht="14.45" customHeight="1" x14ac:dyDescent="0.3">
      <c r="A229" s="17" t="str">
        <f t="shared" si="3"/>
        <v>COM122</v>
      </c>
      <c r="B229" s="3" t="s">
        <v>66</v>
      </c>
      <c r="C229" s="3" t="s">
        <v>96</v>
      </c>
      <c r="D229" s="3" t="s">
        <v>116</v>
      </c>
      <c r="E229" s="3" t="s">
        <v>567</v>
      </c>
      <c r="F229" s="3" t="s">
        <v>568</v>
      </c>
      <c r="G229" s="3" t="s">
        <v>14</v>
      </c>
      <c r="H229" s="3" t="s">
        <v>51</v>
      </c>
      <c r="I229" s="3" t="e">
        <f>VLOOKUP(E229,#REF!,3,FALSE)</f>
        <v>#REF!</v>
      </c>
    </row>
    <row r="230" spans="1:9" ht="14.45" customHeight="1" x14ac:dyDescent="0.3">
      <c r="A230" s="17" t="str">
        <f t="shared" si="3"/>
        <v>BBA221</v>
      </c>
      <c r="B230" s="3" t="s">
        <v>66</v>
      </c>
      <c r="C230" s="3" t="s">
        <v>96</v>
      </c>
      <c r="D230" s="3" t="s">
        <v>251</v>
      </c>
      <c r="E230" s="3" t="s">
        <v>569</v>
      </c>
      <c r="F230" s="3" t="s">
        <v>570</v>
      </c>
      <c r="G230" s="3" t="s">
        <v>19</v>
      </c>
      <c r="H230" s="3" t="s">
        <v>287</v>
      </c>
      <c r="I230" s="3" t="e">
        <f>VLOOKUP(E230,#REF!,3,FALSE)</f>
        <v>#REF!</v>
      </c>
    </row>
    <row r="231" spans="1:9" ht="14.45" customHeight="1" x14ac:dyDescent="0.3">
      <c r="A231" s="17" t="str">
        <f t="shared" si="3"/>
        <v>BPR326</v>
      </c>
      <c r="B231" s="3" t="s">
        <v>66</v>
      </c>
      <c r="C231" s="3" t="s">
        <v>96</v>
      </c>
      <c r="D231" s="3" t="s">
        <v>504</v>
      </c>
      <c r="E231" s="3" t="s">
        <v>571</v>
      </c>
      <c r="F231" s="3" t="s">
        <v>572</v>
      </c>
      <c r="G231" s="3" t="s">
        <v>28</v>
      </c>
      <c r="H231" s="3" t="s">
        <v>368</v>
      </c>
      <c r="I231" s="3" t="e">
        <f>VLOOKUP(E231,#REF!,3,FALSE)</f>
        <v>#REF!</v>
      </c>
    </row>
    <row r="232" spans="1:9" ht="14.45" customHeight="1" x14ac:dyDescent="0.3">
      <c r="A232" s="17" t="str">
        <f t="shared" si="3"/>
        <v>BIT324</v>
      </c>
      <c r="B232" s="3" t="s">
        <v>66</v>
      </c>
      <c r="C232" s="3" t="s">
        <v>96</v>
      </c>
      <c r="D232" s="3" t="s">
        <v>573</v>
      </c>
      <c r="E232" s="3" t="s">
        <v>574</v>
      </c>
      <c r="F232" s="3" t="s">
        <v>575</v>
      </c>
      <c r="G232" s="3" t="s">
        <v>14</v>
      </c>
      <c r="H232" s="3" t="s">
        <v>33</v>
      </c>
      <c r="I232" s="3" t="e">
        <f>VLOOKUP(E232,#REF!,3,FALSE)</f>
        <v>#REF!</v>
      </c>
    </row>
    <row r="233" spans="1:9" ht="14.45" customHeight="1" x14ac:dyDescent="0.3">
      <c r="A233" s="17" t="str">
        <f t="shared" si="3"/>
        <v>BBA312</v>
      </c>
      <c r="B233" s="3" t="s">
        <v>66</v>
      </c>
      <c r="C233" s="3" t="s">
        <v>96</v>
      </c>
      <c r="D233" s="3" t="s">
        <v>210</v>
      </c>
      <c r="E233" s="3" t="s">
        <v>576</v>
      </c>
      <c r="F233" s="3" t="s">
        <v>577</v>
      </c>
      <c r="G233" s="3" t="s">
        <v>19</v>
      </c>
      <c r="H233" s="3" t="s">
        <v>24</v>
      </c>
      <c r="I233" s="3" t="e">
        <f>VLOOKUP(E233,#REF!,3,FALSE)</f>
        <v>#REF!</v>
      </c>
    </row>
    <row r="234" spans="1:9" ht="14.45" customHeight="1" x14ac:dyDescent="0.3">
      <c r="A234" s="17" t="str">
        <f t="shared" si="3"/>
        <v>BSE411</v>
      </c>
      <c r="B234" s="5" t="s">
        <v>66</v>
      </c>
      <c r="C234" s="3" t="s">
        <v>96</v>
      </c>
      <c r="D234" s="5" t="s">
        <v>156</v>
      </c>
      <c r="E234" s="5" t="s">
        <v>578</v>
      </c>
      <c r="F234" s="5" t="s">
        <v>579</v>
      </c>
      <c r="G234" s="5" t="s">
        <v>14</v>
      </c>
      <c r="H234" s="5" t="s">
        <v>61</v>
      </c>
      <c r="I234" s="5" t="e">
        <f>VLOOKUP(E234,#REF!,3,FALSE)</f>
        <v>#REF!</v>
      </c>
    </row>
    <row r="235" spans="1:9" ht="14.45" customHeight="1" x14ac:dyDescent="0.3">
      <c r="A235" s="17" t="str">
        <f t="shared" si="3"/>
        <v>LLB413</v>
      </c>
      <c r="B235" s="3" t="s">
        <v>66</v>
      </c>
      <c r="C235" s="3" t="s">
        <v>119</v>
      </c>
      <c r="D235" s="3" t="s">
        <v>133</v>
      </c>
      <c r="E235" s="3" t="s">
        <v>423</v>
      </c>
      <c r="F235" s="3" t="s">
        <v>424</v>
      </c>
      <c r="G235" s="3" t="s">
        <v>37</v>
      </c>
      <c r="H235" s="3" t="s">
        <v>132</v>
      </c>
      <c r="I235" s="3" t="e">
        <f>VLOOKUP(E235,#REF!,3,FALSE)</f>
        <v>#REF!</v>
      </c>
    </row>
    <row r="236" spans="1:9" ht="14.45" customHeight="1" x14ac:dyDescent="0.3">
      <c r="A236" s="17" t="str">
        <f t="shared" si="3"/>
        <v>LLB124</v>
      </c>
      <c r="B236" s="3" t="s">
        <v>66</v>
      </c>
      <c r="C236" s="3" t="s">
        <v>119</v>
      </c>
      <c r="D236" s="3" t="s">
        <v>34</v>
      </c>
      <c r="E236" s="3" t="s">
        <v>126</v>
      </c>
      <c r="F236" s="3" t="s">
        <v>127</v>
      </c>
      <c r="G236" s="3" t="s">
        <v>37</v>
      </c>
      <c r="H236" s="3" t="s">
        <v>38</v>
      </c>
      <c r="I236" s="3" t="e">
        <f>VLOOKUP(E236,#REF!,3,FALSE)</f>
        <v>#REF!</v>
      </c>
    </row>
    <row r="237" spans="1:9" ht="14.45" customHeight="1" x14ac:dyDescent="0.3">
      <c r="A237" s="17" t="str">
        <f t="shared" si="3"/>
        <v>LLB211</v>
      </c>
      <c r="B237" s="3" t="s">
        <v>66</v>
      </c>
      <c r="C237" s="3" t="s">
        <v>119</v>
      </c>
      <c r="D237" s="3" t="s">
        <v>39</v>
      </c>
      <c r="E237" s="3" t="s">
        <v>185</v>
      </c>
      <c r="F237" s="3" t="s">
        <v>186</v>
      </c>
      <c r="G237" s="3" t="s">
        <v>37</v>
      </c>
      <c r="H237" s="3" t="s">
        <v>42</v>
      </c>
      <c r="I237" s="3" t="e">
        <f>VLOOKUP(E237,#REF!,3,FALSE)</f>
        <v>#REF!</v>
      </c>
    </row>
    <row r="238" spans="1:9" ht="14.45" customHeight="1" x14ac:dyDescent="0.3">
      <c r="A238" s="17" t="str">
        <f t="shared" si="3"/>
        <v>BAC316</v>
      </c>
      <c r="B238" s="3" t="s">
        <v>66</v>
      </c>
      <c r="C238" s="3" t="s">
        <v>140</v>
      </c>
      <c r="D238" s="3" t="s">
        <v>357</v>
      </c>
      <c r="E238" s="3" t="s">
        <v>580</v>
      </c>
      <c r="F238" s="3" t="s">
        <v>581</v>
      </c>
      <c r="G238" s="3" t="s">
        <v>19</v>
      </c>
      <c r="H238" s="3" t="s">
        <v>287</v>
      </c>
      <c r="I238" s="3" t="e">
        <f>VLOOKUP(E238,#REF!,3,FALSE)</f>
        <v>#REF!</v>
      </c>
    </row>
    <row r="239" spans="1:9" ht="14.45" customHeight="1" x14ac:dyDescent="0.3">
      <c r="A239" s="17" t="str">
        <f t="shared" si="3"/>
        <v>BPA124</v>
      </c>
      <c r="B239" s="3" t="s">
        <v>66</v>
      </c>
      <c r="C239" s="3" t="s">
        <v>140</v>
      </c>
      <c r="D239" s="3" t="s">
        <v>444</v>
      </c>
      <c r="E239" s="3" t="s">
        <v>582</v>
      </c>
      <c r="F239" s="3" t="s">
        <v>583</v>
      </c>
      <c r="G239" s="3" t="s">
        <v>28</v>
      </c>
      <c r="H239" s="3" t="s">
        <v>65</v>
      </c>
      <c r="I239" s="3" t="e">
        <f>VLOOKUP(E239,#REF!,3,FALSE)</f>
        <v>#REF!</v>
      </c>
    </row>
    <row r="240" spans="1:9" ht="14.45" customHeight="1" x14ac:dyDescent="0.3">
      <c r="A240" s="17" t="str">
        <f t="shared" si="3"/>
        <v>HEC122</v>
      </c>
      <c r="B240" s="3" t="s">
        <v>66</v>
      </c>
      <c r="C240" s="3" t="s">
        <v>140</v>
      </c>
      <c r="D240" s="3" t="s">
        <v>234</v>
      </c>
      <c r="E240" s="3" t="s">
        <v>584</v>
      </c>
      <c r="F240" s="3" t="s">
        <v>585</v>
      </c>
      <c r="G240" s="3" t="s">
        <v>28</v>
      </c>
      <c r="H240" s="3" t="s">
        <v>112</v>
      </c>
      <c r="I240" s="3" t="e">
        <f>VLOOKUP(E240,#REF!,3,FALSE)</f>
        <v>#REF!</v>
      </c>
    </row>
    <row r="241" spans="1:9" ht="14.45" customHeight="1" x14ac:dyDescent="0.3">
      <c r="A241" s="17" t="str">
        <f t="shared" si="3"/>
        <v>BAC322</v>
      </c>
      <c r="B241" s="3" t="s">
        <v>170</v>
      </c>
      <c r="C241" s="3" t="s">
        <v>96</v>
      </c>
      <c r="D241" s="3" t="s">
        <v>284</v>
      </c>
      <c r="E241" s="3" t="s">
        <v>586</v>
      </c>
      <c r="F241" s="3" t="s">
        <v>587</v>
      </c>
      <c r="G241" s="3" t="s">
        <v>19</v>
      </c>
      <c r="H241" s="3" t="s">
        <v>237</v>
      </c>
      <c r="I241" s="3" t="e">
        <f>VLOOKUP(E241,#REF!,3,FALSE)</f>
        <v>#REF!</v>
      </c>
    </row>
    <row r="242" spans="1:9" ht="14.45" customHeight="1" x14ac:dyDescent="0.3">
      <c r="A242" s="17" t="str">
        <f t="shared" si="3"/>
        <v>PLM315</v>
      </c>
      <c r="B242" s="3" t="s">
        <v>66</v>
      </c>
      <c r="C242" s="3" t="s">
        <v>140</v>
      </c>
      <c r="D242" s="3" t="s">
        <v>276</v>
      </c>
      <c r="E242" s="3" t="s">
        <v>588</v>
      </c>
      <c r="F242" s="3" t="s">
        <v>589</v>
      </c>
      <c r="G242" s="3" t="s">
        <v>19</v>
      </c>
      <c r="H242" s="3" t="s">
        <v>15</v>
      </c>
      <c r="I242" s="3" t="e">
        <f>VLOOKUP(E242,#REF!,3,FALSE)</f>
        <v>#REF!</v>
      </c>
    </row>
    <row r="243" spans="1:9" ht="14.45" customHeight="1" x14ac:dyDescent="0.3">
      <c r="A243" s="17" t="str">
        <f t="shared" si="3"/>
        <v>BPH221</v>
      </c>
      <c r="B243" s="3" t="s">
        <v>66</v>
      </c>
      <c r="C243" s="3" t="s">
        <v>140</v>
      </c>
      <c r="D243" s="3" t="s">
        <v>360</v>
      </c>
      <c r="E243" s="3" t="s">
        <v>590</v>
      </c>
      <c r="F243" s="3" t="s">
        <v>591</v>
      </c>
      <c r="G243" s="3" t="s">
        <v>14</v>
      </c>
      <c r="H243" s="3" t="s">
        <v>220</v>
      </c>
      <c r="I243" s="3" t="e">
        <f>VLOOKUP(E243,#REF!,3,FALSE)</f>
        <v>#REF!</v>
      </c>
    </row>
    <row r="244" spans="1:9" ht="14.45" customHeight="1" x14ac:dyDescent="0.3">
      <c r="A244" s="17" t="str">
        <f t="shared" si="3"/>
        <v>IRDS317</v>
      </c>
      <c r="B244" s="3" t="s">
        <v>66</v>
      </c>
      <c r="C244" s="3" t="s">
        <v>140</v>
      </c>
      <c r="D244" s="3" t="s">
        <v>76</v>
      </c>
      <c r="E244" s="3" t="s">
        <v>592</v>
      </c>
      <c r="F244" s="3" t="s">
        <v>593</v>
      </c>
      <c r="G244" s="3" t="s">
        <v>28</v>
      </c>
      <c r="H244" s="3" t="s">
        <v>91</v>
      </c>
      <c r="I244" s="3" t="e">
        <f>VLOOKUP(E244,#REF!,3,FALSE)</f>
        <v>#REF!</v>
      </c>
    </row>
    <row r="245" spans="1:9" ht="14.45" customHeight="1" x14ac:dyDescent="0.3">
      <c r="A245" s="17" t="str">
        <f t="shared" si="3"/>
        <v>IRDS224</v>
      </c>
      <c r="B245" s="3" t="s">
        <v>66</v>
      </c>
      <c r="C245" s="3" t="s">
        <v>140</v>
      </c>
      <c r="D245" s="3" t="s">
        <v>390</v>
      </c>
      <c r="E245" s="3" t="s">
        <v>594</v>
      </c>
      <c r="F245" s="3" t="s">
        <v>595</v>
      </c>
      <c r="G245" s="3" t="s">
        <v>28</v>
      </c>
      <c r="H245" s="3" t="s">
        <v>79</v>
      </c>
      <c r="I245" s="3" t="e">
        <f>VLOOKUP(E245,#REF!,3,FALSE)</f>
        <v>#REF!</v>
      </c>
    </row>
    <row r="246" spans="1:9" ht="14.45" customHeight="1" x14ac:dyDescent="0.3">
      <c r="A246" s="17" t="str">
        <f t="shared" si="3"/>
        <v>IRDS322</v>
      </c>
      <c r="B246" s="3" t="s">
        <v>66</v>
      </c>
      <c r="C246" s="3" t="s">
        <v>140</v>
      </c>
      <c r="D246" s="3" t="s">
        <v>144</v>
      </c>
      <c r="E246" s="3" t="s">
        <v>596</v>
      </c>
      <c r="F246" s="3" t="s">
        <v>597</v>
      </c>
      <c r="G246" s="3" t="s">
        <v>28</v>
      </c>
      <c r="H246" s="3" t="s">
        <v>498</v>
      </c>
      <c r="I246" s="3" t="e">
        <f>VLOOKUP(E246,#REF!,3,FALSE)</f>
        <v>#REF!</v>
      </c>
    </row>
    <row r="247" spans="1:9" ht="14.45" customHeight="1" x14ac:dyDescent="0.3">
      <c r="A247" s="17" t="str">
        <f t="shared" si="3"/>
        <v>BJC213</v>
      </c>
      <c r="B247" s="3" t="s">
        <v>66</v>
      </c>
      <c r="C247" s="3" t="s">
        <v>140</v>
      </c>
      <c r="D247" s="3" t="s">
        <v>351</v>
      </c>
      <c r="E247" s="3" t="s">
        <v>598</v>
      </c>
      <c r="F247" s="3" t="s">
        <v>599</v>
      </c>
      <c r="G247" s="3" t="s">
        <v>28</v>
      </c>
      <c r="H247" s="3" t="s">
        <v>87</v>
      </c>
      <c r="I247" s="3" t="e">
        <f>VLOOKUP(E247,#REF!,3,FALSE)</f>
        <v>#REF!</v>
      </c>
    </row>
    <row r="248" spans="1:9" ht="14.45" customHeight="1" x14ac:dyDescent="0.3">
      <c r="A248" s="17" t="str">
        <f t="shared" si="3"/>
        <v>BIT123</v>
      </c>
      <c r="B248" s="3" t="s">
        <v>66</v>
      </c>
      <c r="C248" s="3" t="s">
        <v>140</v>
      </c>
      <c r="D248" s="3" t="s">
        <v>600</v>
      </c>
      <c r="E248" s="3" t="s">
        <v>601</v>
      </c>
      <c r="F248" s="3" t="s">
        <v>602</v>
      </c>
      <c r="G248" s="3" t="s">
        <v>14</v>
      </c>
      <c r="H248" s="3" t="s">
        <v>33</v>
      </c>
      <c r="I248" s="3" t="e">
        <f>VLOOKUP(E248,#REF!,3,FALSE)</f>
        <v>#REF!</v>
      </c>
    </row>
    <row r="249" spans="1:9" ht="14.45" customHeight="1" x14ac:dyDescent="0.3">
      <c r="A249" s="17" t="str">
        <f t="shared" si="3"/>
        <v>BBF326</v>
      </c>
      <c r="B249" s="3" t="s">
        <v>66</v>
      </c>
      <c r="C249" s="3" t="s">
        <v>140</v>
      </c>
      <c r="D249" s="3" t="s">
        <v>441</v>
      </c>
      <c r="E249" s="3" t="s">
        <v>603</v>
      </c>
      <c r="F249" s="3" t="s">
        <v>604</v>
      </c>
      <c r="G249" s="3" t="s">
        <v>19</v>
      </c>
      <c r="H249" s="3" t="s">
        <v>20</v>
      </c>
      <c r="I249" s="3" t="e">
        <f>VLOOKUP(E249,#REF!,3,FALSE)</f>
        <v>#REF!</v>
      </c>
    </row>
    <row r="250" spans="1:9" ht="14.45" customHeight="1" x14ac:dyDescent="0.3">
      <c r="A250" s="17" t="str">
        <f t="shared" si="3"/>
        <v>BPA116</v>
      </c>
      <c r="B250" s="3" t="s">
        <v>66</v>
      </c>
      <c r="C250" s="3" t="s">
        <v>140</v>
      </c>
      <c r="D250" s="3" t="s">
        <v>605</v>
      </c>
      <c r="E250" s="3" t="s">
        <v>606</v>
      </c>
      <c r="F250" s="3" t="s">
        <v>607</v>
      </c>
      <c r="G250" s="3" t="s">
        <v>28</v>
      </c>
      <c r="H250" s="3" t="s">
        <v>24</v>
      </c>
      <c r="I250" s="3" t="e">
        <f>VLOOKUP(E250,#REF!,3,FALSE)</f>
        <v>#REF!</v>
      </c>
    </row>
    <row r="251" spans="1:9" ht="14.45" customHeight="1" x14ac:dyDescent="0.3">
      <c r="A251" s="17" t="str">
        <f t="shared" si="3"/>
        <v>COM211</v>
      </c>
      <c r="B251" s="3" t="s">
        <v>66</v>
      </c>
      <c r="C251" s="3" t="s">
        <v>140</v>
      </c>
      <c r="D251" s="3" t="s">
        <v>608</v>
      </c>
      <c r="E251" s="3" t="s">
        <v>609</v>
      </c>
      <c r="F251" s="3" t="s">
        <v>610</v>
      </c>
      <c r="G251" s="3" t="s">
        <v>14</v>
      </c>
      <c r="H251" s="3" t="s">
        <v>51</v>
      </c>
      <c r="I251" s="3" t="e">
        <f>VLOOKUP(E251,#REF!,3,FALSE)</f>
        <v>#REF!</v>
      </c>
    </row>
    <row r="252" spans="1:9" ht="14.45" customHeight="1" x14ac:dyDescent="0.3">
      <c r="A252" s="17" t="str">
        <f t="shared" si="3"/>
        <v>BJC315</v>
      </c>
      <c r="B252" s="3" t="s">
        <v>56</v>
      </c>
      <c r="C252" s="3" t="s">
        <v>159</v>
      </c>
      <c r="D252" s="3" t="s">
        <v>396</v>
      </c>
      <c r="E252" s="3" t="s">
        <v>611</v>
      </c>
      <c r="F252" s="3" t="s">
        <v>612</v>
      </c>
      <c r="G252" s="3" t="s">
        <v>28</v>
      </c>
      <c r="H252" s="7" t="s">
        <v>55</v>
      </c>
      <c r="I252" s="3" t="e">
        <f>VLOOKUP(E252,#REF!,3,FALSE)</f>
        <v>#REF!</v>
      </c>
    </row>
    <row r="253" spans="1:9" ht="14.45" customHeight="1" x14ac:dyDescent="0.3">
      <c r="A253" s="17" t="str">
        <f t="shared" si="3"/>
        <v>BPA217</v>
      </c>
      <c r="B253" s="3" t="s">
        <v>66</v>
      </c>
      <c r="C253" s="3" t="s">
        <v>140</v>
      </c>
      <c r="D253" s="3" t="s">
        <v>62</v>
      </c>
      <c r="E253" s="3" t="s">
        <v>613</v>
      </c>
      <c r="F253" s="3" t="s">
        <v>614</v>
      </c>
      <c r="G253" s="3" t="s">
        <v>28</v>
      </c>
      <c r="H253" s="3" t="s">
        <v>103</v>
      </c>
      <c r="I253" s="3" t="e">
        <f>VLOOKUP(E253,#REF!,3,FALSE)</f>
        <v>#REF!</v>
      </c>
    </row>
    <row r="254" spans="1:9" ht="14.45" customHeight="1" x14ac:dyDescent="0.3">
      <c r="A254" s="17" t="str">
        <f t="shared" si="3"/>
        <v>HRM312</v>
      </c>
      <c r="B254" s="3" t="s">
        <v>56</v>
      </c>
      <c r="C254" s="3" t="s">
        <v>10</v>
      </c>
      <c r="D254" s="3" t="s">
        <v>229</v>
      </c>
      <c r="E254" s="3" t="s">
        <v>615</v>
      </c>
      <c r="F254" s="3" t="s">
        <v>616</v>
      </c>
      <c r="G254" s="3" t="s">
        <v>19</v>
      </c>
      <c r="H254" s="3" t="s">
        <v>83</v>
      </c>
      <c r="I254" s="3" t="e">
        <f>VLOOKUP(E254,#REF!,3,FALSE)</f>
        <v>#REF!</v>
      </c>
    </row>
    <row r="255" spans="1:9" ht="14.45" customHeight="1" x14ac:dyDescent="0.3">
      <c r="A255" s="17" t="str">
        <f t="shared" si="3"/>
        <v>BPR325</v>
      </c>
      <c r="B255" s="3" t="s">
        <v>66</v>
      </c>
      <c r="C255" s="3" t="s">
        <v>140</v>
      </c>
      <c r="D255" s="3" t="s">
        <v>504</v>
      </c>
      <c r="E255" s="3" t="s">
        <v>617</v>
      </c>
      <c r="F255" s="3" t="s">
        <v>618</v>
      </c>
      <c r="G255" s="3" t="s">
        <v>28</v>
      </c>
      <c r="H255" s="3" t="s">
        <v>29</v>
      </c>
      <c r="I255" s="3" t="e">
        <f>VLOOKUP(E255,#REF!,3,FALSE)</f>
        <v>#REF!</v>
      </c>
    </row>
    <row r="256" spans="1:9" ht="14.45" customHeight="1" x14ac:dyDescent="0.3">
      <c r="A256" s="17" t="str">
        <f t="shared" si="3"/>
        <v>PLM321</v>
      </c>
      <c r="B256" s="3" t="s">
        <v>66</v>
      </c>
      <c r="C256" s="3" t="s">
        <v>140</v>
      </c>
      <c r="D256" s="3" t="s">
        <v>187</v>
      </c>
      <c r="E256" s="3" t="s">
        <v>619</v>
      </c>
      <c r="F256" s="3" t="s">
        <v>620</v>
      </c>
      <c r="G256" s="3" t="s">
        <v>19</v>
      </c>
      <c r="H256" s="3" t="s">
        <v>55</v>
      </c>
      <c r="I256" s="3" t="e">
        <f>VLOOKUP(E256,#REF!,3,FALSE)</f>
        <v>#REF!</v>
      </c>
    </row>
    <row r="257" spans="1:9" ht="14.45" customHeight="1" x14ac:dyDescent="0.3">
      <c r="A257" s="17" t="str">
        <f t="shared" si="3"/>
        <v>BJC229</v>
      </c>
      <c r="B257" s="5" t="s">
        <v>66</v>
      </c>
      <c r="C257" s="3" t="s">
        <v>140</v>
      </c>
      <c r="D257" s="5" t="s">
        <v>150</v>
      </c>
      <c r="E257" s="5" t="s">
        <v>621</v>
      </c>
      <c r="F257" s="5" t="s">
        <v>622</v>
      </c>
      <c r="G257" s="5" t="s">
        <v>28</v>
      </c>
      <c r="H257" s="5" t="s">
        <v>420</v>
      </c>
      <c r="I257" s="5" t="e">
        <f>VLOOKUP(E257,#REF!,3,FALSE)</f>
        <v>#REF!</v>
      </c>
    </row>
    <row r="258" spans="1:9" ht="14.45" customHeight="1" x14ac:dyDescent="0.3">
      <c r="A258" s="17" t="str">
        <f t="shared" si="3"/>
        <v>LLB327</v>
      </c>
      <c r="B258" s="3" t="s">
        <v>66</v>
      </c>
      <c r="C258" s="3" t="s">
        <v>159</v>
      </c>
      <c r="D258" s="3" t="s">
        <v>163</v>
      </c>
      <c r="E258" s="3" t="s">
        <v>164</v>
      </c>
      <c r="F258" s="3" t="s">
        <v>165</v>
      </c>
      <c r="G258" s="3" t="s">
        <v>37</v>
      </c>
      <c r="H258" s="3" t="s">
        <v>42</v>
      </c>
      <c r="I258" s="3" t="e">
        <f>VLOOKUP(E258,#REF!,3,FALSE)</f>
        <v>#REF!</v>
      </c>
    </row>
    <row r="259" spans="1:9" ht="14.45" customHeight="1" x14ac:dyDescent="0.3">
      <c r="A259" s="17" t="str">
        <f t="shared" si="3"/>
        <v>LLB115</v>
      </c>
      <c r="B259" s="3" t="s">
        <v>66</v>
      </c>
      <c r="C259" s="3" t="s">
        <v>128</v>
      </c>
      <c r="D259" s="3" t="s">
        <v>120</v>
      </c>
      <c r="E259" s="3" t="s">
        <v>428</v>
      </c>
      <c r="F259" s="3" t="s">
        <v>429</v>
      </c>
      <c r="G259" s="3" t="s">
        <v>37</v>
      </c>
      <c r="H259" s="3" t="s">
        <v>123</v>
      </c>
      <c r="I259" s="3" t="e">
        <f>VLOOKUP(E259,#REF!,3,FALSE)</f>
        <v>#REF!</v>
      </c>
    </row>
    <row r="260" spans="1:9" ht="14.45" customHeight="1" x14ac:dyDescent="0.3">
      <c r="A260" s="17" t="str">
        <f t="shared" ref="A260:A323" si="4">E260</f>
        <v>LLB414</v>
      </c>
      <c r="B260" s="3" t="s">
        <v>66</v>
      </c>
      <c r="C260" s="3" t="s">
        <v>128</v>
      </c>
      <c r="D260" s="3" t="s">
        <v>133</v>
      </c>
      <c r="E260" s="3" t="s">
        <v>430</v>
      </c>
      <c r="F260" s="3" t="s">
        <v>431</v>
      </c>
      <c r="G260" s="3" t="s">
        <v>37</v>
      </c>
      <c r="H260" s="3" t="s">
        <v>136</v>
      </c>
      <c r="I260" s="3" t="e">
        <f>VLOOKUP(E260,#REF!,3,FALSE)</f>
        <v>#REF!</v>
      </c>
    </row>
    <row r="261" spans="1:9" ht="14.45" customHeight="1" x14ac:dyDescent="0.3">
      <c r="A261" s="17" t="str">
        <f t="shared" si="4"/>
        <v>LLB315</v>
      </c>
      <c r="B261" s="3" t="s">
        <v>66</v>
      </c>
      <c r="C261" s="3" t="s">
        <v>128</v>
      </c>
      <c r="D261" s="3" t="s">
        <v>180</v>
      </c>
      <c r="E261" s="3" t="s">
        <v>302</v>
      </c>
      <c r="F261" s="3" t="s">
        <v>303</v>
      </c>
      <c r="G261" s="3" t="s">
        <v>37</v>
      </c>
      <c r="H261" s="3" t="s">
        <v>132</v>
      </c>
      <c r="I261" s="3" t="e">
        <f>VLOOKUP(E261,#REF!,3,FALSE)</f>
        <v>#REF!</v>
      </c>
    </row>
    <row r="262" spans="1:9" ht="14.45" customHeight="1" x14ac:dyDescent="0.3">
      <c r="A262" s="17" t="str">
        <f t="shared" si="4"/>
        <v>LLB114</v>
      </c>
      <c r="B262" s="5" t="s">
        <v>66</v>
      </c>
      <c r="C262" s="3" t="s">
        <v>128</v>
      </c>
      <c r="D262" s="5" t="s">
        <v>120</v>
      </c>
      <c r="E262" s="5" t="s">
        <v>623</v>
      </c>
      <c r="F262" s="3" t="s">
        <v>624</v>
      </c>
      <c r="G262" s="5" t="s">
        <v>37</v>
      </c>
      <c r="H262" s="5" t="s">
        <v>123</v>
      </c>
      <c r="I262" s="3" t="e">
        <f>VLOOKUP(E262,#REF!,3,FALSE)</f>
        <v>#REF!</v>
      </c>
    </row>
    <row r="263" spans="1:9" ht="14.45" customHeight="1" x14ac:dyDescent="0.3">
      <c r="A263" s="17" t="str">
        <f t="shared" si="4"/>
        <v>LLB122</v>
      </c>
      <c r="B263" s="3" t="s">
        <v>66</v>
      </c>
      <c r="C263" s="3" t="s">
        <v>177</v>
      </c>
      <c r="D263" s="3" t="s">
        <v>34</v>
      </c>
      <c r="E263" s="3" t="s">
        <v>272</v>
      </c>
      <c r="F263" s="3" t="s">
        <v>273</v>
      </c>
      <c r="G263" s="3" t="s">
        <v>37</v>
      </c>
      <c r="H263" s="3" t="s">
        <v>38</v>
      </c>
      <c r="I263" s="3" t="e">
        <f>VLOOKUP(E263,#REF!,3,FALSE)</f>
        <v>#REF!</v>
      </c>
    </row>
    <row r="264" spans="1:9" ht="14.45" customHeight="1" x14ac:dyDescent="0.3">
      <c r="A264" s="17" t="str">
        <f t="shared" si="4"/>
        <v>LLB214</v>
      </c>
      <c r="B264" s="3" t="s">
        <v>66</v>
      </c>
      <c r="C264" s="3" t="s">
        <v>177</v>
      </c>
      <c r="D264" s="3" t="s">
        <v>39</v>
      </c>
      <c r="E264" s="3" t="s">
        <v>306</v>
      </c>
      <c r="F264" s="3" t="s">
        <v>307</v>
      </c>
      <c r="G264" s="3" t="s">
        <v>37</v>
      </c>
      <c r="H264" s="3" t="s">
        <v>42</v>
      </c>
      <c r="I264" s="3" t="e">
        <f>VLOOKUP(E264,#REF!,3,FALSE)</f>
        <v>#REF!</v>
      </c>
    </row>
    <row r="265" spans="1:9" ht="14.45" customHeight="1" x14ac:dyDescent="0.3">
      <c r="A265" s="17" t="str">
        <f t="shared" si="4"/>
        <v>LLB114</v>
      </c>
      <c r="B265" s="3" t="s">
        <v>66</v>
      </c>
      <c r="C265" s="3" t="s">
        <v>177</v>
      </c>
      <c r="D265" s="3" t="s">
        <v>120</v>
      </c>
      <c r="E265" s="3" t="s">
        <v>623</v>
      </c>
      <c r="F265" s="3" t="s">
        <v>624</v>
      </c>
      <c r="G265" s="3" t="s">
        <v>37</v>
      </c>
      <c r="H265" s="3" t="s">
        <v>123</v>
      </c>
      <c r="I265" s="3" t="e">
        <f>VLOOKUP(E265,#REF!,3,FALSE)</f>
        <v>#REF!</v>
      </c>
    </row>
    <row r="266" spans="1:9" ht="14.45" customHeight="1" x14ac:dyDescent="0.3">
      <c r="A266" s="17" t="str">
        <f t="shared" si="4"/>
        <v>BIT321</v>
      </c>
      <c r="B266" s="3" t="s">
        <v>216</v>
      </c>
      <c r="C266" s="3" t="s">
        <v>10</v>
      </c>
      <c r="D266" s="3" t="s">
        <v>625</v>
      </c>
      <c r="E266" s="3" t="s">
        <v>626</v>
      </c>
      <c r="F266" s="3" t="s">
        <v>627</v>
      </c>
      <c r="G266" s="3" t="s">
        <v>14</v>
      </c>
      <c r="H266" s="3" t="s">
        <v>51</v>
      </c>
      <c r="I266" s="3" t="e">
        <f>VLOOKUP(E266,#REF!,3,FALSE)</f>
        <v>#REF!</v>
      </c>
    </row>
    <row r="267" spans="1:9" ht="14.45" customHeight="1" x14ac:dyDescent="0.3">
      <c r="A267" s="17" t="str">
        <f t="shared" si="4"/>
        <v>BAC215</v>
      </c>
      <c r="B267" s="3" t="s">
        <v>216</v>
      </c>
      <c r="C267" s="3" t="s">
        <v>10</v>
      </c>
      <c r="D267" s="3" t="s">
        <v>438</v>
      </c>
      <c r="E267" s="3" t="s">
        <v>628</v>
      </c>
      <c r="F267" s="3" t="s">
        <v>629</v>
      </c>
      <c r="G267" s="3" t="s">
        <v>19</v>
      </c>
      <c r="H267" s="3" t="s">
        <v>20</v>
      </c>
      <c r="I267" s="3" t="e">
        <f>VLOOKUP(E267,#REF!,3,FALSE)</f>
        <v>#REF!</v>
      </c>
    </row>
    <row r="268" spans="1:9" ht="14.45" customHeight="1" x14ac:dyDescent="0.3">
      <c r="A268" s="17" t="str">
        <f t="shared" si="4"/>
        <v>EHS313</v>
      </c>
      <c r="B268" s="3" t="s">
        <v>216</v>
      </c>
      <c r="C268" s="3" t="s">
        <v>10</v>
      </c>
      <c r="D268" s="3" t="s">
        <v>476</v>
      </c>
      <c r="E268" s="3" t="s">
        <v>630</v>
      </c>
      <c r="F268" s="3" t="s">
        <v>631</v>
      </c>
      <c r="G268" s="3" t="s">
        <v>14</v>
      </c>
      <c r="H268" s="3" t="s">
        <v>29</v>
      </c>
      <c r="I268" s="3" t="e">
        <f>VLOOKUP(E268,#REF!,3,FALSE)</f>
        <v>#REF!</v>
      </c>
    </row>
    <row r="269" spans="1:9" ht="14.45" customHeight="1" x14ac:dyDescent="0.3">
      <c r="A269" s="17" t="str">
        <f t="shared" si="4"/>
        <v>BJC122</v>
      </c>
      <c r="B269" s="3" t="s">
        <v>216</v>
      </c>
      <c r="C269" s="3" t="s">
        <v>10</v>
      </c>
      <c r="D269" s="3" t="s">
        <v>84</v>
      </c>
      <c r="E269" s="3" t="s">
        <v>632</v>
      </c>
      <c r="F269" s="3" t="s">
        <v>633</v>
      </c>
      <c r="G269" s="3" t="s">
        <v>28</v>
      </c>
      <c r="H269" s="3" t="s">
        <v>87</v>
      </c>
      <c r="I269" s="3" t="e">
        <f>VLOOKUP(E269,#REF!,3,FALSE)</f>
        <v>#REF!</v>
      </c>
    </row>
    <row r="270" spans="1:9" ht="14.45" customHeight="1" x14ac:dyDescent="0.3">
      <c r="A270" s="17" t="str">
        <f t="shared" si="4"/>
        <v>BIT125/DBA212</v>
      </c>
      <c r="B270" s="3" t="s">
        <v>216</v>
      </c>
      <c r="C270" s="3" t="s">
        <v>47</v>
      </c>
      <c r="D270" s="3" t="s">
        <v>634</v>
      </c>
      <c r="E270" s="3" t="s">
        <v>635</v>
      </c>
      <c r="F270" s="3" t="s">
        <v>636</v>
      </c>
      <c r="G270" s="3" t="s">
        <v>14</v>
      </c>
      <c r="H270" s="3" t="s">
        <v>91</v>
      </c>
      <c r="I270" s="3" t="e">
        <f>VLOOKUP(E270,#REF!,3,FALSE)</f>
        <v>#REF!</v>
      </c>
    </row>
    <row r="271" spans="1:9" ht="14.45" customHeight="1" x14ac:dyDescent="0.3">
      <c r="A271" s="17" t="str">
        <f t="shared" si="4"/>
        <v>COM123</v>
      </c>
      <c r="B271" s="3" t="s">
        <v>216</v>
      </c>
      <c r="C271" s="3" t="s">
        <v>10</v>
      </c>
      <c r="D271" s="3" t="s">
        <v>637</v>
      </c>
      <c r="E271" s="3" t="s">
        <v>638</v>
      </c>
      <c r="F271" s="3" t="s">
        <v>639</v>
      </c>
      <c r="G271" s="3" t="s">
        <v>14</v>
      </c>
      <c r="H271" s="3" t="s">
        <v>267</v>
      </c>
      <c r="I271" s="3" t="e">
        <f>VLOOKUP(E271,#REF!,3,FALSE)</f>
        <v>#REF!</v>
      </c>
    </row>
    <row r="272" spans="1:9" ht="14.45" customHeight="1" x14ac:dyDescent="0.3">
      <c r="A272" s="17" t="str">
        <f t="shared" si="4"/>
        <v>EHS112</v>
      </c>
      <c r="B272" s="3" t="s">
        <v>216</v>
      </c>
      <c r="C272" s="3" t="s">
        <v>10</v>
      </c>
      <c r="D272" s="3" t="s">
        <v>354</v>
      </c>
      <c r="E272" s="3" t="s">
        <v>640</v>
      </c>
      <c r="F272" s="3" t="s">
        <v>641</v>
      </c>
      <c r="G272" s="3" t="s">
        <v>14</v>
      </c>
      <c r="H272" s="3" t="s">
        <v>220</v>
      </c>
      <c r="I272" s="3" t="e">
        <f>VLOOKUP(E272,#REF!,3,FALSE)</f>
        <v>#REF!</v>
      </c>
    </row>
    <row r="273" spans="1:9" ht="14.45" customHeight="1" x14ac:dyDescent="0.3">
      <c r="A273" s="17" t="str">
        <f t="shared" si="4"/>
        <v>IRDS217</v>
      </c>
      <c r="B273" s="3" t="s">
        <v>216</v>
      </c>
      <c r="C273" s="3" t="s">
        <v>10</v>
      </c>
      <c r="D273" s="3" t="s">
        <v>501</v>
      </c>
      <c r="E273" s="3" t="s">
        <v>642</v>
      </c>
      <c r="F273" s="3" t="s">
        <v>643</v>
      </c>
      <c r="G273" s="3" t="s">
        <v>28</v>
      </c>
      <c r="H273" s="3" t="s">
        <v>83</v>
      </c>
      <c r="I273" s="3" t="e">
        <f>VLOOKUP(E273,#REF!,3,FALSE)</f>
        <v>#REF!</v>
      </c>
    </row>
    <row r="274" spans="1:9" ht="14.45" customHeight="1" x14ac:dyDescent="0.3">
      <c r="A274" s="17" t="str">
        <f t="shared" si="4"/>
        <v>RSC001</v>
      </c>
      <c r="B274" s="3" t="s">
        <v>216</v>
      </c>
      <c r="C274" s="3" t="s">
        <v>10</v>
      </c>
      <c r="D274" s="3" t="s">
        <v>644</v>
      </c>
      <c r="E274" s="3" t="s">
        <v>645</v>
      </c>
      <c r="F274" s="3" t="s">
        <v>646</v>
      </c>
      <c r="G274" s="3" t="s">
        <v>19</v>
      </c>
      <c r="H274" s="3" t="s">
        <v>112</v>
      </c>
      <c r="I274" s="3" t="e">
        <f>VLOOKUP(E274,#REF!,3,FALSE)</f>
        <v>#REF!</v>
      </c>
    </row>
    <row r="275" spans="1:9" ht="14.45" customHeight="1" x14ac:dyDescent="0.3">
      <c r="A275" s="17" t="str">
        <f t="shared" si="4"/>
        <v>BBA224</v>
      </c>
      <c r="B275" s="3" t="s">
        <v>216</v>
      </c>
      <c r="C275" s="3" t="s">
        <v>10</v>
      </c>
      <c r="D275" s="3" t="s">
        <v>251</v>
      </c>
      <c r="E275" s="3" t="s">
        <v>647</v>
      </c>
      <c r="F275" s="3" t="s">
        <v>648</v>
      </c>
      <c r="G275" s="3" t="s">
        <v>19</v>
      </c>
      <c r="H275" s="3" t="s">
        <v>237</v>
      </c>
      <c r="I275" s="3" t="e">
        <f>VLOOKUP(E275,#REF!,3,FALSE)</f>
        <v>#REF!</v>
      </c>
    </row>
    <row r="276" spans="1:9" ht="14.45" customHeight="1" x14ac:dyDescent="0.3">
      <c r="A276" s="17" t="str">
        <f t="shared" si="4"/>
        <v>LLB411</v>
      </c>
      <c r="B276" s="3" t="s">
        <v>216</v>
      </c>
      <c r="C276" s="3" t="s">
        <v>10</v>
      </c>
      <c r="D276" s="3" t="s">
        <v>133</v>
      </c>
      <c r="E276" s="3" t="s">
        <v>333</v>
      </c>
      <c r="F276" s="3" t="s">
        <v>334</v>
      </c>
      <c r="G276" s="3" t="s">
        <v>37</v>
      </c>
      <c r="H276" s="3" t="s">
        <v>38</v>
      </c>
      <c r="I276" s="3" t="e">
        <f>VLOOKUP(E276,#REF!,3,FALSE)</f>
        <v>#REF!</v>
      </c>
    </row>
    <row r="277" spans="1:9" ht="14.45" customHeight="1" x14ac:dyDescent="0.3">
      <c r="A277" s="17" t="str">
        <f t="shared" si="4"/>
        <v>BPA216</v>
      </c>
      <c r="B277" s="3" t="s">
        <v>216</v>
      </c>
      <c r="C277" s="3" t="s">
        <v>10</v>
      </c>
      <c r="D277" s="3" t="s">
        <v>62</v>
      </c>
      <c r="E277" s="3" t="s">
        <v>649</v>
      </c>
      <c r="F277" s="3" t="s">
        <v>650</v>
      </c>
      <c r="G277" s="3" t="s">
        <v>28</v>
      </c>
      <c r="H277" s="3" t="s">
        <v>79</v>
      </c>
      <c r="I277" s="3" t="e">
        <f>VLOOKUP(E277,#REF!,3,FALSE)</f>
        <v>#REF!</v>
      </c>
    </row>
    <row r="278" spans="1:9" ht="14.45" customHeight="1" x14ac:dyDescent="0.3">
      <c r="A278" s="17" t="str">
        <f t="shared" si="4"/>
        <v>BBA317</v>
      </c>
      <c r="B278" s="3" t="s">
        <v>216</v>
      </c>
      <c r="C278" s="3" t="s">
        <v>10</v>
      </c>
      <c r="D278" s="3" t="s">
        <v>535</v>
      </c>
      <c r="E278" s="3" t="s">
        <v>651</v>
      </c>
      <c r="F278" s="3" t="s">
        <v>652</v>
      </c>
      <c r="G278" s="3" t="s">
        <v>19</v>
      </c>
      <c r="H278" s="3" t="s">
        <v>287</v>
      </c>
      <c r="I278" s="3" t="e">
        <f>VLOOKUP(E278,#REF!,3,FALSE)</f>
        <v>#REF!</v>
      </c>
    </row>
    <row r="279" spans="1:9" ht="14.45" customHeight="1" x14ac:dyDescent="0.3">
      <c r="A279" s="17" t="str">
        <f t="shared" si="4"/>
        <v>BJC124</v>
      </c>
      <c r="B279" s="3" t="s">
        <v>216</v>
      </c>
      <c r="C279" s="3" t="s">
        <v>10</v>
      </c>
      <c r="D279" s="3" t="s">
        <v>351</v>
      </c>
      <c r="E279" s="3" t="s">
        <v>653</v>
      </c>
      <c r="F279" s="3" t="s">
        <v>654</v>
      </c>
      <c r="G279" s="3" t="s">
        <v>28</v>
      </c>
      <c r="H279" s="3" t="s">
        <v>29</v>
      </c>
      <c r="I279" s="3" t="e">
        <f>VLOOKUP(E279,#REF!,3,FALSE)</f>
        <v>#REF!</v>
      </c>
    </row>
    <row r="280" spans="1:9" ht="14.45" customHeight="1" x14ac:dyDescent="0.3">
      <c r="A280" s="17" t="str">
        <f t="shared" si="4"/>
        <v>BIT312/BSE311</v>
      </c>
      <c r="B280" s="3" t="s">
        <v>216</v>
      </c>
      <c r="C280" s="3" t="s">
        <v>10</v>
      </c>
      <c r="D280" s="3" t="s">
        <v>525</v>
      </c>
      <c r="E280" s="3" t="s">
        <v>655</v>
      </c>
      <c r="F280" s="3" t="s">
        <v>656</v>
      </c>
      <c r="G280" s="3" t="s">
        <v>14</v>
      </c>
      <c r="H280" s="3" t="s">
        <v>46</v>
      </c>
      <c r="I280" s="3" t="e">
        <f>VLOOKUP(E280,#REF!,3,FALSE)</f>
        <v>#REF!</v>
      </c>
    </row>
    <row r="281" spans="1:9" ht="14.45" customHeight="1" x14ac:dyDescent="0.3">
      <c r="A281" s="17" t="str">
        <f t="shared" si="4"/>
        <v>HEC111</v>
      </c>
      <c r="B281" s="3" t="s">
        <v>216</v>
      </c>
      <c r="C281" s="3" t="s">
        <v>10</v>
      </c>
      <c r="D281" s="3" t="s">
        <v>43</v>
      </c>
      <c r="E281" s="3" t="s">
        <v>657</v>
      </c>
      <c r="F281" s="3" t="s">
        <v>658</v>
      </c>
      <c r="G281" s="3" t="s">
        <v>14</v>
      </c>
      <c r="H281" s="3" t="s">
        <v>33</v>
      </c>
      <c r="I281" s="3" t="e">
        <f>VLOOKUP(E281,#REF!,3,FALSE)</f>
        <v>#REF!</v>
      </c>
    </row>
    <row r="282" spans="1:9" ht="14.45" customHeight="1" x14ac:dyDescent="0.3">
      <c r="A282" s="17" t="str">
        <f t="shared" si="4"/>
        <v>FOS126</v>
      </c>
      <c r="B282" s="5" t="s">
        <v>216</v>
      </c>
      <c r="C282" s="3" t="s">
        <v>10</v>
      </c>
      <c r="D282" s="5" t="s">
        <v>92</v>
      </c>
      <c r="E282" s="5" t="s">
        <v>659</v>
      </c>
      <c r="F282" s="5" t="s">
        <v>660</v>
      </c>
      <c r="G282" s="5" t="s">
        <v>14</v>
      </c>
      <c r="H282" s="3" t="s">
        <v>363</v>
      </c>
      <c r="I282" s="3" t="e">
        <f>VLOOKUP(E282,#REF!,3,FALSE)</f>
        <v>#REF!</v>
      </c>
    </row>
    <row r="283" spans="1:9" ht="14.45" customHeight="1" x14ac:dyDescent="0.3">
      <c r="A283" s="17" t="str">
        <f t="shared" si="4"/>
        <v>BAC314</v>
      </c>
      <c r="B283" s="3" t="s">
        <v>216</v>
      </c>
      <c r="C283" s="3" t="s">
        <v>47</v>
      </c>
      <c r="D283" s="3" t="s">
        <v>535</v>
      </c>
      <c r="E283" s="3" t="s">
        <v>661</v>
      </c>
      <c r="F283" s="3" t="s">
        <v>662</v>
      </c>
      <c r="G283" s="3" t="s">
        <v>19</v>
      </c>
      <c r="H283" s="3" t="s">
        <v>287</v>
      </c>
      <c r="I283" s="3" t="e">
        <f>VLOOKUP(E283,#REF!,3,FALSE)</f>
        <v>#REF!</v>
      </c>
    </row>
    <row r="284" spans="1:9" ht="14.45" customHeight="1" x14ac:dyDescent="0.3">
      <c r="A284" s="17" t="str">
        <f t="shared" si="4"/>
        <v>BPH314</v>
      </c>
      <c r="B284" s="3" t="s">
        <v>216</v>
      </c>
      <c r="C284" s="3" t="s">
        <v>47</v>
      </c>
      <c r="D284" s="3" t="s">
        <v>476</v>
      </c>
      <c r="E284" s="3" t="s">
        <v>663</v>
      </c>
      <c r="F284" s="3" t="s">
        <v>664</v>
      </c>
      <c r="G284" s="3" t="s">
        <v>14</v>
      </c>
      <c r="H284" s="3" t="s">
        <v>492</v>
      </c>
      <c r="I284" s="3" t="e">
        <f>VLOOKUP(E284,#REF!,3,FALSE)</f>
        <v>#REF!</v>
      </c>
    </row>
    <row r="285" spans="1:9" ht="14.45" customHeight="1" x14ac:dyDescent="0.3">
      <c r="A285" s="17" t="str">
        <f t="shared" si="4"/>
        <v>BJC312</v>
      </c>
      <c r="B285" s="3" t="s">
        <v>216</v>
      </c>
      <c r="C285" s="3" t="s">
        <v>47</v>
      </c>
      <c r="D285" s="3" t="s">
        <v>396</v>
      </c>
      <c r="E285" s="3" t="s">
        <v>665</v>
      </c>
      <c r="F285" s="3" t="s">
        <v>666</v>
      </c>
      <c r="G285" s="3" t="s">
        <v>28</v>
      </c>
      <c r="H285" s="3" t="s">
        <v>420</v>
      </c>
      <c r="I285" s="3" t="e">
        <f>VLOOKUP(E285,#REF!,3,FALSE)</f>
        <v>#REF!</v>
      </c>
    </row>
    <row r="286" spans="1:9" ht="14.45" customHeight="1" x14ac:dyDescent="0.3">
      <c r="A286" s="17" t="str">
        <f t="shared" si="4"/>
        <v>FOS112</v>
      </c>
      <c r="B286" s="3" t="s">
        <v>216</v>
      </c>
      <c r="C286" s="3" t="s">
        <v>47</v>
      </c>
      <c r="D286" s="3" t="s">
        <v>489</v>
      </c>
      <c r="E286" s="3" t="s">
        <v>667</v>
      </c>
      <c r="F286" s="3" t="s">
        <v>668</v>
      </c>
      <c r="G286" s="3" t="s">
        <v>14</v>
      </c>
      <c r="H286" s="3" t="s">
        <v>363</v>
      </c>
      <c r="I286" s="3" t="e">
        <f>VLOOKUP(E286,#REF!,3,FALSE)</f>
        <v>#REF!</v>
      </c>
    </row>
    <row r="287" spans="1:9" ht="14.45" customHeight="1" x14ac:dyDescent="0.3">
      <c r="A287" s="17" t="str">
        <f t="shared" si="4"/>
        <v>EHS121</v>
      </c>
      <c r="B287" s="3" t="s">
        <v>216</v>
      </c>
      <c r="C287" s="3" t="s">
        <v>47</v>
      </c>
      <c r="D287" s="3" t="s">
        <v>354</v>
      </c>
      <c r="E287" s="3" t="s">
        <v>669</v>
      </c>
      <c r="F287" s="3" t="s">
        <v>670</v>
      </c>
      <c r="G287" s="3" t="s">
        <v>14</v>
      </c>
      <c r="H287" s="3" t="s">
        <v>29</v>
      </c>
      <c r="I287" s="3" t="e">
        <f>VLOOKUP(E287,#REF!,3,FALSE)</f>
        <v>#REF!</v>
      </c>
    </row>
    <row r="288" spans="1:9" ht="14.45" customHeight="1" x14ac:dyDescent="0.3">
      <c r="A288" s="17" t="str">
        <f t="shared" si="4"/>
        <v>BPA112</v>
      </c>
      <c r="B288" s="3" t="s">
        <v>170</v>
      </c>
      <c r="C288" s="3" t="s">
        <v>47</v>
      </c>
      <c r="D288" s="3" t="s">
        <v>605</v>
      </c>
      <c r="E288" s="3" t="s">
        <v>671</v>
      </c>
      <c r="F288" s="3" t="s">
        <v>672</v>
      </c>
      <c r="G288" s="3" t="s">
        <v>28</v>
      </c>
      <c r="H288" s="3" t="s">
        <v>498</v>
      </c>
      <c r="I288" s="3" t="e">
        <f>VLOOKUP(E288,#REF!,3,FALSE)</f>
        <v>#REF!</v>
      </c>
    </row>
    <row r="289" spans="1:9" ht="14.45" customHeight="1" x14ac:dyDescent="0.3">
      <c r="A289" s="17" t="str">
        <f t="shared" si="4"/>
        <v>BJC226</v>
      </c>
      <c r="B289" s="3" t="s">
        <v>216</v>
      </c>
      <c r="C289" s="3" t="s">
        <v>47</v>
      </c>
      <c r="D289" s="3" t="s">
        <v>150</v>
      </c>
      <c r="E289" s="3" t="s">
        <v>673</v>
      </c>
      <c r="F289" s="3" t="s">
        <v>674</v>
      </c>
      <c r="G289" s="3" t="s">
        <v>28</v>
      </c>
      <c r="H289" s="3" t="s">
        <v>29</v>
      </c>
      <c r="I289" s="3" t="e">
        <f>VLOOKUP(E289,#REF!,3,FALSE)</f>
        <v>#REF!</v>
      </c>
    </row>
    <row r="290" spans="1:9" ht="14.45" customHeight="1" x14ac:dyDescent="0.3">
      <c r="A290" s="17" t="str">
        <f t="shared" si="4"/>
        <v>IRDS128</v>
      </c>
      <c r="B290" s="3" t="s">
        <v>216</v>
      </c>
      <c r="C290" s="3" t="s">
        <v>47</v>
      </c>
      <c r="D290" s="3" t="s">
        <v>80</v>
      </c>
      <c r="E290" s="3" t="s">
        <v>675</v>
      </c>
      <c r="F290" s="3" t="s">
        <v>676</v>
      </c>
      <c r="G290" s="3" t="s">
        <v>28</v>
      </c>
      <c r="H290" s="3" t="s">
        <v>65</v>
      </c>
      <c r="I290" s="3" t="e">
        <f>VLOOKUP(E290,#REF!,3,FALSE)</f>
        <v>#REF!</v>
      </c>
    </row>
    <row r="291" spans="1:9" ht="14.45" customHeight="1" x14ac:dyDescent="0.3">
      <c r="A291" s="17" t="str">
        <f t="shared" si="4"/>
        <v>RSC001-B</v>
      </c>
      <c r="B291" s="3" t="s">
        <v>216</v>
      </c>
      <c r="C291" s="3" t="s">
        <v>47</v>
      </c>
      <c r="D291" s="3" t="s">
        <v>251</v>
      </c>
      <c r="E291" s="3" t="s">
        <v>677</v>
      </c>
      <c r="F291" s="3" t="s">
        <v>646</v>
      </c>
      <c r="G291" s="3" t="s">
        <v>19</v>
      </c>
      <c r="H291" s="3" t="s">
        <v>20</v>
      </c>
      <c r="I291" s="3" t="e">
        <f>VLOOKUP(E291,#REF!,3,FALSE)</f>
        <v>#REF!</v>
      </c>
    </row>
    <row r="292" spans="1:9" ht="14.45" customHeight="1" x14ac:dyDescent="0.3">
      <c r="A292" s="17" t="str">
        <f t="shared" si="4"/>
        <v>BBA324</v>
      </c>
      <c r="B292" s="3" t="s">
        <v>216</v>
      </c>
      <c r="C292" s="3" t="s">
        <v>47</v>
      </c>
      <c r="D292" s="3" t="s">
        <v>678</v>
      </c>
      <c r="E292" s="3" t="s">
        <v>679</v>
      </c>
      <c r="F292" s="3" t="s">
        <v>680</v>
      </c>
      <c r="G292" s="3" t="s">
        <v>19</v>
      </c>
      <c r="H292" s="3" t="s">
        <v>55</v>
      </c>
      <c r="I292" s="3" t="e">
        <f>VLOOKUP(E292,#REF!,3,FALSE)</f>
        <v>#REF!</v>
      </c>
    </row>
    <row r="293" spans="1:9" ht="14.45" customHeight="1" x14ac:dyDescent="0.3">
      <c r="A293" s="17" t="str">
        <f t="shared" si="4"/>
        <v>COM111</v>
      </c>
      <c r="B293" s="3" t="s">
        <v>216</v>
      </c>
      <c r="C293" s="3" t="s">
        <v>47</v>
      </c>
      <c r="D293" s="3" t="s">
        <v>681</v>
      </c>
      <c r="E293" s="3" t="s">
        <v>682</v>
      </c>
      <c r="F293" s="3" t="s">
        <v>683</v>
      </c>
      <c r="G293" s="3" t="s">
        <v>14</v>
      </c>
      <c r="H293" s="3" t="s">
        <v>267</v>
      </c>
      <c r="I293" s="3" t="e">
        <f>VLOOKUP(E293,#REF!,3,FALSE)</f>
        <v>#REF!</v>
      </c>
    </row>
    <row r="294" spans="1:9" ht="14.45" customHeight="1" x14ac:dyDescent="0.3">
      <c r="A294" s="17" t="str">
        <f t="shared" si="4"/>
        <v>IRDS222</v>
      </c>
      <c r="B294" s="3" t="s">
        <v>216</v>
      </c>
      <c r="C294" s="3" t="s">
        <v>47</v>
      </c>
      <c r="D294" s="3" t="s">
        <v>390</v>
      </c>
      <c r="E294" s="3" t="s">
        <v>684</v>
      </c>
      <c r="F294" s="3" t="s">
        <v>685</v>
      </c>
      <c r="G294" s="3" t="s">
        <v>28</v>
      </c>
      <c r="H294" s="3" t="s">
        <v>112</v>
      </c>
      <c r="I294" s="3" t="e">
        <f>VLOOKUP(E294,#REF!,3,FALSE)</f>
        <v>#REF!</v>
      </c>
    </row>
    <row r="295" spans="1:9" ht="14.45" customHeight="1" x14ac:dyDescent="0.3">
      <c r="A295" s="17" t="str">
        <f t="shared" si="4"/>
        <v xml:space="preserve">BPH224  </v>
      </c>
      <c r="B295" s="3" t="s">
        <v>216</v>
      </c>
      <c r="C295" s="3" t="s">
        <v>47</v>
      </c>
      <c r="D295" s="3" t="s">
        <v>360</v>
      </c>
      <c r="E295" s="3" t="s">
        <v>686</v>
      </c>
      <c r="F295" s="3" t="s">
        <v>687</v>
      </c>
      <c r="G295" s="3" t="s">
        <v>14</v>
      </c>
      <c r="H295" s="3" t="s">
        <v>103</v>
      </c>
      <c r="I295" s="3" t="e">
        <f>VLOOKUP(E295,#REF!,3,FALSE)</f>
        <v>#REF!</v>
      </c>
    </row>
    <row r="296" spans="1:9" ht="14.45" customHeight="1" x14ac:dyDescent="0.3">
      <c r="A296" s="17" t="str">
        <f t="shared" si="4"/>
        <v>BBF315</v>
      </c>
      <c r="B296" s="3" t="s">
        <v>216</v>
      </c>
      <c r="C296" s="3" t="s">
        <v>47</v>
      </c>
      <c r="D296" s="3" t="s">
        <v>688</v>
      </c>
      <c r="E296" s="3" t="s">
        <v>689</v>
      </c>
      <c r="F296" s="3" t="s">
        <v>690</v>
      </c>
      <c r="G296" s="3" t="s">
        <v>19</v>
      </c>
      <c r="H296" s="3" t="s">
        <v>79</v>
      </c>
      <c r="I296" s="3" t="e">
        <f>VLOOKUP(E296,#REF!,3,FALSE)</f>
        <v>#REF!</v>
      </c>
    </row>
    <row r="297" spans="1:9" ht="14.45" customHeight="1" x14ac:dyDescent="0.3">
      <c r="A297" s="17" t="str">
        <f t="shared" si="4"/>
        <v>HRM313</v>
      </c>
      <c r="B297" s="3" t="s">
        <v>216</v>
      </c>
      <c r="C297" s="3" t="s">
        <v>47</v>
      </c>
      <c r="D297" s="3" t="s">
        <v>229</v>
      </c>
      <c r="E297" s="3" t="s">
        <v>691</v>
      </c>
      <c r="F297" s="3" t="s">
        <v>692</v>
      </c>
      <c r="G297" s="3" t="s">
        <v>19</v>
      </c>
      <c r="H297" s="3" t="s">
        <v>24</v>
      </c>
      <c r="I297" s="3" t="e">
        <f>VLOOKUP(E297,#REF!,3,FALSE)</f>
        <v>#REF!</v>
      </c>
    </row>
    <row r="298" spans="1:9" ht="14.45" customHeight="1" x14ac:dyDescent="0.3">
      <c r="A298" s="17" t="str">
        <f t="shared" si="4"/>
        <v>BIT323</v>
      </c>
      <c r="B298" s="3" t="s">
        <v>216</v>
      </c>
      <c r="C298" s="3" t="s">
        <v>47</v>
      </c>
      <c r="D298" s="3" t="s">
        <v>693</v>
      </c>
      <c r="E298" s="3" t="s">
        <v>694</v>
      </c>
      <c r="F298" s="3" t="s">
        <v>695</v>
      </c>
      <c r="G298" s="3" t="s">
        <v>14</v>
      </c>
      <c r="H298" s="3" t="s">
        <v>61</v>
      </c>
      <c r="I298" s="3" t="e">
        <f>VLOOKUP(E298,#REF!,3,FALSE)</f>
        <v>#REF!</v>
      </c>
    </row>
    <row r="299" spans="1:9" ht="14.45" customHeight="1" x14ac:dyDescent="0.3">
      <c r="A299" s="17" t="str">
        <f t="shared" si="4"/>
        <v>PLM311</v>
      </c>
      <c r="B299" s="3" t="s">
        <v>216</v>
      </c>
      <c r="C299" s="3" t="s">
        <v>47</v>
      </c>
      <c r="D299" s="3" t="s">
        <v>696</v>
      </c>
      <c r="E299" s="3" t="s">
        <v>697</v>
      </c>
      <c r="F299" s="3" t="s">
        <v>698</v>
      </c>
      <c r="G299" s="3" t="s">
        <v>19</v>
      </c>
      <c r="H299" s="3" t="s">
        <v>237</v>
      </c>
      <c r="I299" s="3" t="e">
        <f>VLOOKUP(E299,#REF!,3,FALSE)</f>
        <v>#REF!</v>
      </c>
    </row>
    <row r="300" spans="1:9" ht="14.45" customHeight="1" x14ac:dyDescent="0.3">
      <c r="A300" s="17" t="str">
        <f t="shared" si="4"/>
        <v>BBF325</v>
      </c>
      <c r="B300" s="3" t="s">
        <v>216</v>
      </c>
      <c r="C300" s="3" t="s">
        <v>47</v>
      </c>
      <c r="D300" s="3" t="s">
        <v>284</v>
      </c>
      <c r="E300" s="3" t="s">
        <v>699</v>
      </c>
      <c r="F300" s="3" t="s">
        <v>700</v>
      </c>
      <c r="G300" s="3" t="s">
        <v>19</v>
      </c>
      <c r="H300" s="3" t="s">
        <v>83</v>
      </c>
      <c r="I300" s="3" t="e">
        <f>VLOOKUP(E300,#REF!,3,FALSE)</f>
        <v>#REF!</v>
      </c>
    </row>
    <row r="301" spans="1:9" ht="14.45" customHeight="1" x14ac:dyDescent="0.3">
      <c r="A301" s="17" t="str">
        <f t="shared" si="4"/>
        <v>BPR324</v>
      </c>
      <c r="B301" s="3" t="s">
        <v>216</v>
      </c>
      <c r="C301" s="3" t="s">
        <v>47</v>
      </c>
      <c r="D301" s="3" t="s">
        <v>504</v>
      </c>
      <c r="E301" s="3" t="s">
        <v>701</v>
      </c>
      <c r="F301" s="3" t="s">
        <v>702</v>
      </c>
      <c r="G301" s="12" t="s">
        <v>28</v>
      </c>
      <c r="H301" s="12" t="s">
        <v>87</v>
      </c>
      <c r="I301" s="3" t="e">
        <f>VLOOKUP(E301,#REF!,3,FALSE)</f>
        <v>#REF!</v>
      </c>
    </row>
    <row r="302" spans="1:9" ht="14.45" customHeight="1" x14ac:dyDescent="0.3">
      <c r="A302" s="17" t="str">
        <f t="shared" si="4"/>
        <v>BIT223</v>
      </c>
      <c r="B302" s="3" t="s">
        <v>216</v>
      </c>
      <c r="C302" s="3" t="s">
        <v>47</v>
      </c>
      <c r="D302" s="3" t="s">
        <v>522</v>
      </c>
      <c r="E302" s="3" t="s">
        <v>703</v>
      </c>
      <c r="F302" s="3" t="s">
        <v>704</v>
      </c>
      <c r="G302" s="3" t="s">
        <v>14</v>
      </c>
      <c r="H302" s="3" t="s">
        <v>51</v>
      </c>
      <c r="I302" s="3" t="e">
        <f>VLOOKUP(E302,#REF!,3,FALSE)</f>
        <v>#REF!</v>
      </c>
    </row>
    <row r="303" spans="1:9" ht="14.45" customHeight="1" x14ac:dyDescent="0.3">
      <c r="A303" s="17" t="str">
        <f t="shared" si="4"/>
        <v>IRDS225</v>
      </c>
      <c r="B303" s="3" t="s">
        <v>170</v>
      </c>
      <c r="C303" s="3" t="s">
        <v>96</v>
      </c>
      <c r="D303" s="3" t="s">
        <v>390</v>
      </c>
      <c r="E303" s="3" t="s">
        <v>705</v>
      </c>
      <c r="F303" s="3" t="s">
        <v>706</v>
      </c>
      <c r="G303" s="3" t="s">
        <v>28</v>
      </c>
      <c r="H303" s="3" t="s">
        <v>112</v>
      </c>
      <c r="I303" s="3" t="e">
        <f>VLOOKUP(E303,#REF!,3,FALSE)</f>
        <v>#REF!</v>
      </c>
    </row>
    <row r="304" spans="1:9" ht="14.45" customHeight="1" x14ac:dyDescent="0.3">
      <c r="A304" s="17" t="str">
        <f t="shared" si="4"/>
        <v>BBF311</v>
      </c>
      <c r="B304" s="3" t="s">
        <v>216</v>
      </c>
      <c r="C304" s="3" t="s">
        <v>96</v>
      </c>
      <c r="D304" s="3" t="s">
        <v>688</v>
      </c>
      <c r="E304" s="3" t="s">
        <v>707</v>
      </c>
      <c r="F304" s="3" t="s">
        <v>708</v>
      </c>
      <c r="G304" s="3" t="s">
        <v>19</v>
      </c>
      <c r="H304" s="3" t="s">
        <v>83</v>
      </c>
      <c r="I304" s="3" t="e">
        <f>VLOOKUP(E304,#REF!,3,FALSE)</f>
        <v>#REF!</v>
      </c>
    </row>
    <row r="305" spans="1:9" ht="14.45" customHeight="1" x14ac:dyDescent="0.3">
      <c r="A305" s="17" t="str">
        <f t="shared" si="4"/>
        <v>BPH124</v>
      </c>
      <c r="B305" s="3" t="s">
        <v>216</v>
      </c>
      <c r="C305" s="3" t="s">
        <v>96</v>
      </c>
      <c r="D305" s="3" t="s">
        <v>354</v>
      </c>
      <c r="E305" s="3" t="s">
        <v>709</v>
      </c>
      <c r="F305" s="3" t="s">
        <v>710</v>
      </c>
      <c r="G305" s="3" t="s">
        <v>14</v>
      </c>
      <c r="H305" s="3" t="s">
        <v>220</v>
      </c>
      <c r="I305" s="3" t="e">
        <f>VLOOKUP(E305,#REF!,3,FALSE)</f>
        <v>#REF!</v>
      </c>
    </row>
    <row r="306" spans="1:9" ht="14.45" customHeight="1" x14ac:dyDescent="0.3">
      <c r="A306" s="17" t="str">
        <f t="shared" si="4"/>
        <v>BPR323</v>
      </c>
      <c r="B306" s="3" t="s">
        <v>216</v>
      </c>
      <c r="C306" s="3" t="s">
        <v>96</v>
      </c>
      <c r="D306" s="3" t="s">
        <v>504</v>
      </c>
      <c r="E306" s="3" t="s">
        <v>711</v>
      </c>
      <c r="F306" s="3" t="s">
        <v>712</v>
      </c>
      <c r="G306" s="3" t="s">
        <v>28</v>
      </c>
      <c r="H306" s="3" t="s">
        <v>87</v>
      </c>
      <c r="I306" s="3" t="e">
        <f>VLOOKUP(E306,#REF!,3,FALSE)</f>
        <v>#REF!</v>
      </c>
    </row>
    <row r="307" spans="1:9" ht="14.45" customHeight="1" x14ac:dyDescent="0.3">
      <c r="A307" s="17" t="str">
        <f t="shared" si="4"/>
        <v>BIT322</v>
      </c>
      <c r="B307" s="3" t="s">
        <v>216</v>
      </c>
      <c r="C307" s="3" t="s">
        <v>96</v>
      </c>
      <c r="D307" s="3" t="s">
        <v>194</v>
      </c>
      <c r="E307" s="3" t="s">
        <v>713</v>
      </c>
      <c r="F307" s="3" t="s">
        <v>714</v>
      </c>
      <c r="G307" s="3" t="s">
        <v>14</v>
      </c>
      <c r="H307" s="3" t="s">
        <v>15</v>
      </c>
      <c r="I307" s="3" t="e">
        <f>VLOOKUP(E307,#REF!,3,FALSE)</f>
        <v>#REF!</v>
      </c>
    </row>
    <row r="308" spans="1:9" ht="14.45" customHeight="1" x14ac:dyDescent="0.3">
      <c r="A308" s="17" t="str">
        <f t="shared" si="4"/>
        <v>HRM311</v>
      </c>
      <c r="B308" s="3" t="s">
        <v>216</v>
      </c>
      <c r="C308" s="3" t="s">
        <v>96</v>
      </c>
      <c r="D308" s="3" t="s">
        <v>229</v>
      </c>
      <c r="E308" s="6" t="s">
        <v>715</v>
      </c>
      <c r="F308" s="3" t="s">
        <v>716</v>
      </c>
      <c r="G308" s="3" t="s">
        <v>19</v>
      </c>
      <c r="H308" s="3" t="s">
        <v>24</v>
      </c>
      <c r="I308" s="3" t="e">
        <f>VLOOKUP(E308,#REF!,3,FALSE)</f>
        <v>#REF!</v>
      </c>
    </row>
    <row r="309" spans="1:9" ht="14.45" customHeight="1" x14ac:dyDescent="0.3">
      <c r="A309" s="17" t="str">
        <f t="shared" si="4"/>
        <v>BPH323</v>
      </c>
      <c r="B309" s="3" t="s">
        <v>216</v>
      </c>
      <c r="C309" s="3" t="s">
        <v>96</v>
      </c>
      <c r="D309" s="3" t="s">
        <v>717</v>
      </c>
      <c r="E309" s="3" t="s">
        <v>718</v>
      </c>
      <c r="F309" s="3" t="s">
        <v>719</v>
      </c>
      <c r="G309" s="3" t="s">
        <v>14</v>
      </c>
      <c r="H309" s="3" t="s">
        <v>29</v>
      </c>
      <c r="I309" s="3" t="e">
        <f>VLOOKUP(E309,#REF!,3,FALSE)</f>
        <v>#REF!</v>
      </c>
    </row>
    <row r="310" spans="1:9" ht="14.45" customHeight="1" x14ac:dyDescent="0.3">
      <c r="A310" s="17" t="str">
        <f t="shared" si="4"/>
        <v>BAC326</v>
      </c>
      <c r="B310" s="3" t="s">
        <v>216</v>
      </c>
      <c r="C310" s="3" t="s">
        <v>96</v>
      </c>
      <c r="D310" s="3" t="s">
        <v>284</v>
      </c>
      <c r="E310" s="3" t="s">
        <v>720</v>
      </c>
      <c r="F310" s="3" t="s">
        <v>721</v>
      </c>
      <c r="G310" s="3" t="s">
        <v>19</v>
      </c>
      <c r="H310" s="3" t="s">
        <v>241</v>
      </c>
      <c r="I310" s="3" t="e">
        <f>VLOOKUP(E310,#REF!,3,FALSE)</f>
        <v>#REF!</v>
      </c>
    </row>
    <row r="311" spans="1:9" ht="14.45" customHeight="1" x14ac:dyDescent="0.3">
      <c r="A311" s="17" t="str">
        <f t="shared" si="4"/>
        <v>IRDS321</v>
      </c>
      <c r="B311" s="3" t="s">
        <v>216</v>
      </c>
      <c r="C311" s="3" t="s">
        <v>96</v>
      </c>
      <c r="D311" s="3" t="s">
        <v>144</v>
      </c>
      <c r="E311" s="3" t="s">
        <v>722</v>
      </c>
      <c r="F311" s="3" t="s">
        <v>723</v>
      </c>
      <c r="G311" s="3" t="s">
        <v>28</v>
      </c>
      <c r="H311" s="3" t="s">
        <v>103</v>
      </c>
      <c r="I311" s="3" t="e">
        <f>VLOOKUP(E311,#REF!,3,FALSE)</f>
        <v>#REF!</v>
      </c>
    </row>
    <row r="312" spans="1:9" ht="14.45" customHeight="1" x14ac:dyDescent="0.3">
      <c r="A312" s="17" t="str">
        <f t="shared" si="4"/>
        <v>IRDS125/BPA126</v>
      </c>
      <c r="B312" s="3" t="s">
        <v>216</v>
      </c>
      <c r="C312" s="3" t="s">
        <v>96</v>
      </c>
      <c r="D312" s="3" t="s">
        <v>724</v>
      </c>
      <c r="E312" s="3" t="s">
        <v>725</v>
      </c>
      <c r="F312" s="3" t="s">
        <v>726</v>
      </c>
      <c r="G312" s="3" t="s">
        <v>28</v>
      </c>
      <c r="H312" s="3" t="s">
        <v>29</v>
      </c>
      <c r="I312" s="3" t="e">
        <f>VLOOKUP(E312,#REF!,3,FALSE)</f>
        <v>#REF!</v>
      </c>
    </row>
    <row r="313" spans="1:9" ht="14.45" customHeight="1" x14ac:dyDescent="0.3">
      <c r="A313" s="17" t="str">
        <f t="shared" si="4"/>
        <v>BPA322</v>
      </c>
      <c r="B313" s="3" t="s">
        <v>216</v>
      </c>
      <c r="C313" s="3" t="s">
        <v>96</v>
      </c>
      <c r="D313" s="3" t="s">
        <v>479</v>
      </c>
      <c r="E313" s="3" t="s">
        <v>727</v>
      </c>
      <c r="F313" s="3" t="s">
        <v>728</v>
      </c>
      <c r="G313" s="3" t="s">
        <v>28</v>
      </c>
      <c r="H313" s="3" t="s">
        <v>498</v>
      </c>
      <c r="I313" s="3" t="e">
        <f>VLOOKUP(E313,#REF!,3,FALSE)</f>
        <v>#REF!</v>
      </c>
    </row>
    <row r="314" spans="1:9" ht="14.45" customHeight="1" x14ac:dyDescent="0.3">
      <c r="A314" s="17" t="str">
        <f t="shared" si="4"/>
        <v>BBA124/DBA124</v>
      </c>
      <c r="B314" s="3" t="s">
        <v>216</v>
      </c>
      <c r="C314" s="3" t="s">
        <v>96</v>
      </c>
      <c r="D314" s="3" t="s">
        <v>221</v>
      </c>
      <c r="E314" s="3" t="s">
        <v>729</v>
      </c>
      <c r="F314" s="3" t="s">
        <v>730</v>
      </c>
      <c r="G314" s="3" t="s">
        <v>19</v>
      </c>
      <c r="H314" s="3" t="s">
        <v>20</v>
      </c>
      <c r="I314" s="3" t="e">
        <f>VLOOKUP(E314,#REF!,3,FALSE)</f>
        <v>#REF!</v>
      </c>
    </row>
    <row r="315" spans="1:9" ht="14.45" customHeight="1" x14ac:dyDescent="0.3">
      <c r="A315" s="17" t="str">
        <f t="shared" si="4"/>
        <v>BJC214</v>
      </c>
      <c r="B315" s="3" t="s">
        <v>216</v>
      </c>
      <c r="C315" s="3" t="s">
        <v>96</v>
      </c>
      <c r="D315" s="3" t="s">
        <v>351</v>
      </c>
      <c r="E315" s="3" t="s">
        <v>731</v>
      </c>
      <c r="F315" s="3" t="s">
        <v>732</v>
      </c>
      <c r="G315" s="3" t="s">
        <v>28</v>
      </c>
      <c r="H315" s="3" t="s">
        <v>420</v>
      </c>
      <c r="I315" s="3" t="e">
        <f>VLOOKUP(E315,#REF!,3,FALSE)</f>
        <v>#REF!</v>
      </c>
    </row>
    <row r="316" spans="1:9" ht="14.45" customHeight="1" x14ac:dyDescent="0.3">
      <c r="A316" s="17" t="str">
        <f t="shared" si="4"/>
        <v>BPA111</v>
      </c>
      <c r="B316" s="3" t="s">
        <v>216</v>
      </c>
      <c r="C316" s="3" t="s">
        <v>96</v>
      </c>
      <c r="D316" s="3" t="s">
        <v>733</v>
      </c>
      <c r="E316" s="3" t="s">
        <v>734</v>
      </c>
      <c r="F316" s="3" t="s">
        <v>735</v>
      </c>
      <c r="G316" s="3" t="s">
        <v>28</v>
      </c>
      <c r="H316" s="3" t="s">
        <v>79</v>
      </c>
      <c r="I316" s="3" t="e">
        <f>VLOOKUP(E316,#REF!,3,FALSE)</f>
        <v>#REF!</v>
      </c>
    </row>
    <row r="317" spans="1:9" ht="14.45" customHeight="1" x14ac:dyDescent="0.3">
      <c r="A317" s="17" t="str">
        <f t="shared" si="4"/>
        <v>PLM312</v>
      </c>
      <c r="B317" s="3" t="s">
        <v>216</v>
      </c>
      <c r="C317" s="3" t="s">
        <v>96</v>
      </c>
      <c r="D317" s="3" t="s">
        <v>276</v>
      </c>
      <c r="E317" s="3" t="s">
        <v>736</v>
      </c>
      <c r="F317" s="3" t="s">
        <v>737</v>
      </c>
      <c r="G317" s="3" t="s">
        <v>19</v>
      </c>
      <c r="H317" s="3" t="s">
        <v>55</v>
      </c>
      <c r="I317" s="3" t="e">
        <f>VLOOKUP(E317,#REF!,3,FALSE)</f>
        <v>#REF!</v>
      </c>
    </row>
    <row r="318" spans="1:9" ht="14.45" customHeight="1" x14ac:dyDescent="0.3">
      <c r="A318" s="17" t="str">
        <f t="shared" si="4"/>
        <v>BBA215/DBA215</v>
      </c>
      <c r="B318" s="13" t="s">
        <v>216</v>
      </c>
      <c r="C318" s="3" t="s">
        <v>96</v>
      </c>
      <c r="D318" s="3" t="s">
        <v>738</v>
      </c>
      <c r="E318" s="14" t="s">
        <v>739</v>
      </c>
      <c r="F318" s="14" t="s">
        <v>740</v>
      </c>
      <c r="G318" s="3" t="s">
        <v>19</v>
      </c>
      <c r="H318" s="3" t="s">
        <v>237</v>
      </c>
      <c r="I318" s="3" t="e">
        <f>VLOOKUP(E318,#REF!,3,FALSE)</f>
        <v>#REF!</v>
      </c>
    </row>
    <row r="319" spans="1:9" ht="14.45" customHeight="1" x14ac:dyDescent="0.3">
      <c r="A319" s="17" t="str">
        <f t="shared" si="4"/>
        <v>BIT214</v>
      </c>
      <c r="B319" s="3" t="s">
        <v>216</v>
      </c>
      <c r="C319" s="3" t="s">
        <v>96</v>
      </c>
      <c r="D319" s="3" t="s">
        <v>741</v>
      </c>
      <c r="E319" s="3" t="s">
        <v>742</v>
      </c>
      <c r="F319" s="3" t="s">
        <v>743</v>
      </c>
      <c r="G319" s="3" t="s">
        <v>14</v>
      </c>
      <c r="H319" s="3" t="s">
        <v>33</v>
      </c>
      <c r="I319" s="3" t="e">
        <f>VLOOKUP(E319,#REF!,3,FALSE)</f>
        <v>#REF!</v>
      </c>
    </row>
    <row r="320" spans="1:9" ht="14.45" customHeight="1" x14ac:dyDescent="0.3">
      <c r="A320" s="17" t="str">
        <f t="shared" si="4"/>
        <v>LLB215</v>
      </c>
      <c r="B320" s="3" t="s">
        <v>216</v>
      </c>
      <c r="C320" s="3" t="s">
        <v>119</v>
      </c>
      <c r="D320" s="3" t="s">
        <v>39</v>
      </c>
      <c r="E320" s="3" t="s">
        <v>124</v>
      </c>
      <c r="F320" s="3" t="s">
        <v>125</v>
      </c>
      <c r="G320" s="3" t="s">
        <v>37</v>
      </c>
      <c r="H320" s="3" t="s">
        <v>38</v>
      </c>
      <c r="I320" s="3" t="e">
        <f>VLOOKUP(E320,#REF!,3,FALSE)</f>
        <v>#REF!</v>
      </c>
    </row>
    <row r="321" spans="1:9" ht="14.45" customHeight="1" x14ac:dyDescent="0.3">
      <c r="A321" s="17" t="str">
        <f t="shared" si="4"/>
        <v>LLB422</v>
      </c>
      <c r="B321" s="3" t="s">
        <v>216</v>
      </c>
      <c r="C321" s="3" t="s">
        <v>119</v>
      </c>
      <c r="D321" s="3" t="s">
        <v>160</v>
      </c>
      <c r="E321" s="3" t="s">
        <v>304</v>
      </c>
      <c r="F321" s="3" t="s">
        <v>305</v>
      </c>
      <c r="G321" s="3" t="s">
        <v>37</v>
      </c>
      <c r="H321" s="3" t="s">
        <v>123</v>
      </c>
      <c r="I321" s="3" t="e">
        <f>VLOOKUP(E321,#REF!,3,FALSE)</f>
        <v>#REF!</v>
      </c>
    </row>
    <row r="322" spans="1:9" ht="14.45" customHeight="1" x14ac:dyDescent="0.3">
      <c r="A322" s="17" t="str">
        <f t="shared" si="4"/>
        <v>LLB312</v>
      </c>
      <c r="B322" s="3" t="s">
        <v>216</v>
      </c>
      <c r="C322" s="3" t="s">
        <v>119</v>
      </c>
      <c r="D322" s="3" t="s">
        <v>180</v>
      </c>
      <c r="E322" s="3" t="s">
        <v>274</v>
      </c>
      <c r="F322" s="3" t="s">
        <v>275</v>
      </c>
      <c r="G322" s="3" t="s">
        <v>37</v>
      </c>
      <c r="H322" s="3" t="s">
        <v>123</v>
      </c>
      <c r="I322" s="3" t="e">
        <f>VLOOKUP(E322,#REF!,3,FALSE)</f>
        <v>#REF!</v>
      </c>
    </row>
    <row r="323" spans="1:9" ht="14.45" customHeight="1" x14ac:dyDescent="0.3">
      <c r="A323" s="17" t="str">
        <f t="shared" si="4"/>
        <v>BBF322</v>
      </c>
      <c r="B323" s="3" t="s">
        <v>216</v>
      </c>
      <c r="C323" s="3" t="s">
        <v>140</v>
      </c>
      <c r="D323" s="3" t="s">
        <v>441</v>
      </c>
      <c r="E323" s="3" t="s">
        <v>744</v>
      </c>
      <c r="F323" s="3" t="s">
        <v>745</v>
      </c>
      <c r="G323" s="3" t="s">
        <v>19</v>
      </c>
      <c r="H323" s="3" t="s">
        <v>20</v>
      </c>
      <c r="I323" s="3" t="e">
        <f>VLOOKUP(E323,#REF!,3,FALSE)</f>
        <v>#REF!</v>
      </c>
    </row>
    <row r="324" spans="1:9" ht="14.45" customHeight="1" x14ac:dyDescent="0.3">
      <c r="A324" s="17" t="str">
        <f t="shared" ref="A324:A387" si="5">E324</f>
        <v>BPH121</v>
      </c>
      <c r="B324" s="3" t="s">
        <v>216</v>
      </c>
      <c r="C324" s="3" t="s">
        <v>140</v>
      </c>
      <c r="D324" s="3" t="s">
        <v>354</v>
      </c>
      <c r="E324" s="3" t="s">
        <v>746</v>
      </c>
      <c r="F324" s="3" t="s">
        <v>747</v>
      </c>
      <c r="G324" s="3" t="s">
        <v>14</v>
      </c>
      <c r="H324" s="3" t="s">
        <v>220</v>
      </c>
      <c r="I324" s="3" t="e">
        <f>VLOOKUP(E324,#REF!,3,FALSE)</f>
        <v>#REF!</v>
      </c>
    </row>
    <row r="325" spans="1:9" ht="14.45" customHeight="1" x14ac:dyDescent="0.3">
      <c r="A325" s="17" t="str">
        <f t="shared" si="5"/>
        <v>BPR322</v>
      </c>
      <c r="B325" s="3" t="s">
        <v>216</v>
      </c>
      <c r="C325" s="3" t="s">
        <v>140</v>
      </c>
      <c r="D325" s="3" t="s">
        <v>504</v>
      </c>
      <c r="E325" s="3" t="s">
        <v>748</v>
      </c>
      <c r="F325" s="3" t="s">
        <v>749</v>
      </c>
      <c r="G325" s="3" t="s">
        <v>28</v>
      </c>
      <c r="H325" s="3" t="s">
        <v>420</v>
      </c>
      <c r="I325" s="3" t="e">
        <f>VLOOKUP(E325,#REF!,3,FALSE)</f>
        <v>#REF!</v>
      </c>
    </row>
    <row r="326" spans="1:9" ht="14.45" customHeight="1" x14ac:dyDescent="0.3">
      <c r="A326" s="17" t="str">
        <f t="shared" si="5"/>
        <v>EHS322</v>
      </c>
      <c r="B326" s="3" t="s">
        <v>216</v>
      </c>
      <c r="C326" s="3" t="s">
        <v>140</v>
      </c>
      <c r="D326" s="3" t="s">
        <v>325</v>
      </c>
      <c r="E326" s="3" t="s">
        <v>750</v>
      </c>
      <c r="F326" s="3" t="s">
        <v>751</v>
      </c>
      <c r="G326" s="3" t="s">
        <v>14</v>
      </c>
      <c r="H326" s="3" t="s">
        <v>29</v>
      </c>
      <c r="I326" s="3" t="e">
        <f>VLOOKUP(E326,#REF!,3,FALSE)</f>
        <v>#REF!</v>
      </c>
    </row>
    <row r="327" spans="1:9" ht="14.45" customHeight="1" x14ac:dyDescent="0.3">
      <c r="A327" s="17" t="str">
        <f t="shared" si="5"/>
        <v>BJC123</v>
      </c>
      <c r="B327" s="3" t="s">
        <v>216</v>
      </c>
      <c r="C327" s="3" t="s">
        <v>140</v>
      </c>
      <c r="D327" s="3" t="s">
        <v>84</v>
      </c>
      <c r="E327" s="3" t="s">
        <v>752</v>
      </c>
      <c r="F327" s="3" t="s">
        <v>753</v>
      </c>
      <c r="G327" s="3" t="s">
        <v>28</v>
      </c>
      <c r="H327" s="3" t="s">
        <v>83</v>
      </c>
      <c r="I327" s="3" t="e">
        <f>VLOOKUP(E327,#REF!,3,FALSE)</f>
        <v>#REF!</v>
      </c>
    </row>
    <row r="328" spans="1:9" ht="14.45" customHeight="1" x14ac:dyDescent="0.3">
      <c r="A328" s="17" t="str">
        <f t="shared" si="5"/>
        <v>IRDS215</v>
      </c>
      <c r="B328" s="3" t="s">
        <v>216</v>
      </c>
      <c r="C328" s="3" t="s">
        <v>140</v>
      </c>
      <c r="D328" s="3" t="s">
        <v>501</v>
      </c>
      <c r="E328" s="3" t="s">
        <v>754</v>
      </c>
      <c r="F328" s="3" t="s">
        <v>755</v>
      </c>
      <c r="G328" s="3" t="s">
        <v>28</v>
      </c>
      <c r="H328" s="3" t="s">
        <v>24</v>
      </c>
      <c r="I328" s="3" t="e">
        <f>VLOOKUP(E328,#REF!,3,FALSE)</f>
        <v>#REF!</v>
      </c>
    </row>
    <row r="329" spans="1:9" ht="14.45" customHeight="1" x14ac:dyDescent="0.3">
      <c r="A329" s="17" t="str">
        <f t="shared" si="5"/>
        <v>IRDS324</v>
      </c>
      <c r="B329" s="3" t="s">
        <v>216</v>
      </c>
      <c r="C329" s="3" t="s">
        <v>140</v>
      </c>
      <c r="D329" s="3" t="s">
        <v>144</v>
      </c>
      <c r="E329" s="3" t="s">
        <v>756</v>
      </c>
      <c r="F329" s="3" t="s">
        <v>757</v>
      </c>
      <c r="G329" s="3" t="s">
        <v>28</v>
      </c>
      <c r="H329" s="3" t="s">
        <v>65</v>
      </c>
      <c r="I329" s="3" t="e">
        <f>VLOOKUP(E329,#REF!,3,FALSE)</f>
        <v>#REF!</v>
      </c>
    </row>
    <row r="330" spans="1:9" ht="14.45" customHeight="1" x14ac:dyDescent="0.3">
      <c r="A330" s="17" t="str">
        <f t="shared" si="5"/>
        <v>BIT313</v>
      </c>
      <c r="B330" s="3" t="s">
        <v>216</v>
      </c>
      <c r="C330" s="3" t="s">
        <v>140</v>
      </c>
      <c r="D330" s="5" t="s">
        <v>758</v>
      </c>
      <c r="E330" s="3" t="s">
        <v>759</v>
      </c>
      <c r="F330" s="3" t="s">
        <v>760</v>
      </c>
      <c r="G330" s="3" t="s">
        <v>14</v>
      </c>
      <c r="H330" s="3" t="s">
        <v>91</v>
      </c>
      <c r="I330" s="3" t="e">
        <f>VLOOKUP(E330,#REF!,3,FALSE)</f>
        <v>#REF!</v>
      </c>
    </row>
    <row r="331" spans="1:9" ht="14.45" customHeight="1" x14ac:dyDescent="0.3">
      <c r="A331" s="17" t="str">
        <f t="shared" si="5"/>
        <v>BPH211</v>
      </c>
      <c r="B331" s="3" t="s">
        <v>216</v>
      </c>
      <c r="C331" s="3" t="s">
        <v>140</v>
      </c>
      <c r="D331" s="3" t="s">
        <v>281</v>
      </c>
      <c r="E331" s="3" t="s">
        <v>761</v>
      </c>
      <c r="F331" s="7" t="s">
        <v>762</v>
      </c>
      <c r="G331" s="3" t="s">
        <v>14</v>
      </c>
      <c r="H331" s="3" t="s">
        <v>492</v>
      </c>
      <c r="I331" s="3" t="e">
        <f>VLOOKUP(E331,#REF!,3,FALSE)</f>
        <v>#REF!</v>
      </c>
    </row>
    <row r="332" spans="1:9" ht="14.45" customHeight="1" x14ac:dyDescent="0.3">
      <c r="A332" s="17" t="str">
        <f t="shared" si="5"/>
        <v>IRDS227</v>
      </c>
      <c r="B332" s="3" t="s">
        <v>216</v>
      </c>
      <c r="C332" s="3" t="s">
        <v>140</v>
      </c>
      <c r="D332" s="3" t="s">
        <v>390</v>
      </c>
      <c r="E332" s="3" t="s">
        <v>763</v>
      </c>
      <c r="F332" s="3" t="s">
        <v>764</v>
      </c>
      <c r="G332" s="3" t="s">
        <v>28</v>
      </c>
      <c r="H332" s="3" t="s">
        <v>112</v>
      </c>
      <c r="I332" s="3" t="e">
        <f>VLOOKUP(E332,#REF!,3,FALSE)</f>
        <v>#REF!</v>
      </c>
    </row>
    <row r="333" spans="1:9" ht="14.45" customHeight="1" x14ac:dyDescent="0.3">
      <c r="A333" s="17" t="str">
        <f t="shared" si="5"/>
        <v>BPA313</v>
      </c>
      <c r="B333" s="3" t="s">
        <v>216</v>
      </c>
      <c r="C333" s="3" t="s">
        <v>140</v>
      </c>
      <c r="D333" s="3" t="s">
        <v>106</v>
      </c>
      <c r="E333" s="3" t="s">
        <v>765</v>
      </c>
      <c r="F333" s="3" t="s">
        <v>766</v>
      </c>
      <c r="G333" s="3" t="s">
        <v>28</v>
      </c>
      <c r="H333" s="3" t="s">
        <v>287</v>
      </c>
      <c r="I333" s="3" t="e">
        <f>VLOOKUP(E333,#REF!,3,FALSE)</f>
        <v>#REF!</v>
      </c>
    </row>
    <row r="334" spans="1:9" ht="14.45" customHeight="1" x14ac:dyDescent="0.3">
      <c r="A334" s="17" t="str">
        <f t="shared" si="5"/>
        <v>NGO316</v>
      </c>
      <c r="B334" s="9" t="s">
        <v>216</v>
      </c>
      <c r="C334" s="3" t="s">
        <v>140</v>
      </c>
      <c r="D334" s="3" t="s">
        <v>517</v>
      </c>
      <c r="E334" s="3" t="s">
        <v>767</v>
      </c>
      <c r="F334" s="3" t="s">
        <v>768</v>
      </c>
      <c r="G334" s="3" t="s">
        <v>28</v>
      </c>
      <c r="H334" s="3" t="s">
        <v>79</v>
      </c>
      <c r="I334" s="3" t="e">
        <f>VLOOKUP(E334,#REF!,3,FALSE)</f>
        <v>#REF!</v>
      </c>
    </row>
    <row r="335" spans="1:9" ht="14.45" customHeight="1" x14ac:dyDescent="0.3">
      <c r="A335" s="17" t="str">
        <f t="shared" si="5"/>
        <v>COM311</v>
      </c>
      <c r="B335" s="3" t="s">
        <v>216</v>
      </c>
      <c r="C335" s="3" t="s">
        <v>140</v>
      </c>
      <c r="D335" s="3" t="s">
        <v>97</v>
      </c>
      <c r="E335" s="3" t="s">
        <v>769</v>
      </c>
      <c r="F335" s="3" t="s">
        <v>770</v>
      </c>
      <c r="G335" s="3" t="s">
        <v>14</v>
      </c>
      <c r="H335" s="3" t="s">
        <v>61</v>
      </c>
      <c r="I335" s="3" t="e">
        <f>VLOOKUP(E335,#REF!,3,FALSE)</f>
        <v>#REF!</v>
      </c>
    </row>
    <row r="336" spans="1:9" ht="14.45" customHeight="1" x14ac:dyDescent="0.3">
      <c r="A336" s="17" t="str">
        <f t="shared" si="5"/>
        <v>BPA325</v>
      </c>
      <c r="B336" s="3" t="s">
        <v>216</v>
      </c>
      <c r="C336" s="3" t="s">
        <v>140</v>
      </c>
      <c r="D336" s="3" t="s">
        <v>479</v>
      </c>
      <c r="E336" s="3" t="s">
        <v>771</v>
      </c>
      <c r="F336" s="3" t="s">
        <v>772</v>
      </c>
      <c r="G336" s="3" t="s">
        <v>28</v>
      </c>
      <c r="H336" s="3" t="s">
        <v>103</v>
      </c>
      <c r="I336" s="3" t="e">
        <f>VLOOKUP(E336,#REF!,3,FALSE)</f>
        <v>#REF!</v>
      </c>
    </row>
    <row r="337" spans="1:9" ht="14.45" customHeight="1" x14ac:dyDescent="0.3">
      <c r="A337" s="17" t="str">
        <f t="shared" si="5"/>
        <v>PLM323</v>
      </c>
      <c r="B337" s="3" t="s">
        <v>216</v>
      </c>
      <c r="C337" s="3" t="s">
        <v>140</v>
      </c>
      <c r="D337" s="3" t="s">
        <v>187</v>
      </c>
      <c r="E337" s="3" t="s">
        <v>773</v>
      </c>
      <c r="F337" s="3" t="s">
        <v>774</v>
      </c>
      <c r="G337" s="3" t="s">
        <v>19</v>
      </c>
      <c r="H337" s="3" t="s">
        <v>55</v>
      </c>
      <c r="I337" s="3" t="e">
        <f>VLOOKUP(E337,#REF!,3,FALSE)</f>
        <v>#REF!</v>
      </c>
    </row>
    <row r="338" spans="1:9" ht="14.45" customHeight="1" x14ac:dyDescent="0.3">
      <c r="A338" s="17" t="str">
        <f t="shared" si="5"/>
        <v>BBF313</v>
      </c>
      <c r="B338" s="3" t="s">
        <v>216</v>
      </c>
      <c r="C338" s="3" t="s">
        <v>140</v>
      </c>
      <c r="D338" s="3" t="s">
        <v>688</v>
      </c>
      <c r="E338" s="3" t="s">
        <v>775</v>
      </c>
      <c r="F338" s="3" t="s">
        <v>776</v>
      </c>
      <c r="G338" s="3" t="s">
        <v>19</v>
      </c>
      <c r="H338" s="3" t="s">
        <v>237</v>
      </c>
      <c r="I338" s="3" t="e">
        <f>VLOOKUP(E338,#REF!,3,FALSE)</f>
        <v>#REF!</v>
      </c>
    </row>
    <row r="339" spans="1:9" ht="14.45" customHeight="1" x14ac:dyDescent="0.3">
      <c r="A339" s="17" t="str">
        <f t="shared" si="5"/>
        <v>BJC211</v>
      </c>
      <c r="B339" s="3" t="s">
        <v>216</v>
      </c>
      <c r="C339" s="3" t="s">
        <v>140</v>
      </c>
      <c r="D339" s="3" t="s">
        <v>351</v>
      </c>
      <c r="E339" s="3" t="s">
        <v>777</v>
      </c>
      <c r="F339" s="3" t="s">
        <v>778</v>
      </c>
      <c r="G339" s="3" t="s">
        <v>28</v>
      </c>
      <c r="H339" s="3" t="s">
        <v>87</v>
      </c>
      <c r="I339" s="3" t="e">
        <f>VLOOKUP(E339,#REF!,3,FALSE)</f>
        <v>#REF!</v>
      </c>
    </row>
    <row r="340" spans="1:9" ht="14.45" customHeight="1" x14ac:dyDescent="0.3">
      <c r="A340" s="17" t="str">
        <f t="shared" si="5"/>
        <v>LLB224</v>
      </c>
      <c r="B340" s="3" t="s">
        <v>216</v>
      </c>
      <c r="C340" s="3" t="s">
        <v>128</v>
      </c>
      <c r="D340" s="3" t="s">
        <v>129</v>
      </c>
      <c r="E340" s="3" t="s">
        <v>293</v>
      </c>
      <c r="F340" s="3" t="s">
        <v>294</v>
      </c>
      <c r="G340" s="3" t="s">
        <v>37</v>
      </c>
      <c r="H340" s="3" t="s">
        <v>123</v>
      </c>
      <c r="I340" s="3" t="e">
        <f>VLOOKUP(E340,#REF!,3,FALSE)</f>
        <v>#REF!</v>
      </c>
    </row>
    <row r="341" spans="1:9" ht="14.45" customHeight="1" x14ac:dyDescent="0.3">
      <c r="A341" s="17" t="str">
        <f t="shared" si="5"/>
        <v>LLB313</v>
      </c>
      <c r="B341" s="3" t="s">
        <v>216</v>
      </c>
      <c r="C341" s="3" t="s">
        <v>177</v>
      </c>
      <c r="D341" s="3" t="s">
        <v>180</v>
      </c>
      <c r="E341" s="3" t="s">
        <v>425</v>
      </c>
      <c r="F341" s="3" t="s">
        <v>426</v>
      </c>
      <c r="G341" s="3" t="s">
        <v>37</v>
      </c>
      <c r="H341" s="3" t="s">
        <v>38</v>
      </c>
      <c r="I341" s="3" t="e">
        <f>VLOOKUP(E341,#REF!,3,FALSE)</f>
        <v>#REF!</v>
      </c>
    </row>
    <row r="342" spans="1:9" ht="14.45" customHeight="1" x14ac:dyDescent="0.3">
      <c r="A342" s="17" t="str">
        <f t="shared" si="5"/>
        <v>LLB324</v>
      </c>
      <c r="B342" s="3" t="s">
        <v>216</v>
      </c>
      <c r="C342" s="3" t="s">
        <v>128</v>
      </c>
      <c r="D342" s="3" t="s">
        <v>163</v>
      </c>
      <c r="E342" s="3" t="s">
        <v>270</v>
      </c>
      <c r="F342" s="3" t="s">
        <v>271</v>
      </c>
      <c r="G342" s="3" t="s">
        <v>37</v>
      </c>
      <c r="H342" s="3" t="s">
        <v>42</v>
      </c>
      <c r="I342" s="3" t="e">
        <f>VLOOKUP(E342,#REF!,3,FALSE)</f>
        <v>#REF!</v>
      </c>
    </row>
    <row r="343" spans="1:9" ht="14.45" customHeight="1" x14ac:dyDescent="0.3">
      <c r="A343" s="17" t="str">
        <f t="shared" si="5"/>
        <v>LLB416</v>
      </c>
      <c r="B343" s="3" t="s">
        <v>216</v>
      </c>
      <c r="C343" s="3" t="s">
        <v>128</v>
      </c>
      <c r="D343" s="3" t="s">
        <v>133</v>
      </c>
      <c r="E343" s="3" t="s">
        <v>295</v>
      </c>
      <c r="F343" s="3" t="s">
        <v>296</v>
      </c>
      <c r="G343" s="3" t="s">
        <v>37</v>
      </c>
      <c r="H343" s="3" t="s">
        <v>132</v>
      </c>
      <c r="I343" s="3" t="e">
        <f>VLOOKUP(E343,#REF!,3,FALSE)</f>
        <v>#REF!</v>
      </c>
    </row>
    <row r="344" spans="1:9" ht="14.45" customHeight="1" x14ac:dyDescent="0.3">
      <c r="A344" s="17" t="str">
        <f t="shared" si="5"/>
        <v>LLB113</v>
      </c>
      <c r="B344" s="5" t="s">
        <v>216</v>
      </c>
      <c r="C344" s="5" t="s">
        <v>177</v>
      </c>
      <c r="D344" s="5" t="s">
        <v>120</v>
      </c>
      <c r="E344" s="5" t="s">
        <v>178</v>
      </c>
      <c r="F344" s="3" t="s">
        <v>179</v>
      </c>
      <c r="G344" s="5" t="s">
        <v>37</v>
      </c>
      <c r="H344" s="5" t="s">
        <v>123</v>
      </c>
      <c r="I344" s="3" t="e">
        <f>VLOOKUP(E344,#REF!,3,FALSE)</f>
        <v>#REF!</v>
      </c>
    </row>
    <row r="345" spans="1:9" ht="14.45" customHeight="1" x14ac:dyDescent="0.3">
      <c r="A345" s="17" t="str">
        <f t="shared" si="5"/>
        <v>LLB314</v>
      </c>
      <c r="B345" s="3" t="s">
        <v>216</v>
      </c>
      <c r="C345" s="5" t="s">
        <v>128</v>
      </c>
      <c r="D345" s="3" t="s">
        <v>180</v>
      </c>
      <c r="E345" s="3" t="s">
        <v>297</v>
      </c>
      <c r="F345" s="3" t="s">
        <v>298</v>
      </c>
      <c r="G345" s="3" t="s">
        <v>37</v>
      </c>
      <c r="H345" s="3" t="s">
        <v>42</v>
      </c>
      <c r="I345" s="3" t="e">
        <f>VLOOKUP(E345,#REF!,3,FALSE)</f>
        <v>#REF!</v>
      </c>
    </row>
    <row r="346" spans="1:9" ht="14.45" customHeight="1" x14ac:dyDescent="0.3">
      <c r="A346" s="17" t="str">
        <f t="shared" si="5"/>
        <v>LLB221</v>
      </c>
      <c r="B346" s="3" t="s">
        <v>216</v>
      </c>
      <c r="C346" s="3" t="s">
        <v>177</v>
      </c>
      <c r="D346" s="3" t="s">
        <v>129</v>
      </c>
      <c r="E346" s="3" t="s">
        <v>309</v>
      </c>
      <c r="F346" s="3" t="s">
        <v>310</v>
      </c>
      <c r="G346" s="3" t="s">
        <v>37</v>
      </c>
      <c r="H346" s="3" t="s">
        <v>132</v>
      </c>
      <c r="I346" s="3" t="e">
        <f>VLOOKUP(E346,#REF!,3,FALSE)</f>
        <v>#REF!</v>
      </c>
    </row>
    <row r="347" spans="1:9" ht="14.45" customHeight="1" x14ac:dyDescent="0.3">
      <c r="A347" s="17" t="str">
        <f t="shared" si="5"/>
        <v xml:space="preserve">BPA226 </v>
      </c>
      <c r="B347" s="3" t="s">
        <v>56</v>
      </c>
      <c r="C347" s="3" t="s">
        <v>177</v>
      </c>
      <c r="D347" s="3" t="s">
        <v>517</v>
      </c>
      <c r="E347" s="3" t="s">
        <v>779</v>
      </c>
      <c r="F347" s="3" t="s">
        <v>780</v>
      </c>
      <c r="G347" s="3" t="s">
        <v>28</v>
      </c>
      <c r="H347" s="3" t="s">
        <v>79</v>
      </c>
      <c r="I347" s="3" t="e">
        <f>VLOOKUP(E347,#REF!,3,FALSE)</f>
        <v>#REF!</v>
      </c>
    </row>
    <row r="348" spans="1:9" ht="16.5" x14ac:dyDescent="0.3">
      <c r="A348" s="17" t="str">
        <f t="shared" si="5"/>
        <v>LLB411</v>
      </c>
      <c r="B348" s="5" t="s">
        <v>781</v>
      </c>
      <c r="C348" s="5" t="s">
        <v>10</v>
      </c>
      <c r="D348" s="5" t="s">
        <v>133</v>
      </c>
      <c r="E348" s="5" t="s">
        <v>333</v>
      </c>
      <c r="F348" s="5" t="s">
        <v>334</v>
      </c>
      <c r="G348" s="5" t="s">
        <v>37</v>
      </c>
      <c r="H348" s="3" t="s">
        <v>132</v>
      </c>
      <c r="I348" s="3" t="e">
        <f>VLOOKUP(E348,#REF!,3,FALSE)</f>
        <v>#REF!</v>
      </c>
    </row>
    <row r="349" spans="1:9" ht="16.5" x14ac:dyDescent="0.3">
      <c r="A349" s="17" t="str">
        <f t="shared" si="5"/>
        <v>LLM726</v>
      </c>
      <c r="B349" s="5" t="s">
        <v>781</v>
      </c>
      <c r="C349" s="5" t="s">
        <v>10</v>
      </c>
      <c r="D349" s="5" t="s">
        <v>136</v>
      </c>
      <c r="E349" s="5" t="s">
        <v>782</v>
      </c>
      <c r="F349" s="5" t="s">
        <v>783</v>
      </c>
      <c r="G349" s="5" t="s">
        <v>37</v>
      </c>
      <c r="H349" s="3" t="s">
        <v>136</v>
      </c>
      <c r="I349" s="3" t="e">
        <f>VLOOKUP(E349,#REF!,3,FALSE)</f>
        <v>#REF!</v>
      </c>
    </row>
    <row r="350" spans="1:9" ht="16.5" x14ac:dyDescent="0.3">
      <c r="A350" s="17" t="str">
        <f t="shared" si="5"/>
        <v>BBA112/DBA112</v>
      </c>
      <c r="B350" s="3" t="s">
        <v>781</v>
      </c>
      <c r="C350" s="3" t="s">
        <v>10</v>
      </c>
      <c r="D350" s="3" t="s">
        <v>784</v>
      </c>
      <c r="E350" s="3" t="s">
        <v>17</v>
      </c>
      <c r="F350" s="3" t="s">
        <v>18</v>
      </c>
      <c r="G350" s="3" t="s">
        <v>19</v>
      </c>
      <c r="H350" s="3" t="s">
        <v>20</v>
      </c>
      <c r="I350" s="3" t="e">
        <f>VLOOKUP(E350,#REF!,3,FALSE)</f>
        <v>#REF!</v>
      </c>
    </row>
    <row r="351" spans="1:9" ht="16.5" x14ac:dyDescent="0.3">
      <c r="A351" s="17" t="str">
        <f t="shared" si="5"/>
        <v>BAC215</v>
      </c>
      <c r="B351" s="3" t="s">
        <v>781</v>
      </c>
      <c r="C351" s="3" t="s">
        <v>10</v>
      </c>
      <c r="D351" s="3" t="s">
        <v>785</v>
      </c>
      <c r="E351" s="3" t="s">
        <v>628</v>
      </c>
      <c r="F351" s="3" t="s">
        <v>629</v>
      </c>
      <c r="G351" s="3" t="s">
        <v>19</v>
      </c>
      <c r="H351" s="3" t="s">
        <v>79</v>
      </c>
      <c r="I351" s="3" t="e">
        <f>VLOOKUP(E351,#REF!,3,FALSE)</f>
        <v>#REF!</v>
      </c>
    </row>
    <row r="352" spans="1:9" ht="16.5" x14ac:dyDescent="0.3">
      <c r="A352" s="17" t="str">
        <f t="shared" si="5"/>
        <v>EHS313</v>
      </c>
      <c r="B352" s="3" t="s">
        <v>781</v>
      </c>
      <c r="C352" s="3" t="s">
        <v>10</v>
      </c>
      <c r="D352" s="3" t="s">
        <v>786</v>
      </c>
      <c r="E352" s="3" t="s">
        <v>630</v>
      </c>
      <c r="F352" s="3" t="s">
        <v>631</v>
      </c>
      <c r="G352" s="3" t="s">
        <v>14</v>
      </c>
      <c r="H352" s="3" t="s">
        <v>492</v>
      </c>
      <c r="I352" s="3" t="e">
        <f>VLOOKUP(E352,#REF!,3,FALSE)</f>
        <v>#REF!</v>
      </c>
    </row>
    <row r="353" spans="1:9" ht="16.5" x14ac:dyDescent="0.3">
      <c r="A353" s="17" t="str">
        <f t="shared" si="5"/>
        <v>EHS112</v>
      </c>
      <c r="B353" s="3" t="s">
        <v>781</v>
      </c>
      <c r="C353" s="3" t="s">
        <v>10</v>
      </c>
      <c r="D353" s="3" t="s">
        <v>787</v>
      </c>
      <c r="E353" s="3" t="s">
        <v>640</v>
      </c>
      <c r="F353" s="3" t="s">
        <v>788</v>
      </c>
      <c r="G353" s="3" t="s">
        <v>14</v>
      </c>
      <c r="H353" s="3" t="s">
        <v>112</v>
      </c>
      <c r="I353" s="3" t="e">
        <f>VLOOKUP(E353,#REF!,3,FALSE)</f>
        <v>#REF!</v>
      </c>
    </row>
    <row r="354" spans="1:9" ht="16.5" x14ac:dyDescent="0.3">
      <c r="A354" s="17" t="str">
        <f t="shared" si="5"/>
        <v>MBA815</v>
      </c>
      <c r="B354" s="3" t="s">
        <v>781</v>
      </c>
      <c r="C354" s="3" t="s">
        <v>10</v>
      </c>
      <c r="D354" s="3" t="s">
        <v>789</v>
      </c>
      <c r="E354" s="3" t="s">
        <v>790</v>
      </c>
      <c r="F354" s="3" t="s">
        <v>791</v>
      </c>
      <c r="G354" s="3" t="s">
        <v>19</v>
      </c>
      <c r="H354" s="3" t="s">
        <v>792</v>
      </c>
      <c r="I354" s="3" t="e">
        <f>VLOOKUP(E354,#REF!,3,FALSE)</f>
        <v>#REF!</v>
      </c>
    </row>
    <row r="355" spans="1:9" ht="16.5" x14ac:dyDescent="0.3">
      <c r="A355" s="17" t="str">
        <f t="shared" si="5"/>
        <v>LLB322</v>
      </c>
      <c r="B355" s="3" t="s">
        <v>781</v>
      </c>
      <c r="C355" s="3" t="s">
        <v>10</v>
      </c>
      <c r="D355" s="3" t="s">
        <v>163</v>
      </c>
      <c r="E355" s="3" t="s">
        <v>166</v>
      </c>
      <c r="F355" s="3" t="s">
        <v>167</v>
      </c>
      <c r="G355" s="3" t="s">
        <v>37</v>
      </c>
      <c r="H355" s="3" t="s">
        <v>793</v>
      </c>
      <c r="I355" s="3" t="e">
        <f>VLOOKUP(E355,#REF!,3,FALSE)</f>
        <v>#REF!</v>
      </c>
    </row>
    <row r="356" spans="1:9" ht="16.5" x14ac:dyDescent="0.3">
      <c r="A356" s="17" t="str">
        <f t="shared" si="5"/>
        <v>LLB225</v>
      </c>
      <c r="B356" s="3" t="s">
        <v>781</v>
      </c>
      <c r="C356" s="3" t="s">
        <v>10</v>
      </c>
      <c r="D356" s="3" t="s">
        <v>129</v>
      </c>
      <c r="E356" s="3" t="s">
        <v>279</v>
      </c>
      <c r="F356" s="3" t="s">
        <v>280</v>
      </c>
      <c r="G356" s="3" t="s">
        <v>37</v>
      </c>
      <c r="H356" s="3" t="s">
        <v>42</v>
      </c>
      <c r="I356" s="3" t="e">
        <f>VLOOKUP(E356,#REF!,3,FALSE)</f>
        <v>#REF!</v>
      </c>
    </row>
    <row r="357" spans="1:9" ht="16.5" x14ac:dyDescent="0.3">
      <c r="A357" s="17" t="str">
        <f t="shared" si="5"/>
        <v>MPH721</v>
      </c>
      <c r="B357" s="3" t="s">
        <v>781</v>
      </c>
      <c r="C357" s="3" t="s">
        <v>10</v>
      </c>
      <c r="D357" s="3" t="s">
        <v>794</v>
      </c>
      <c r="E357" s="3" t="s">
        <v>795</v>
      </c>
      <c r="F357" s="3" t="s">
        <v>796</v>
      </c>
      <c r="G357" s="3" t="s">
        <v>14</v>
      </c>
      <c r="H357" s="3" t="s">
        <v>220</v>
      </c>
      <c r="I357" s="3" t="e">
        <f>VLOOKUP(E357,#REF!,3,FALSE)</f>
        <v>#REF!</v>
      </c>
    </row>
    <row r="358" spans="1:9" ht="16.5" x14ac:dyDescent="0.3">
      <c r="A358" s="17" t="str">
        <f t="shared" si="5"/>
        <v>MBA727</v>
      </c>
      <c r="B358" s="5" t="s">
        <v>781</v>
      </c>
      <c r="C358" s="5" t="s">
        <v>10</v>
      </c>
      <c r="D358" s="5" t="s">
        <v>797</v>
      </c>
      <c r="E358" s="5" t="s">
        <v>798</v>
      </c>
      <c r="F358" s="5" t="s">
        <v>740</v>
      </c>
      <c r="G358" s="5" t="s">
        <v>19</v>
      </c>
      <c r="H358" s="5" t="s">
        <v>91</v>
      </c>
      <c r="I358" s="3" t="e">
        <f>VLOOKUP(E358,#REF!,3,FALSE)</f>
        <v>#REF!</v>
      </c>
    </row>
    <row r="359" spans="1:9" ht="16.5" x14ac:dyDescent="0.3">
      <c r="A359" s="17" t="str">
        <f t="shared" si="5"/>
        <v>RSC003</v>
      </c>
      <c r="B359" s="3" t="s">
        <v>781</v>
      </c>
      <c r="C359" s="3" t="s">
        <v>10</v>
      </c>
      <c r="D359" s="3" t="s">
        <v>799</v>
      </c>
      <c r="E359" s="3" t="s">
        <v>800</v>
      </c>
      <c r="F359" s="3" t="s">
        <v>801</v>
      </c>
      <c r="G359" s="3" t="s">
        <v>19</v>
      </c>
      <c r="H359" s="3" t="s">
        <v>46</v>
      </c>
      <c r="I359" s="3" t="e">
        <f>VLOOKUP(E359,#REF!,3,FALSE)</f>
        <v>#REF!</v>
      </c>
    </row>
    <row r="360" spans="1:9" ht="16.5" x14ac:dyDescent="0.3">
      <c r="A360" s="17" t="str">
        <f t="shared" si="5"/>
        <v>EHS222</v>
      </c>
      <c r="B360" s="3" t="s">
        <v>781</v>
      </c>
      <c r="C360" s="3" t="s">
        <v>10</v>
      </c>
      <c r="D360" s="3" t="s">
        <v>802</v>
      </c>
      <c r="E360" s="3" t="s">
        <v>803</v>
      </c>
      <c r="F360" s="3" t="s">
        <v>804</v>
      </c>
      <c r="G360" s="3" t="s">
        <v>14</v>
      </c>
      <c r="H360" s="3" t="s">
        <v>65</v>
      </c>
      <c r="I360" s="3" t="e">
        <f>VLOOKUP(E360,#REF!,3,FALSE)</f>
        <v>#REF!</v>
      </c>
    </row>
    <row r="361" spans="1:9" ht="16.5" x14ac:dyDescent="0.3">
      <c r="A361" s="17" t="str">
        <f t="shared" si="5"/>
        <v>EHS124</v>
      </c>
      <c r="B361" s="3" t="s">
        <v>781</v>
      </c>
      <c r="C361" s="3" t="s">
        <v>10</v>
      </c>
      <c r="D361" s="3" t="s">
        <v>805</v>
      </c>
      <c r="E361" s="3" t="s">
        <v>806</v>
      </c>
      <c r="F361" s="3" t="s">
        <v>807</v>
      </c>
      <c r="G361" s="3" t="s">
        <v>14</v>
      </c>
      <c r="H361" s="3" t="s">
        <v>103</v>
      </c>
      <c r="I361" s="3" t="e">
        <f>VLOOKUP(E361,#REF!,3,FALSE)</f>
        <v>#REF!</v>
      </c>
    </row>
    <row r="362" spans="1:9" ht="16.5" x14ac:dyDescent="0.3">
      <c r="A362" s="17" t="str">
        <f t="shared" si="5"/>
        <v>EHS212</v>
      </c>
      <c r="B362" s="3" t="s">
        <v>781</v>
      </c>
      <c r="C362" s="3" t="s">
        <v>10</v>
      </c>
      <c r="D362" s="3" t="s">
        <v>808</v>
      </c>
      <c r="E362" s="3" t="s">
        <v>809</v>
      </c>
      <c r="F362" s="3" t="s">
        <v>810</v>
      </c>
      <c r="G362" s="3" t="s">
        <v>14</v>
      </c>
      <c r="H362" s="3" t="s">
        <v>29</v>
      </c>
      <c r="I362" s="3" t="e">
        <f>VLOOKUP(E362,#REF!,3,FALSE)</f>
        <v>#REF!</v>
      </c>
    </row>
    <row r="363" spans="1:9" ht="16.5" x14ac:dyDescent="0.3">
      <c r="A363" s="17" t="str">
        <f t="shared" si="5"/>
        <v>BBA122/DBA122</v>
      </c>
      <c r="B363" s="3" t="s">
        <v>781</v>
      </c>
      <c r="C363" s="3" t="s">
        <v>10</v>
      </c>
      <c r="D363" s="3" t="s">
        <v>811</v>
      </c>
      <c r="E363" s="3" t="s">
        <v>222</v>
      </c>
      <c r="F363" s="3" t="s">
        <v>223</v>
      </c>
      <c r="G363" s="3" t="s">
        <v>19</v>
      </c>
      <c r="H363" s="3" t="s">
        <v>237</v>
      </c>
      <c r="I363" s="3" t="e">
        <f>VLOOKUP(E363,#REF!,3,FALSE)</f>
        <v>#REF!</v>
      </c>
    </row>
    <row r="364" spans="1:9" ht="16.5" x14ac:dyDescent="0.3">
      <c r="A364" s="17" t="str">
        <f t="shared" si="5"/>
        <v>MED812</v>
      </c>
      <c r="B364" s="3" t="s">
        <v>812</v>
      </c>
      <c r="C364" s="3" t="s">
        <v>47</v>
      </c>
      <c r="D364" s="3" t="s">
        <v>813</v>
      </c>
      <c r="E364" s="3" t="s">
        <v>814</v>
      </c>
      <c r="F364" s="3" t="s">
        <v>815</v>
      </c>
      <c r="G364" s="3" t="s">
        <v>28</v>
      </c>
      <c r="H364" s="3" t="s">
        <v>61</v>
      </c>
      <c r="I364" s="3" t="e">
        <f>VLOOKUP(E364,#REF!,3,FALSE)</f>
        <v>#REF!</v>
      </c>
    </row>
    <row r="365" spans="1:9" ht="16.5" x14ac:dyDescent="0.3">
      <c r="A365" s="17" t="str">
        <f t="shared" si="5"/>
        <v>MSS813</v>
      </c>
      <c r="B365" s="3" t="s">
        <v>812</v>
      </c>
      <c r="C365" s="3" t="s">
        <v>47</v>
      </c>
      <c r="D365" s="3" t="s">
        <v>816</v>
      </c>
      <c r="E365" s="8" t="s">
        <v>817</v>
      </c>
      <c r="F365" s="8" t="s">
        <v>818</v>
      </c>
      <c r="G365" s="3" t="s">
        <v>28</v>
      </c>
      <c r="H365" s="3" t="s">
        <v>267</v>
      </c>
      <c r="I365" s="3" t="e">
        <f>VLOOKUP(E365,#REF!,3,FALSE)</f>
        <v>#REF!</v>
      </c>
    </row>
    <row r="366" spans="1:9" s="32" customFormat="1" ht="16.5" x14ac:dyDescent="0.3">
      <c r="A366" s="17" t="str">
        <f t="shared" si="5"/>
        <v>MSS724</v>
      </c>
      <c r="B366" s="31" t="s">
        <v>812</v>
      </c>
      <c r="C366" s="31" t="s">
        <v>96</v>
      </c>
      <c r="D366" s="31" t="s">
        <v>819</v>
      </c>
      <c r="E366" s="31" t="s">
        <v>820</v>
      </c>
      <c r="F366" s="31" t="s">
        <v>821</v>
      </c>
      <c r="G366" s="31" t="s">
        <v>28</v>
      </c>
      <c r="H366" s="31" t="s">
        <v>822</v>
      </c>
      <c r="I366" s="31" t="e">
        <f>VLOOKUP(E366,#REF!,3,FALSE)</f>
        <v>#REF!</v>
      </c>
    </row>
    <row r="367" spans="1:9" ht="16.5" x14ac:dyDescent="0.3">
      <c r="A367" s="17" t="str">
        <f t="shared" si="5"/>
        <v>LLB123</v>
      </c>
      <c r="B367" s="3" t="s">
        <v>781</v>
      </c>
      <c r="C367" s="3" t="s">
        <v>10</v>
      </c>
      <c r="D367" s="3" t="s">
        <v>34</v>
      </c>
      <c r="E367" s="3" t="s">
        <v>168</v>
      </c>
      <c r="F367" s="3" t="s">
        <v>169</v>
      </c>
      <c r="G367" s="3" t="s">
        <v>37</v>
      </c>
      <c r="H367" s="3" t="s">
        <v>38</v>
      </c>
      <c r="I367" s="3" t="e">
        <f>VLOOKUP(E367,#REF!,3,FALSE)</f>
        <v>#REF!</v>
      </c>
    </row>
    <row r="368" spans="1:9" ht="16.5" x14ac:dyDescent="0.3">
      <c r="A368" s="17" t="str">
        <f t="shared" si="5"/>
        <v>LLM718</v>
      </c>
      <c r="B368" s="3" t="s">
        <v>781</v>
      </c>
      <c r="C368" s="3" t="s">
        <v>10</v>
      </c>
      <c r="D368" s="5" t="s">
        <v>823</v>
      </c>
      <c r="E368" s="3" t="s">
        <v>824</v>
      </c>
      <c r="F368" s="3" t="s">
        <v>825</v>
      </c>
      <c r="G368" s="3" t="s">
        <v>37</v>
      </c>
      <c r="H368" s="3" t="s">
        <v>136</v>
      </c>
      <c r="I368" s="3" t="e">
        <f>VLOOKUP(E368,#REF!,3,FALSE)</f>
        <v>#REF!</v>
      </c>
    </row>
    <row r="369" spans="1:9" ht="16.5" x14ac:dyDescent="0.3">
      <c r="A369" s="17" t="str">
        <f t="shared" si="5"/>
        <v>LLB421</v>
      </c>
      <c r="B369" s="3" t="s">
        <v>781</v>
      </c>
      <c r="C369" s="3" t="s">
        <v>10</v>
      </c>
      <c r="D369" s="3" t="s">
        <v>160</v>
      </c>
      <c r="E369" s="3" t="s">
        <v>199</v>
      </c>
      <c r="F369" s="3" t="s">
        <v>200</v>
      </c>
      <c r="G369" s="3" t="s">
        <v>37</v>
      </c>
      <c r="H369" s="3" t="s">
        <v>308</v>
      </c>
      <c r="I369" s="3" t="e">
        <f>VLOOKUP(E369,#REF!,3,FALSE)</f>
        <v>#REF!</v>
      </c>
    </row>
    <row r="370" spans="1:9" ht="16.5" x14ac:dyDescent="0.3">
      <c r="A370" s="17" t="str">
        <f t="shared" si="5"/>
        <v>LLB111</v>
      </c>
      <c r="B370" s="3" t="s">
        <v>781</v>
      </c>
      <c r="C370" s="3" t="s">
        <v>10</v>
      </c>
      <c r="D370" s="3" t="s">
        <v>120</v>
      </c>
      <c r="E370" s="3" t="s">
        <v>173</v>
      </c>
      <c r="F370" s="3" t="s">
        <v>174</v>
      </c>
      <c r="G370" s="3" t="s">
        <v>37</v>
      </c>
      <c r="H370" s="3" t="s">
        <v>123</v>
      </c>
      <c r="I370" s="3" t="e">
        <f>VLOOKUP(E370,#REF!,3,FALSE)</f>
        <v>#REF!</v>
      </c>
    </row>
    <row r="371" spans="1:9" ht="16.5" x14ac:dyDescent="0.3">
      <c r="A371" s="17" t="str">
        <f t="shared" si="5"/>
        <v>LLB213</v>
      </c>
      <c r="B371" s="3" t="s">
        <v>781</v>
      </c>
      <c r="C371" s="3" t="s">
        <v>10</v>
      </c>
      <c r="D371" s="3" t="s">
        <v>39</v>
      </c>
      <c r="E371" s="3" t="s">
        <v>40</v>
      </c>
      <c r="F371" s="3" t="s">
        <v>41</v>
      </c>
      <c r="G371" s="3" t="s">
        <v>37</v>
      </c>
      <c r="H371" s="3" t="s">
        <v>38</v>
      </c>
      <c r="I371" s="3" t="e">
        <f>VLOOKUP(E371,#REF!,3,FALSE)</f>
        <v>#REF!</v>
      </c>
    </row>
    <row r="372" spans="1:9" ht="16.5" x14ac:dyDescent="0.3">
      <c r="A372" s="17" t="str">
        <f t="shared" si="5"/>
        <v>LLB314</v>
      </c>
      <c r="B372" s="3" t="s">
        <v>781</v>
      </c>
      <c r="C372" s="3" t="s">
        <v>10</v>
      </c>
      <c r="D372" s="3" t="s">
        <v>180</v>
      </c>
      <c r="E372" s="3" t="s">
        <v>297</v>
      </c>
      <c r="F372" s="3" t="s">
        <v>298</v>
      </c>
      <c r="G372" s="3" t="s">
        <v>37</v>
      </c>
      <c r="H372" s="3" t="s">
        <v>132</v>
      </c>
      <c r="I372" s="3" t="e">
        <f>VLOOKUP(E372,#REF!,3,FALSE)</f>
        <v>#REF!</v>
      </c>
    </row>
    <row r="373" spans="1:9" ht="16.5" x14ac:dyDescent="0.3">
      <c r="A373" s="17" t="str">
        <f t="shared" si="5"/>
        <v>BPH321</v>
      </c>
      <c r="B373" s="3" t="s">
        <v>781</v>
      </c>
      <c r="C373" s="3" t="s">
        <v>10</v>
      </c>
      <c r="D373" s="3" t="s">
        <v>826</v>
      </c>
      <c r="E373" s="3" t="s">
        <v>374</v>
      </c>
      <c r="F373" s="3" t="s">
        <v>375</v>
      </c>
      <c r="G373" s="3" t="s">
        <v>14</v>
      </c>
      <c r="H373" s="3" t="s">
        <v>407</v>
      </c>
      <c r="I373" s="3" t="e">
        <f>VLOOKUP(E373,#REF!,3,FALSE)</f>
        <v>#REF!</v>
      </c>
    </row>
    <row r="374" spans="1:9" ht="16.5" x14ac:dyDescent="0.3">
      <c r="A374" s="17" t="str">
        <f t="shared" si="5"/>
        <v>MBA726</v>
      </c>
      <c r="B374" s="3" t="s">
        <v>781</v>
      </c>
      <c r="C374" s="3" t="s">
        <v>10</v>
      </c>
      <c r="D374" s="3" t="s">
        <v>827</v>
      </c>
      <c r="E374" s="3" t="s">
        <v>828</v>
      </c>
      <c r="F374" s="3" t="s">
        <v>448</v>
      </c>
      <c r="G374" s="3" t="s">
        <v>19</v>
      </c>
      <c r="H374" s="3" t="s">
        <v>15</v>
      </c>
      <c r="I374" s="3" t="e">
        <f>VLOOKUP(E374,#REF!,3,FALSE)</f>
        <v>#REF!</v>
      </c>
    </row>
    <row r="375" spans="1:9" ht="16.5" x14ac:dyDescent="0.3">
      <c r="A375" s="17" t="str">
        <f t="shared" si="5"/>
        <v>LLM7210</v>
      </c>
      <c r="B375" s="5" t="s">
        <v>781</v>
      </c>
      <c r="C375" s="5" t="s">
        <v>10</v>
      </c>
      <c r="D375" s="5" t="s">
        <v>136</v>
      </c>
      <c r="E375" s="5" t="s">
        <v>829</v>
      </c>
      <c r="F375" s="5" t="s">
        <v>830</v>
      </c>
      <c r="G375" s="3" t="s">
        <v>37</v>
      </c>
      <c r="H375" s="3" t="s">
        <v>136</v>
      </c>
      <c r="I375" s="3" t="e">
        <f>VLOOKUP(E375,#REF!,3,FALSE)</f>
        <v>#REF!</v>
      </c>
    </row>
    <row r="376" spans="1:9" ht="16.5" x14ac:dyDescent="0.3">
      <c r="A376" s="17" t="str">
        <f t="shared" si="5"/>
        <v xml:space="preserve">MPM813 </v>
      </c>
      <c r="B376" s="5" t="s">
        <v>781</v>
      </c>
      <c r="C376" s="5" t="s">
        <v>10</v>
      </c>
      <c r="D376" s="5" t="s">
        <v>831</v>
      </c>
      <c r="E376" s="5" t="s">
        <v>832</v>
      </c>
      <c r="F376" s="5" t="s">
        <v>833</v>
      </c>
      <c r="G376" s="5" t="s">
        <v>19</v>
      </c>
      <c r="H376" s="5" t="s">
        <v>241</v>
      </c>
      <c r="I376" s="3" t="e">
        <f>VLOOKUP(E376,#REF!,3,FALSE)</f>
        <v>#REF!</v>
      </c>
    </row>
    <row r="377" spans="1:9" ht="16.5" x14ac:dyDescent="0.3">
      <c r="A377" s="17" t="str">
        <f t="shared" si="5"/>
        <v>BPH113</v>
      </c>
      <c r="B377" s="3" t="s">
        <v>781</v>
      </c>
      <c r="C377" s="3" t="s">
        <v>47</v>
      </c>
      <c r="D377" s="3" t="s">
        <v>787</v>
      </c>
      <c r="E377" s="3" t="s">
        <v>533</v>
      </c>
      <c r="F377" s="3" t="s">
        <v>534</v>
      </c>
      <c r="G377" s="3" t="s">
        <v>14</v>
      </c>
      <c r="H377" s="3" t="s">
        <v>492</v>
      </c>
      <c r="I377" s="3" t="e">
        <f>VLOOKUP(E377,#REF!,3,FALSE)</f>
        <v>#REF!</v>
      </c>
    </row>
    <row r="378" spans="1:9" ht="16.5" x14ac:dyDescent="0.3">
      <c r="A378" s="17" t="str">
        <f t="shared" si="5"/>
        <v>MBA811</v>
      </c>
      <c r="B378" s="3" t="s">
        <v>781</v>
      </c>
      <c r="C378" s="3" t="s">
        <v>47</v>
      </c>
      <c r="D378" s="3" t="s">
        <v>789</v>
      </c>
      <c r="E378" s="3" t="s">
        <v>834</v>
      </c>
      <c r="F378" s="3" t="s">
        <v>835</v>
      </c>
      <c r="G378" s="3" t="s">
        <v>19</v>
      </c>
      <c r="H378" s="3" t="s">
        <v>15</v>
      </c>
      <c r="I378" s="3" t="e">
        <f>VLOOKUP(E378,#REF!,3,FALSE)</f>
        <v>#REF!</v>
      </c>
    </row>
    <row r="379" spans="1:9" ht="16.5" x14ac:dyDescent="0.3">
      <c r="A379" s="17" t="str">
        <f t="shared" si="5"/>
        <v>MPH722</v>
      </c>
      <c r="B379" s="3" t="s">
        <v>781</v>
      </c>
      <c r="C379" s="3" t="s">
        <v>47</v>
      </c>
      <c r="D379" s="3" t="s">
        <v>794</v>
      </c>
      <c r="E379" s="3" t="s">
        <v>836</v>
      </c>
      <c r="F379" s="3" t="s">
        <v>837</v>
      </c>
      <c r="G379" s="3" t="s">
        <v>14</v>
      </c>
      <c r="H379" s="3" t="s">
        <v>220</v>
      </c>
      <c r="I379" s="3" t="e">
        <f>VLOOKUP(E379,#REF!,3,FALSE)</f>
        <v>#REF!</v>
      </c>
    </row>
    <row r="380" spans="1:9" ht="16.5" x14ac:dyDescent="0.3">
      <c r="A380" s="17" t="str">
        <f t="shared" si="5"/>
        <v>RSC001</v>
      </c>
      <c r="B380" s="3" t="s">
        <v>781</v>
      </c>
      <c r="C380" s="3" t="s">
        <v>47</v>
      </c>
      <c r="D380" s="3" t="s">
        <v>838</v>
      </c>
      <c r="E380" s="3" t="s">
        <v>645</v>
      </c>
      <c r="F380" s="3" t="s">
        <v>646</v>
      </c>
      <c r="G380" s="3" t="s">
        <v>14</v>
      </c>
      <c r="H380" s="3" t="s">
        <v>112</v>
      </c>
      <c r="I380" s="3" t="e">
        <f>VLOOKUP(E380,#REF!,3,FALSE)</f>
        <v>#REF!</v>
      </c>
    </row>
    <row r="381" spans="1:9" ht="16.5" x14ac:dyDescent="0.3">
      <c r="A381" s="17" t="str">
        <f t="shared" si="5"/>
        <v>MED714</v>
      </c>
      <c r="B381" s="3" t="s">
        <v>781</v>
      </c>
      <c r="C381" s="3" t="s">
        <v>47</v>
      </c>
      <c r="D381" s="3" t="s">
        <v>839</v>
      </c>
      <c r="E381" s="3" t="s">
        <v>840</v>
      </c>
      <c r="F381" s="3" t="s">
        <v>841</v>
      </c>
      <c r="G381" s="3" t="s">
        <v>28</v>
      </c>
      <c r="H381" s="3" t="s">
        <v>792</v>
      </c>
      <c r="I381" s="3" t="e">
        <f>VLOOKUP(E381,#REF!,3,FALSE)</f>
        <v>#REF!</v>
      </c>
    </row>
    <row r="382" spans="1:9" ht="16.5" x14ac:dyDescent="0.3">
      <c r="A382" s="17" t="str">
        <f t="shared" si="5"/>
        <v>MHR814</v>
      </c>
      <c r="B382" s="3" t="s">
        <v>781</v>
      </c>
      <c r="C382" s="3" t="s">
        <v>47</v>
      </c>
      <c r="D382" s="3" t="s">
        <v>842</v>
      </c>
      <c r="E382" s="3" t="s">
        <v>843</v>
      </c>
      <c r="F382" s="3" t="s">
        <v>844</v>
      </c>
      <c r="G382" s="3" t="s">
        <v>19</v>
      </c>
      <c r="H382" s="3" t="s">
        <v>61</v>
      </c>
      <c r="I382" s="3" t="e">
        <f>VLOOKUP(E382,#REF!,3,FALSE)</f>
        <v>#REF!</v>
      </c>
    </row>
    <row r="383" spans="1:9" ht="16.5" x14ac:dyDescent="0.3">
      <c r="A383" s="17" t="str">
        <f t="shared" si="5"/>
        <v>EHS122</v>
      </c>
      <c r="B383" s="3" t="s">
        <v>781</v>
      </c>
      <c r="C383" s="3" t="s">
        <v>47</v>
      </c>
      <c r="D383" s="3" t="s">
        <v>805</v>
      </c>
      <c r="E383" s="3" t="s">
        <v>845</v>
      </c>
      <c r="F383" s="3" t="s">
        <v>846</v>
      </c>
      <c r="G383" s="3" t="s">
        <v>14</v>
      </c>
      <c r="H383" s="3" t="s">
        <v>103</v>
      </c>
      <c r="I383" s="3" t="e">
        <f>VLOOKUP(E383,#REF!,3,FALSE)</f>
        <v>#REF!</v>
      </c>
    </row>
    <row r="384" spans="1:9" ht="16.5" x14ac:dyDescent="0.3">
      <c r="A384" s="17" t="str">
        <f t="shared" si="5"/>
        <v>BBA116/DBA116</v>
      </c>
      <c r="B384" s="3" t="s">
        <v>781</v>
      </c>
      <c r="C384" s="3" t="s">
        <v>47</v>
      </c>
      <c r="D384" s="3" t="s">
        <v>784</v>
      </c>
      <c r="E384" s="3" t="s">
        <v>192</v>
      </c>
      <c r="F384" s="3" t="s">
        <v>193</v>
      </c>
      <c r="G384" s="3" t="s">
        <v>19</v>
      </c>
      <c r="H384" s="3" t="s">
        <v>20</v>
      </c>
      <c r="I384" s="3" t="e">
        <f>VLOOKUP(E384,#REF!,3,FALSE)</f>
        <v>#REF!</v>
      </c>
    </row>
    <row r="385" spans="1:9" ht="16.5" x14ac:dyDescent="0.3">
      <c r="A385" s="17" t="str">
        <f t="shared" si="5"/>
        <v>BPH211</v>
      </c>
      <c r="B385" s="3" t="s">
        <v>781</v>
      </c>
      <c r="C385" s="3" t="s">
        <v>47</v>
      </c>
      <c r="D385" s="3" t="s">
        <v>808</v>
      </c>
      <c r="E385" s="3" t="s">
        <v>761</v>
      </c>
      <c r="F385" s="3" t="s">
        <v>762</v>
      </c>
      <c r="G385" s="3" t="s">
        <v>14</v>
      </c>
      <c r="H385" s="3" t="s">
        <v>29</v>
      </c>
      <c r="I385" s="3" t="e">
        <f>VLOOKUP(E385,#REF!,3,FALSE)</f>
        <v>#REF!</v>
      </c>
    </row>
    <row r="386" spans="1:9" ht="16.5" x14ac:dyDescent="0.3">
      <c r="A386" s="17" t="str">
        <f t="shared" si="5"/>
        <v>MBF817</v>
      </c>
      <c r="B386" s="3" t="s">
        <v>781</v>
      </c>
      <c r="C386" s="3" t="s">
        <v>47</v>
      </c>
      <c r="D386" s="3" t="s">
        <v>847</v>
      </c>
      <c r="E386" s="3" t="s">
        <v>848</v>
      </c>
      <c r="F386" s="3" t="s">
        <v>849</v>
      </c>
      <c r="G386" s="3" t="s">
        <v>19</v>
      </c>
      <c r="H386" s="3" t="s">
        <v>33</v>
      </c>
      <c r="I386" s="3" t="e">
        <f>VLOOKUP(E386,#REF!,3,FALSE)</f>
        <v>#REF!</v>
      </c>
    </row>
    <row r="387" spans="1:9" ht="16.5" x14ac:dyDescent="0.3">
      <c r="A387" s="17" t="str">
        <f t="shared" si="5"/>
        <v>MED722</v>
      </c>
      <c r="B387" s="3" t="s">
        <v>781</v>
      </c>
      <c r="C387" s="3" t="s">
        <v>47</v>
      </c>
      <c r="D387" s="3" t="s">
        <v>850</v>
      </c>
      <c r="E387" s="3" t="s">
        <v>851</v>
      </c>
      <c r="F387" s="3" t="s">
        <v>852</v>
      </c>
      <c r="G387" s="3" t="s">
        <v>28</v>
      </c>
      <c r="H387" s="3" t="s">
        <v>792</v>
      </c>
      <c r="I387" s="3" t="e">
        <f>VLOOKUP(E387,#REF!,3,FALSE)</f>
        <v>#REF!</v>
      </c>
    </row>
    <row r="388" spans="1:9" ht="16.5" x14ac:dyDescent="0.3">
      <c r="A388" s="17" t="str">
        <f t="shared" ref="A388:A451" si="6">E388</f>
        <v>MSS722</v>
      </c>
      <c r="B388" s="3" t="s">
        <v>812</v>
      </c>
      <c r="C388" s="3" t="s">
        <v>10</v>
      </c>
      <c r="D388" s="3" t="s">
        <v>819</v>
      </c>
      <c r="E388" s="3" t="s">
        <v>853</v>
      </c>
      <c r="F388" s="3" t="s">
        <v>854</v>
      </c>
      <c r="G388" s="3" t="s">
        <v>28</v>
      </c>
      <c r="H388" s="3" t="s">
        <v>70</v>
      </c>
      <c r="I388" s="3" t="e">
        <f>VLOOKUP(E388,#REF!,3,FALSE)</f>
        <v>#REF!</v>
      </c>
    </row>
    <row r="389" spans="1:9" ht="16.5" x14ac:dyDescent="0.3">
      <c r="A389" s="17" t="str">
        <f t="shared" si="6"/>
        <v>MSS714</v>
      </c>
      <c r="B389" s="3" t="s">
        <v>781</v>
      </c>
      <c r="C389" s="3" t="s">
        <v>47</v>
      </c>
      <c r="D389" s="3" t="s">
        <v>855</v>
      </c>
      <c r="E389" s="3" t="s">
        <v>856</v>
      </c>
      <c r="F389" s="3" t="s">
        <v>857</v>
      </c>
      <c r="G389" s="3" t="s">
        <v>28</v>
      </c>
      <c r="H389" s="3" t="s">
        <v>70</v>
      </c>
      <c r="I389" s="3" t="e">
        <f>VLOOKUP(E389,#REF!,3,FALSE)</f>
        <v>#REF!</v>
      </c>
    </row>
    <row r="390" spans="1:9" ht="16.5" x14ac:dyDescent="0.3">
      <c r="A390" s="17" t="str">
        <f t="shared" si="6"/>
        <v>MIR815</v>
      </c>
      <c r="B390" s="3" t="s">
        <v>812</v>
      </c>
      <c r="C390" s="3" t="s">
        <v>47</v>
      </c>
      <c r="D390" s="3" t="s">
        <v>858</v>
      </c>
      <c r="E390" s="3" t="s">
        <v>859</v>
      </c>
      <c r="F390" s="3" t="s">
        <v>860</v>
      </c>
      <c r="G390" s="3" t="s">
        <v>28</v>
      </c>
      <c r="H390" s="3" t="s">
        <v>267</v>
      </c>
      <c r="I390" s="3" t="e">
        <f>VLOOKUP(E390,#REF!,3,FALSE)</f>
        <v>#REF!</v>
      </c>
    </row>
    <row r="391" spans="1:9" ht="16.5" x14ac:dyDescent="0.3">
      <c r="A391" s="17" t="str">
        <f t="shared" si="6"/>
        <v>MBF811</v>
      </c>
      <c r="B391" s="3" t="s">
        <v>781</v>
      </c>
      <c r="C391" s="3" t="s">
        <v>47</v>
      </c>
      <c r="D391" s="3" t="s">
        <v>847</v>
      </c>
      <c r="E391" s="3" t="s">
        <v>861</v>
      </c>
      <c r="F391" s="3" t="s">
        <v>862</v>
      </c>
      <c r="G391" s="3" t="s">
        <v>19</v>
      </c>
      <c r="H391" s="3" t="s">
        <v>267</v>
      </c>
      <c r="I391" s="3" t="e">
        <f>VLOOKUP(E391,#REF!,3,FALSE)</f>
        <v>#REF!</v>
      </c>
    </row>
    <row r="392" spans="1:9" ht="16.5" x14ac:dyDescent="0.3">
      <c r="A392" s="17" t="str">
        <f t="shared" si="6"/>
        <v>MBA711/MPM715</v>
      </c>
      <c r="B392" s="3" t="s">
        <v>781</v>
      </c>
      <c r="C392" s="3" t="s">
        <v>47</v>
      </c>
      <c r="D392" s="3" t="s">
        <v>863</v>
      </c>
      <c r="E392" s="3" t="s">
        <v>864</v>
      </c>
      <c r="F392" s="3" t="s">
        <v>865</v>
      </c>
      <c r="G392" s="3" t="s">
        <v>14</v>
      </c>
      <c r="H392" s="3" t="s">
        <v>46</v>
      </c>
      <c r="I392" s="3" t="e">
        <f>VLOOKUP(E392,#REF!,3,FALSE)</f>
        <v>#REF!</v>
      </c>
    </row>
    <row r="393" spans="1:9" ht="16.5" x14ac:dyDescent="0.3">
      <c r="A393" s="17" t="str">
        <f t="shared" si="6"/>
        <v>EHS321</v>
      </c>
      <c r="B393" s="3" t="s">
        <v>781</v>
      </c>
      <c r="C393" s="3" t="s">
        <v>47</v>
      </c>
      <c r="D393" s="3" t="s">
        <v>826</v>
      </c>
      <c r="E393" s="3" t="s">
        <v>866</v>
      </c>
      <c r="F393" s="3" t="s">
        <v>867</v>
      </c>
      <c r="G393" s="3" t="s">
        <v>14</v>
      </c>
      <c r="H393" s="3" t="s">
        <v>368</v>
      </c>
      <c r="I393" s="3" t="e">
        <f>VLOOKUP(E393,#REF!,3,FALSE)</f>
        <v>#REF!</v>
      </c>
    </row>
    <row r="394" spans="1:9" ht="16.5" x14ac:dyDescent="0.3">
      <c r="A394" s="17" t="str">
        <f t="shared" si="6"/>
        <v>BPH311</v>
      </c>
      <c r="B394" s="3" t="s">
        <v>781</v>
      </c>
      <c r="C394" s="3" t="s">
        <v>47</v>
      </c>
      <c r="D394" s="3" t="s">
        <v>786</v>
      </c>
      <c r="E394" s="3" t="s">
        <v>561</v>
      </c>
      <c r="F394" s="3" t="s">
        <v>562</v>
      </c>
      <c r="G394" s="3" t="s">
        <v>14</v>
      </c>
      <c r="H394" s="3" t="s">
        <v>65</v>
      </c>
      <c r="I394" s="3" t="e">
        <f>VLOOKUP(E394,#REF!,3,FALSE)</f>
        <v>#REF!</v>
      </c>
    </row>
    <row r="395" spans="1:9" ht="16.5" x14ac:dyDescent="0.3">
      <c r="A395" s="17" t="str">
        <f t="shared" si="6"/>
        <v>MSC720</v>
      </c>
      <c r="B395" s="3" t="s">
        <v>781</v>
      </c>
      <c r="C395" s="3" t="s">
        <v>47</v>
      </c>
      <c r="D395" s="3" t="s">
        <v>868</v>
      </c>
      <c r="E395" s="3" t="s">
        <v>869</v>
      </c>
      <c r="F395" s="3" t="s">
        <v>870</v>
      </c>
      <c r="G395" s="3" t="s">
        <v>19</v>
      </c>
      <c r="H395" s="3" t="s">
        <v>241</v>
      </c>
      <c r="I395" s="3" t="e">
        <f>VLOOKUP(E395,#REF!,3,FALSE)</f>
        <v>#REF!</v>
      </c>
    </row>
    <row r="396" spans="1:9" ht="16.5" x14ac:dyDescent="0.3">
      <c r="A396" s="17" t="str">
        <f t="shared" si="6"/>
        <v>BBA124/DBA124</v>
      </c>
      <c r="B396" s="3" t="s">
        <v>781</v>
      </c>
      <c r="C396" s="4" t="s">
        <v>47</v>
      </c>
      <c r="D396" s="3" t="s">
        <v>811</v>
      </c>
      <c r="E396" s="3" t="s">
        <v>729</v>
      </c>
      <c r="F396" s="3" t="s">
        <v>730</v>
      </c>
      <c r="G396" s="3" t="s">
        <v>19</v>
      </c>
      <c r="H396" s="3" t="s">
        <v>237</v>
      </c>
      <c r="I396" s="3" t="e">
        <f>VLOOKUP(E396,#REF!,3,FALSE)</f>
        <v>#REF!</v>
      </c>
    </row>
    <row r="397" spans="1:9" ht="16.5" x14ac:dyDescent="0.3">
      <c r="A397" s="17" t="str">
        <f t="shared" si="6"/>
        <v>BBA215/DBA215</v>
      </c>
      <c r="B397" s="3" t="s">
        <v>781</v>
      </c>
      <c r="C397" s="3" t="s">
        <v>47</v>
      </c>
      <c r="D397" s="3" t="s">
        <v>785</v>
      </c>
      <c r="E397" s="3" t="s">
        <v>739</v>
      </c>
      <c r="F397" s="3" t="s">
        <v>740</v>
      </c>
      <c r="G397" s="3" t="s">
        <v>19</v>
      </c>
      <c r="H397" s="3" t="s">
        <v>287</v>
      </c>
      <c r="I397" s="3" t="e">
        <f>VLOOKUP(E397,#REF!,3,FALSE)</f>
        <v>#REF!</v>
      </c>
    </row>
    <row r="398" spans="1:9" ht="16.5" x14ac:dyDescent="0.3">
      <c r="A398" s="17" t="str">
        <f t="shared" si="6"/>
        <v>MPM721</v>
      </c>
      <c r="B398" s="5" t="s">
        <v>781</v>
      </c>
      <c r="C398" s="3" t="s">
        <v>47</v>
      </c>
      <c r="D398" s="5" t="s">
        <v>871</v>
      </c>
      <c r="E398" s="5" t="s">
        <v>872</v>
      </c>
      <c r="F398" s="5" t="s">
        <v>873</v>
      </c>
      <c r="G398" s="5" t="s">
        <v>19</v>
      </c>
      <c r="H398" s="5" t="s">
        <v>91</v>
      </c>
      <c r="I398" s="3" t="e">
        <f>VLOOKUP(E398,#REF!,3,FALSE)</f>
        <v>#REF!</v>
      </c>
    </row>
    <row r="399" spans="1:9" ht="16.5" x14ac:dyDescent="0.3">
      <c r="A399" s="17" t="str">
        <f t="shared" si="6"/>
        <v>BAC314</v>
      </c>
      <c r="B399" s="3" t="s">
        <v>781</v>
      </c>
      <c r="C399" s="3" t="s">
        <v>47</v>
      </c>
      <c r="D399" s="3" t="s">
        <v>535</v>
      </c>
      <c r="E399" s="3" t="s">
        <v>661</v>
      </c>
      <c r="F399" s="3" t="s">
        <v>662</v>
      </c>
      <c r="G399" s="3" t="s">
        <v>19</v>
      </c>
      <c r="H399" s="3" t="s">
        <v>79</v>
      </c>
      <c r="I399" s="3" t="s">
        <v>874</v>
      </c>
    </row>
    <row r="400" spans="1:9" ht="16.5" x14ac:dyDescent="0.3">
      <c r="A400" s="17" t="str">
        <f t="shared" si="6"/>
        <v>BBA314</v>
      </c>
      <c r="B400" s="3" t="s">
        <v>781</v>
      </c>
      <c r="C400" s="3" t="s">
        <v>10</v>
      </c>
      <c r="D400" s="3" t="s">
        <v>357</v>
      </c>
      <c r="E400" s="3" t="s">
        <v>358</v>
      </c>
      <c r="F400" s="3" t="s">
        <v>359</v>
      </c>
      <c r="G400" s="3" t="s">
        <v>19</v>
      </c>
      <c r="H400" s="3" t="s">
        <v>287</v>
      </c>
      <c r="I400" s="3" t="s">
        <v>875</v>
      </c>
    </row>
    <row r="401" spans="1:9" ht="16.5" x14ac:dyDescent="0.3">
      <c r="A401" s="17" t="str">
        <f t="shared" si="6"/>
        <v>MED723</v>
      </c>
      <c r="B401" s="3" t="s">
        <v>781</v>
      </c>
      <c r="C401" s="3" t="s">
        <v>96</v>
      </c>
      <c r="D401" s="3" t="s">
        <v>850</v>
      </c>
      <c r="E401" s="3" t="s">
        <v>876</v>
      </c>
      <c r="F401" s="3" t="s">
        <v>877</v>
      </c>
      <c r="G401" s="3" t="s">
        <v>28</v>
      </c>
      <c r="H401" s="3" t="s">
        <v>70</v>
      </c>
      <c r="I401" s="3" t="e">
        <f>VLOOKUP(E401,#REF!,3,FALSE)</f>
        <v>#REF!</v>
      </c>
    </row>
    <row r="402" spans="1:9" ht="16.5" x14ac:dyDescent="0.3">
      <c r="A402" s="17" t="str">
        <f t="shared" si="6"/>
        <v>MPH727</v>
      </c>
      <c r="B402" s="3" t="s">
        <v>781</v>
      </c>
      <c r="C402" s="3" t="s">
        <v>96</v>
      </c>
      <c r="D402" s="3" t="s">
        <v>794</v>
      </c>
      <c r="E402" s="3" t="s">
        <v>878</v>
      </c>
      <c r="F402" s="3" t="s">
        <v>879</v>
      </c>
      <c r="G402" s="3" t="s">
        <v>14</v>
      </c>
      <c r="H402" s="3" t="s">
        <v>220</v>
      </c>
      <c r="I402" s="3" t="e">
        <f>VLOOKUP(E402,#REF!,3,FALSE)</f>
        <v>#REF!</v>
      </c>
    </row>
    <row r="403" spans="1:9" ht="16.5" x14ac:dyDescent="0.3">
      <c r="A403" s="17" t="str">
        <f t="shared" si="6"/>
        <v>MPH813</v>
      </c>
      <c r="B403" s="3" t="s">
        <v>781</v>
      </c>
      <c r="C403" s="3" t="s">
        <v>96</v>
      </c>
      <c r="D403" s="3" t="s">
        <v>880</v>
      </c>
      <c r="E403" s="3" t="s">
        <v>881</v>
      </c>
      <c r="F403" s="3" t="s">
        <v>882</v>
      </c>
      <c r="G403" s="3" t="s">
        <v>14</v>
      </c>
      <c r="H403" s="3" t="s">
        <v>492</v>
      </c>
      <c r="I403" s="3" t="e">
        <f>VLOOKUP(E403,#REF!,3,FALSE)</f>
        <v>#REF!</v>
      </c>
    </row>
    <row r="404" spans="1:9" ht="16.5" x14ac:dyDescent="0.3">
      <c r="A404" s="17" t="str">
        <f t="shared" si="6"/>
        <v>MBA725</v>
      </c>
      <c r="B404" s="3" t="s">
        <v>781</v>
      </c>
      <c r="C404" s="3" t="s">
        <v>96</v>
      </c>
      <c r="D404" s="3" t="s">
        <v>883</v>
      </c>
      <c r="E404" s="3" t="s">
        <v>884</v>
      </c>
      <c r="F404" s="3" t="s">
        <v>885</v>
      </c>
      <c r="G404" s="3" t="s">
        <v>19</v>
      </c>
      <c r="H404" s="3" t="s">
        <v>46</v>
      </c>
      <c r="I404" s="3" t="e">
        <f>VLOOKUP(E404,#REF!,3,FALSE)</f>
        <v>#REF!</v>
      </c>
    </row>
    <row r="405" spans="1:9" ht="16.5" x14ac:dyDescent="0.3">
      <c r="A405" s="17" t="str">
        <f t="shared" si="6"/>
        <v>MPM720</v>
      </c>
      <c r="B405" s="3" t="s">
        <v>781</v>
      </c>
      <c r="C405" s="5" t="s">
        <v>96</v>
      </c>
      <c r="D405" s="3" t="s">
        <v>886</v>
      </c>
      <c r="E405" s="3" t="s">
        <v>887</v>
      </c>
      <c r="F405" s="3" t="s">
        <v>888</v>
      </c>
      <c r="G405" s="3" t="s">
        <v>19</v>
      </c>
      <c r="H405" s="3" t="s">
        <v>91</v>
      </c>
      <c r="I405" s="3" t="e">
        <f>VLOOKUP(E405,#REF!,3,FALSE)</f>
        <v>#REF!</v>
      </c>
    </row>
    <row r="406" spans="1:9" ht="16.5" x14ac:dyDescent="0.3">
      <c r="A406" s="17" t="str">
        <f t="shared" si="6"/>
        <v>MBA721</v>
      </c>
      <c r="B406" s="3" t="s">
        <v>781</v>
      </c>
      <c r="C406" s="3" t="s">
        <v>96</v>
      </c>
      <c r="D406" s="3" t="s">
        <v>827</v>
      </c>
      <c r="E406" s="3" t="s">
        <v>889</v>
      </c>
      <c r="F406" s="3" t="s">
        <v>570</v>
      </c>
      <c r="G406" s="3" t="s">
        <v>19</v>
      </c>
      <c r="H406" s="3" t="s">
        <v>15</v>
      </c>
      <c r="I406" s="3" t="e">
        <f>VLOOKUP(E406,#REF!,3,FALSE)</f>
        <v>#REF!</v>
      </c>
    </row>
    <row r="407" spans="1:9" ht="16.5" x14ac:dyDescent="0.3">
      <c r="A407" s="17" t="str">
        <f t="shared" si="6"/>
        <v>MPH715</v>
      </c>
      <c r="B407" s="3" t="s">
        <v>781</v>
      </c>
      <c r="C407" s="3" t="s">
        <v>96</v>
      </c>
      <c r="D407" s="3" t="s">
        <v>890</v>
      </c>
      <c r="E407" s="3" t="s">
        <v>891</v>
      </c>
      <c r="F407" s="3" t="s">
        <v>892</v>
      </c>
      <c r="G407" s="3" t="s">
        <v>14</v>
      </c>
      <c r="H407" s="3" t="s">
        <v>103</v>
      </c>
      <c r="I407" s="3" t="e">
        <f>VLOOKUP(E407,#REF!,3,FALSE)</f>
        <v>#REF!</v>
      </c>
    </row>
    <row r="408" spans="1:9" ht="16.5" x14ac:dyDescent="0.3">
      <c r="A408" s="17" t="str">
        <f t="shared" si="6"/>
        <v>EHS315</v>
      </c>
      <c r="B408" s="3" t="s">
        <v>781</v>
      </c>
      <c r="C408" s="3" t="s">
        <v>140</v>
      </c>
      <c r="D408" s="3" t="s">
        <v>786</v>
      </c>
      <c r="E408" s="3" t="s">
        <v>893</v>
      </c>
      <c r="F408" s="3" t="s">
        <v>894</v>
      </c>
      <c r="G408" s="3" t="s">
        <v>14</v>
      </c>
      <c r="H408" s="3" t="s">
        <v>29</v>
      </c>
      <c r="I408" s="3" t="e">
        <f>VLOOKUP(E408,#REF!,3,FALSE)</f>
        <v>#REF!</v>
      </c>
    </row>
    <row r="409" spans="1:9" ht="16.5" x14ac:dyDescent="0.3">
      <c r="A409" s="17" t="str">
        <f t="shared" si="6"/>
        <v>EHS316</v>
      </c>
      <c r="B409" s="3" t="s">
        <v>781</v>
      </c>
      <c r="C409" s="3" t="s">
        <v>96</v>
      </c>
      <c r="D409" s="3" t="s">
        <v>786</v>
      </c>
      <c r="E409" s="3" t="s">
        <v>895</v>
      </c>
      <c r="F409" s="3" t="s">
        <v>896</v>
      </c>
      <c r="G409" s="3" t="s">
        <v>14</v>
      </c>
      <c r="H409" s="3" t="s">
        <v>368</v>
      </c>
      <c r="I409" s="3" t="e">
        <f>VLOOKUP(E409,#REF!,3,FALSE)</f>
        <v>#REF!</v>
      </c>
    </row>
    <row r="410" spans="1:9" ht="16.5" x14ac:dyDescent="0.3">
      <c r="A410" s="17" t="str">
        <f t="shared" si="6"/>
        <v>MSS721</v>
      </c>
      <c r="B410" s="3" t="s">
        <v>812</v>
      </c>
      <c r="C410" s="3" t="s">
        <v>96</v>
      </c>
      <c r="D410" s="3" t="s">
        <v>819</v>
      </c>
      <c r="E410" s="3" t="s">
        <v>897</v>
      </c>
      <c r="F410" s="3" t="s">
        <v>898</v>
      </c>
      <c r="G410" s="3" t="s">
        <v>28</v>
      </c>
      <c r="H410" s="3" t="s">
        <v>70</v>
      </c>
      <c r="I410" s="3" t="e">
        <f>VLOOKUP(E410,#REF!,3,FALSE)</f>
        <v>#REF!</v>
      </c>
    </row>
    <row r="411" spans="1:9" ht="16.5" x14ac:dyDescent="0.3">
      <c r="A411" s="17" t="str">
        <f t="shared" si="6"/>
        <v>MIR714</v>
      </c>
      <c r="B411" s="3" t="s">
        <v>781</v>
      </c>
      <c r="C411" s="3" t="s">
        <v>96</v>
      </c>
      <c r="D411" s="3" t="s">
        <v>899</v>
      </c>
      <c r="E411" s="3" t="s">
        <v>900</v>
      </c>
      <c r="F411" s="3" t="s">
        <v>901</v>
      </c>
      <c r="G411" s="3" t="s">
        <v>28</v>
      </c>
      <c r="H411" s="3" t="s">
        <v>267</v>
      </c>
      <c r="I411" s="3" t="e">
        <f>VLOOKUP(E411,#REF!,3,FALSE)</f>
        <v>#REF!</v>
      </c>
    </row>
    <row r="412" spans="1:9" ht="16.5" x14ac:dyDescent="0.3">
      <c r="A412" s="17" t="str">
        <f t="shared" si="6"/>
        <v>MIR812</v>
      </c>
      <c r="B412" s="3" t="s">
        <v>781</v>
      </c>
      <c r="C412" s="3" t="s">
        <v>96</v>
      </c>
      <c r="D412" s="3" t="s">
        <v>858</v>
      </c>
      <c r="E412" s="3" t="s">
        <v>902</v>
      </c>
      <c r="F412" s="3" t="s">
        <v>903</v>
      </c>
      <c r="G412" s="3" t="s">
        <v>28</v>
      </c>
      <c r="H412" s="3" t="s">
        <v>822</v>
      </c>
      <c r="I412" s="3" t="e">
        <f>VLOOKUP(E412,#REF!,3,FALSE)</f>
        <v>#REF!</v>
      </c>
    </row>
    <row r="413" spans="1:9" ht="16.5" x14ac:dyDescent="0.3">
      <c r="A413" s="17" t="str">
        <f t="shared" si="6"/>
        <v>MIR724</v>
      </c>
      <c r="B413" s="3" t="s">
        <v>781</v>
      </c>
      <c r="C413" s="3" t="s">
        <v>96</v>
      </c>
      <c r="D413" s="3" t="s">
        <v>904</v>
      </c>
      <c r="E413" s="3" t="s">
        <v>905</v>
      </c>
      <c r="F413" s="3" t="s">
        <v>726</v>
      </c>
      <c r="G413" s="3" t="s">
        <v>28</v>
      </c>
      <c r="H413" s="3" t="s">
        <v>51</v>
      </c>
      <c r="I413" s="3" t="e">
        <f>VLOOKUP(E413,#REF!,3,FALSE)</f>
        <v>#REF!</v>
      </c>
    </row>
    <row r="414" spans="1:9" ht="16.5" x14ac:dyDescent="0.3">
      <c r="A414" s="17" t="str">
        <f t="shared" si="6"/>
        <v>MSS725</v>
      </c>
      <c r="B414" s="3" t="s">
        <v>781</v>
      </c>
      <c r="C414" s="3" t="s">
        <v>96</v>
      </c>
      <c r="D414" s="3" t="s">
        <v>819</v>
      </c>
      <c r="E414" s="3" t="s">
        <v>906</v>
      </c>
      <c r="F414" s="3" t="s">
        <v>907</v>
      </c>
      <c r="G414" s="3" t="s">
        <v>28</v>
      </c>
      <c r="H414" s="3" t="s">
        <v>822</v>
      </c>
      <c r="I414" s="3" t="e">
        <f>VLOOKUP(E414,#REF!,3,FALSE)</f>
        <v>#REF!</v>
      </c>
    </row>
    <row r="415" spans="1:9" ht="16.5" x14ac:dyDescent="0.3">
      <c r="A415" s="17" t="str">
        <f t="shared" si="6"/>
        <v>MIR712</v>
      </c>
      <c r="B415" s="3" t="s">
        <v>781</v>
      </c>
      <c r="C415" s="3" t="s">
        <v>96</v>
      </c>
      <c r="D415" s="3" t="s">
        <v>908</v>
      </c>
      <c r="E415" s="3" t="s">
        <v>909</v>
      </c>
      <c r="F415" s="3" t="s">
        <v>910</v>
      </c>
      <c r="G415" s="3" t="s">
        <v>28</v>
      </c>
      <c r="H415" s="3" t="s">
        <v>241</v>
      </c>
      <c r="I415" s="3" t="e">
        <f>VLOOKUP(E415,#REF!,3,FALSE)</f>
        <v>#REF!</v>
      </c>
    </row>
    <row r="416" spans="1:9" ht="16.5" x14ac:dyDescent="0.3">
      <c r="A416" s="17" t="str">
        <f t="shared" si="6"/>
        <v>EHS215</v>
      </c>
      <c r="B416" s="3" t="s">
        <v>781</v>
      </c>
      <c r="C416" s="3" t="s">
        <v>96</v>
      </c>
      <c r="D416" s="3" t="s">
        <v>808</v>
      </c>
      <c r="E416" s="3" t="s">
        <v>911</v>
      </c>
      <c r="F416" s="3" t="s">
        <v>912</v>
      </c>
      <c r="G416" s="3" t="s">
        <v>14</v>
      </c>
      <c r="H416" s="3" t="s">
        <v>29</v>
      </c>
      <c r="I416" s="3" t="e">
        <f>VLOOKUP(E416,#REF!,3,FALSE)</f>
        <v>#REF!</v>
      </c>
    </row>
    <row r="417" spans="1:9" ht="16.5" x14ac:dyDescent="0.3">
      <c r="A417" s="17" t="str">
        <f t="shared" si="6"/>
        <v>BJC110</v>
      </c>
      <c r="B417" s="3" t="s">
        <v>781</v>
      </c>
      <c r="C417" s="3" t="s">
        <v>96</v>
      </c>
      <c r="D417" s="3" t="s">
        <v>913</v>
      </c>
      <c r="E417" s="3" t="s">
        <v>206</v>
      </c>
      <c r="F417" s="3" t="s">
        <v>207</v>
      </c>
      <c r="G417" s="3" t="s">
        <v>28</v>
      </c>
      <c r="H417" s="3" t="s">
        <v>112</v>
      </c>
      <c r="I417" s="3" t="e">
        <f>VLOOKUP(E417,#REF!,3,FALSE)</f>
        <v>#REF!</v>
      </c>
    </row>
    <row r="418" spans="1:9" ht="16.5" x14ac:dyDescent="0.3">
      <c r="A418" s="17" t="str">
        <f t="shared" si="6"/>
        <v>MBF813</v>
      </c>
      <c r="B418" s="3" t="s">
        <v>781</v>
      </c>
      <c r="C418" s="3" t="s">
        <v>96</v>
      </c>
      <c r="D418" s="3" t="s">
        <v>914</v>
      </c>
      <c r="E418" s="3" t="s">
        <v>915</v>
      </c>
      <c r="F418" s="3" t="s">
        <v>916</v>
      </c>
      <c r="G418" s="3" t="s">
        <v>19</v>
      </c>
      <c r="H418" s="3" t="s">
        <v>792</v>
      </c>
      <c r="I418" s="3" t="e">
        <f>VLOOKUP(E418,#REF!,3,FALSE)</f>
        <v>#REF!</v>
      </c>
    </row>
    <row r="419" spans="1:9" ht="16.5" x14ac:dyDescent="0.3">
      <c r="A419" s="17" t="str">
        <f t="shared" si="6"/>
        <v>MSC810</v>
      </c>
      <c r="B419" s="3" t="s">
        <v>781</v>
      </c>
      <c r="C419" s="3" t="s">
        <v>96</v>
      </c>
      <c r="D419" s="3" t="s">
        <v>868</v>
      </c>
      <c r="E419" s="3" t="s">
        <v>917</v>
      </c>
      <c r="F419" s="3" t="s">
        <v>918</v>
      </c>
      <c r="G419" s="3" t="s">
        <v>19</v>
      </c>
      <c r="H419" s="3" t="s">
        <v>33</v>
      </c>
      <c r="I419" s="3" t="e">
        <f>VLOOKUP(E419,#REF!,3,FALSE)</f>
        <v>#REF!</v>
      </c>
    </row>
    <row r="420" spans="1:9" ht="16.5" x14ac:dyDescent="0.3">
      <c r="A420" s="17" t="str">
        <f t="shared" si="6"/>
        <v>BBA221</v>
      </c>
      <c r="B420" s="3" t="s">
        <v>781</v>
      </c>
      <c r="C420" s="3" t="s">
        <v>96</v>
      </c>
      <c r="D420" s="3" t="s">
        <v>919</v>
      </c>
      <c r="E420" s="3" t="s">
        <v>569</v>
      </c>
      <c r="F420" s="3" t="s">
        <v>570</v>
      </c>
      <c r="G420" s="3" t="s">
        <v>19</v>
      </c>
      <c r="H420" s="3" t="s">
        <v>83</v>
      </c>
      <c r="I420" s="3" t="e">
        <f>VLOOKUP(E420,#REF!,3,FALSE)</f>
        <v>#REF!</v>
      </c>
    </row>
    <row r="421" spans="1:9" ht="16.5" x14ac:dyDescent="0.3">
      <c r="A421" s="17" t="str">
        <f t="shared" si="6"/>
        <v>MHR815</v>
      </c>
      <c r="B421" s="3" t="s">
        <v>781</v>
      </c>
      <c r="C421" s="3" t="s">
        <v>96</v>
      </c>
      <c r="D421" s="3" t="s">
        <v>920</v>
      </c>
      <c r="E421" s="3" t="s">
        <v>921</v>
      </c>
      <c r="F421" s="3" t="s">
        <v>922</v>
      </c>
      <c r="G421" s="3" t="s">
        <v>19</v>
      </c>
      <c r="H421" s="3" t="s">
        <v>61</v>
      </c>
      <c r="I421" s="3" t="e">
        <f>VLOOKUP(E421,#REF!,3,FALSE)</f>
        <v>#REF!</v>
      </c>
    </row>
    <row r="422" spans="1:9" ht="16.5" x14ac:dyDescent="0.3">
      <c r="A422" s="17" t="str">
        <f t="shared" si="6"/>
        <v>BBA214</v>
      </c>
      <c r="B422" s="3" t="s">
        <v>781</v>
      </c>
      <c r="C422" s="3" t="s">
        <v>96</v>
      </c>
      <c r="D422" s="3" t="s">
        <v>785</v>
      </c>
      <c r="E422" s="5" t="s">
        <v>923</v>
      </c>
      <c r="F422" s="5" t="s">
        <v>530</v>
      </c>
      <c r="G422" s="3" t="s">
        <v>19</v>
      </c>
      <c r="H422" s="3" t="s">
        <v>287</v>
      </c>
      <c r="I422" s="3" t="e">
        <f>VLOOKUP(E422,#REF!,3,FALSE)</f>
        <v>#REF!</v>
      </c>
    </row>
    <row r="423" spans="1:9" ht="16.5" x14ac:dyDescent="0.3">
      <c r="A423" s="17" t="str">
        <f t="shared" si="6"/>
        <v>BBF316</v>
      </c>
      <c r="B423" s="3" t="s">
        <v>781</v>
      </c>
      <c r="C423" s="3" t="s">
        <v>96</v>
      </c>
      <c r="D423" s="3" t="s">
        <v>401</v>
      </c>
      <c r="E423" s="3" t="s">
        <v>402</v>
      </c>
      <c r="F423" s="3" t="s">
        <v>403</v>
      </c>
      <c r="G423" s="3" t="s">
        <v>19</v>
      </c>
      <c r="H423" s="3" t="s">
        <v>87</v>
      </c>
      <c r="I423" s="3" t="s">
        <v>875</v>
      </c>
    </row>
    <row r="424" spans="1:9" ht="16.5" x14ac:dyDescent="0.3">
      <c r="A424" s="17" t="str">
        <f t="shared" si="6"/>
        <v>LLB112</v>
      </c>
      <c r="B424" s="3" t="s">
        <v>781</v>
      </c>
      <c r="C424" s="3" t="s">
        <v>119</v>
      </c>
      <c r="D424" s="3" t="s">
        <v>120</v>
      </c>
      <c r="E424" s="3" t="s">
        <v>121</v>
      </c>
      <c r="F424" s="3" t="s">
        <v>122</v>
      </c>
      <c r="G424" s="3" t="s">
        <v>37</v>
      </c>
      <c r="H424" s="3" t="s">
        <v>123</v>
      </c>
      <c r="I424" s="3" t="e">
        <f>VLOOKUP(E424,#REF!,3,FALSE)</f>
        <v>#REF!</v>
      </c>
    </row>
    <row r="425" spans="1:9" ht="16.5" x14ac:dyDescent="0.3">
      <c r="A425" s="17" t="str">
        <f t="shared" si="6"/>
        <v>LLB225</v>
      </c>
      <c r="B425" s="3" t="s">
        <v>781</v>
      </c>
      <c r="C425" s="3" t="s">
        <v>119</v>
      </c>
      <c r="D425" s="3" t="s">
        <v>129</v>
      </c>
      <c r="E425" s="3" t="s">
        <v>279</v>
      </c>
      <c r="F425" s="3" t="s">
        <v>280</v>
      </c>
      <c r="G425" s="3" t="s">
        <v>37</v>
      </c>
      <c r="H425" s="3" t="s">
        <v>42</v>
      </c>
      <c r="I425" s="3" t="e">
        <f>VLOOKUP(E425,#REF!,3,FALSE)</f>
        <v>#REF!</v>
      </c>
    </row>
    <row r="426" spans="1:9" ht="16.5" x14ac:dyDescent="0.3">
      <c r="A426" s="17" t="str">
        <f t="shared" si="6"/>
        <v>LLM711</v>
      </c>
      <c r="B426" s="3" t="s">
        <v>781</v>
      </c>
      <c r="C426" s="3" t="s">
        <v>119</v>
      </c>
      <c r="D426" s="5" t="s">
        <v>823</v>
      </c>
      <c r="E426" s="3" t="s">
        <v>924</v>
      </c>
      <c r="F426" s="3" t="s">
        <v>925</v>
      </c>
      <c r="G426" s="3" t="s">
        <v>37</v>
      </c>
      <c r="H426" s="3" t="s">
        <v>136</v>
      </c>
      <c r="I426" s="3" t="e">
        <f>VLOOKUP(E426,#REF!,3,FALSE)</f>
        <v>#REF!</v>
      </c>
    </row>
    <row r="427" spans="1:9" ht="16.5" x14ac:dyDescent="0.3">
      <c r="A427" s="17" t="str">
        <f t="shared" si="6"/>
        <v>LLB324</v>
      </c>
      <c r="B427" s="3" t="s">
        <v>781</v>
      </c>
      <c r="C427" s="3" t="s">
        <v>119</v>
      </c>
      <c r="D427" s="3" t="s">
        <v>163</v>
      </c>
      <c r="E427" s="3" t="s">
        <v>270</v>
      </c>
      <c r="F427" s="3" t="s">
        <v>271</v>
      </c>
      <c r="G427" s="3" t="s">
        <v>37</v>
      </c>
      <c r="H427" s="3" t="s">
        <v>793</v>
      </c>
      <c r="I427" s="3" t="e">
        <f>VLOOKUP(E427,#REF!,3,FALSE)</f>
        <v>#REF!</v>
      </c>
    </row>
    <row r="428" spans="1:9" ht="16.5" x14ac:dyDescent="0.3">
      <c r="A428" s="17" t="str">
        <f t="shared" si="6"/>
        <v>LLB124</v>
      </c>
      <c r="B428" s="3" t="s">
        <v>781</v>
      </c>
      <c r="C428" s="3" t="s">
        <v>119</v>
      </c>
      <c r="D428" s="3" t="s">
        <v>34</v>
      </c>
      <c r="E428" s="3" t="s">
        <v>126</v>
      </c>
      <c r="F428" s="3" t="s">
        <v>127</v>
      </c>
      <c r="G428" s="3" t="s">
        <v>37</v>
      </c>
      <c r="H428" s="3" t="s">
        <v>38</v>
      </c>
      <c r="I428" s="3" t="e">
        <f>VLOOKUP(E428,#REF!,3,FALSE)</f>
        <v>#REF!</v>
      </c>
    </row>
    <row r="429" spans="1:9" ht="16.5" x14ac:dyDescent="0.3">
      <c r="A429" s="17" t="str">
        <f t="shared" si="6"/>
        <v>LLB214</v>
      </c>
      <c r="B429" s="3" t="s">
        <v>781</v>
      </c>
      <c r="C429" s="3" t="s">
        <v>119</v>
      </c>
      <c r="D429" s="3" t="s">
        <v>39</v>
      </c>
      <c r="E429" s="3" t="s">
        <v>306</v>
      </c>
      <c r="F429" s="3" t="s">
        <v>307</v>
      </c>
      <c r="G429" s="3" t="s">
        <v>37</v>
      </c>
      <c r="H429" s="3" t="s">
        <v>38</v>
      </c>
      <c r="I429" s="3" t="e">
        <f>VLOOKUP(E429,#REF!,3,FALSE)</f>
        <v>#REF!</v>
      </c>
    </row>
    <row r="430" spans="1:9" ht="16.5" x14ac:dyDescent="0.3">
      <c r="A430" s="17" t="str">
        <f t="shared" si="6"/>
        <v>LLB312</v>
      </c>
      <c r="B430" s="3" t="s">
        <v>781</v>
      </c>
      <c r="C430" s="3" t="s">
        <v>119</v>
      </c>
      <c r="D430" s="3" t="s">
        <v>180</v>
      </c>
      <c r="E430" s="3" t="s">
        <v>274</v>
      </c>
      <c r="F430" s="3" t="s">
        <v>275</v>
      </c>
      <c r="G430" s="3" t="s">
        <v>37</v>
      </c>
      <c r="H430" s="3" t="s">
        <v>132</v>
      </c>
      <c r="I430" s="3" t="e">
        <f>VLOOKUP(E430,#REF!,3,FALSE)</f>
        <v>#REF!</v>
      </c>
    </row>
    <row r="431" spans="1:9" ht="16.5" x14ac:dyDescent="0.3">
      <c r="A431" s="17" t="str">
        <f t="shared" si="6"/>
        <v>LLB426</v>
      </c>
      <c r="B431" s="3" t="s">
        <v>781</v>
      </c>
      <c r="C431" s="3" t="s">
        <v>119</v>
      </c>
      <c r="D431" s="3" t="s">
        <v>160</v>
      </c>
      <c r="E431" s="3" t="s">
        <v>183</v>
      </c>
      <c r="F431" s="3" t="s">
        <v>184</v>
      </c>
      <c r="G431" s="3" t="s">
        <v>37</v>
      </c>
      <c r="H431" s="3" t="s">
        <v>308</v>
      </c>
      <c r="I431" s="3" t="e">
        <f>VLOOKUP(E431,#REF!,3,FALSE)</f>
        <v>#REF!</v>
      </c>
    </row>
    <row r="432" spans="1:9" ht="16.5" x14ac:dyDescent="0.3">
      <c r="A432" s="17" t="str">
        <f t="shared" si="6"/>
        <v>MED713</v>
      </c>
      <c r="B432" s="3" t="s">
        <v>781</v>
      </c>
      <c r="C432" s="3" t="s">
        <v>140</v>
      </c>
      <c r="D432" s="3" t="s">
        <v>839</v>
      </c>
      <c r="E432" s="3" t="s">
        <v>926</v>
      </c>
      <c r="F432" s="3" t="s">
        <v>927</v>
      </c>
      <c r="G432" s="3" t="s">
        <v>28</v>
      </c>
      <c r="H432" s="3" t="s">
        <v>15</v>
      </c>
      <c r="I432" s="3" t="e">
        <f>VLOOKUP(E432,#REF!,3,FALSE)</f>
        <v>#REF!</v>
      </c>
    </row>
    <row r="433" spans="1:9" ht="16.5" x14ac:dyDescent="0.3">
      <c r="A433" s="17" t="str">
        <f t="shared" si="6"/>
        <v>BPH124</v>
      </c>
      <c r="B433" s="3" t="s">
        <v>781</v>
      </c>
      <c r="C433" s="3" t="s">
        <v>140</v>
      </c>
      <c r="D433" s="3" t="s">
        <v>805</v>
      </c>
      <c r="E433" s="3" t="s">
        <v>709</v>
      </c>
      <c r="F433" s="3" t="s">
        <v>928</v>
      </c>
      <c r="G433" s="3" t="s">
        <v>14</v>
      </c>
      <c r="H433" s="3" t="s">
        <v>103</v>
      </c>
      <c r="I433" s="3" t="e">
        <f>VLOOKUP(E433,#REF!,3,FALSE)</f>
        <v>#REF!</v>
      </c>
    </row>
    <row r="434" spans="1:9" ht="16.5" x14ac:dyDescent="0.3">
      <c r="A434" s="17" t="str">
        <f t="shared" si="6"/>
        <v>EHS322</v>
      </c>
      <c r="B434" s="3" t="s">
        <v>781</v>
      </c>
      <c r="C434" s="3" t="s">
        <v>140</v>
      </c>
      <c r="D434" s="3" t="s">
        <v>826</v>
      </c>
      <c r="E434" s="3" t="s">
        <v>750</v>
      </c>
      <c r="F434" s="3" t="s">
        <v>751</v>
      </c>
      <c r="G434" s="3" t="s">
        <v>14</v>
      </c>
      <c r="H434" s="3" t="s">
        <v>65</v>
      </c>
      <c r="I434" s="3" t="e">
        <f>VLOOKUP(E434,#REF!,3,FALSE)</f>
        <v>#REF!</v>
      </c>
    </row>
    <row r="435" spans="1:9" ht="16.5" x14ac:dyDescent="0.3">
      <c r="A435" s="17" t="str">
        <f t="shared" si="6"/>
        <v>MBA728</v>
      </c>
      <c r="B435" s="3" t="s">
        <v>781</v>
      </c>
      <c r="C435" s="3" t="s">
        <v>140</v>
      </c>
      <c r="D435" s="3" t="s">
        <v>929</v>
      </c>
      <c r="E435" s="3" t="s">
        <v>930</v>
      </c>
      <c r="F435" s="3" t="s">
        <v>931</v>
      </c>
      <c r="G435" s="3" t="s">
        <v>19</v>
      </c>
      <c r="H435" s="3" t="s">
        <v>91</v>
      </c>
      <c r="I435" s="3" t="e">
        <f>VLOOKUP(E435,#REF!,3,FALSE)</f>
        <v>#REF!</v>
      </c>
    </row>
    <row r="436" spans="1:9" ht="16.5" x14ac:dyDescent="0.3">
      <c r="A436" s="17" t="str">
        <f t="shared" si="6"/>
        <v>MBA813</v>
      </c>
      <c r="B436" s="3" t="s">
        <v>781</v>
      </c>
      <c r="C436" s="3" t="s">
        <v>140</v>
      </c>
      <c r="D436" s="3" t="s">
        <v>932</v>
      </c>
      <c r="E436" s="3" t="s">
        <v>933</v>
      </c>
      <c r="F436" s="3" t="s">
        <v>934</v>
      </c>
      <c r="G436" s="3" t="s">
        <v>19</v>
      </c>
      <c r="H436" s="3" t="s">
        <v>61</v>
      </c>
      <c r="I436" s="3" t="e">
        <f>VLOOKUP(E436,#REF!,3,FALSE)</f>
        <v>#REF!</v>
      </c>
    </row>
    <row r="437" spans="1:9" ht="16.5" x14ac:dyDescent="0.3">
      <c r="A437" s="17" t="str">
        <f t="shared" si="6"/>
        <v>MPH815</v>
      </c>
      <c r="B437" s="3" t="s">
        <v>781</v>
      </c>
      <c r="C437" s="3" t="s">
        <v>140</v>
      </c>
      <c r="D437" s="3" t="s">
        <v>880</v>
      </c>
      <c r="E437" s="3" t="s">
        <v>935</v>
      </c>
      <c r="F437" s="3" t="s">
        <v>936</v>
      </c>
      <c r="G437" s="3" t="s">
        <v>14</v>
      </c>
      <c r="H437" s="3" t="s">
        <v>220</v>
      </c>
      <c r="I437" s="3" t="e">
        <f>VLOOKUP(E437,#REF!,3,FALSE)</f>
        <v>#REF!</v>
      </c>
    </row>
    <row r="438" spans="1:9" ht="16.5" x14ac:dyDescent="0.3">
      <c r="A438" s="17" t="str">
        <f t="shared" si="6"/>
        <v>MED813</v>
      </c>
      <c r="B438" s="3" t="s">
        <v>781</v>
      </c>
      <c r="C438" s="3" t="s">
        <v>140</v>
      </c>
      <c r="D438" s="3" t="s">
        <v>813</v>
      </c>
      <c r="E438" s="3" t="s">
        <v>937</v>
      </c>
      <c r="F438" s="3" t="s">
        <v>938</v>
      </c>
      <c r="G438" s="3" t="s">
        <v>14</v>
      </c>
      <c r="H438" s="3" t="s">
        <v>792</v>
      </c>
      <c r="I438" s="3" t="e">
        <f>VLOOKUP(E438,#REF!,3,FALSE)</f>
        <v>#REF!</v>
      </c>
    </row>
    <row r="439" spans="1:9" ht="16.5" x14ac:dyDescent="0.3">
      <c r="A439" s="17" t="str">
        <f t="shared" si="6"/>
        <v>EHS224</v>
      </c>
      <c r="B439" s="3" t="s">
        <v>781</v>
      </c>
      <c r="C439" s="3" t="s">
        <v>96</v>
      </c>
      <c r="D439" s="3" t="s">
        <v>802</v>
      </c>
      <c r="E439" s="3" t="s">
        <v>939</v>
      </c>
      <c r="F439" s="3" t="s">
        <v>940</v>
      </c>
      <c r="G439" s="3" t="s">
        <v>14</v>
      </c>
      <c r="H439" s="3" t="s">
        <v>65</v>
      </c>
      <c r="I439" s="3" t="e">
        <f>VLOOKUP(E439,#REF!,3,FALSE)</f>
        <v>#REF!</v>
      </c>
    </row>
    <row r="440" spans="1:9" ht="16.5" x14ac:dyDescent="0.3">
      <c r="A440" s="17" t="str">
        <f t="shared" si="6"/>
        <v>EHS111</v>
      </c>
      <c r="B440" s="3" t="s">
        <v>781</v>
      </c>
      <c r="C440" s="3" t="s">
        <v>140</v>
      </c>
      <c r="D440" s="3" t="s">
        <v>787</v>
      </c>
      <c r="E440" s="3" t="s">
        <v>941</v>
      </c>
      <c r="F440" s="3" t="s">
        <v>942</v>
      </c>
      <c r="G440" s="3" t="s">
        <v>14</v>
      </c>
      <c r="H440" s="3" t="s">
        <v>112</v>
      </c>
      <c r="I440" s="3" t="e">
        <f>VLOOKUP(E440,#REF!,3,FALSE)</f>
        <v>#REF!</v>
      </c>
    </row>
    <row r="441" spans="1:9" ht="16.5" x14ac:dyDescent="0.3">
      <c r="A441" s="17" t="str">
        <f t="shared" si="6"/>
        <v xml:space="preserve">MPM811 </v>
      </c>
      <c r="B441" s="5" t="s">
        <v>781</v>
      </c>
      <c r="C441" s="3" t="s">
        <v>943</v>
      </c>
      <c r="D441" s="5" t="s">
        <v>831</v>
      </c>
      <c r="E441" s="5" t="s">
        <v>944</v>
      </c>
      <c r="F441" s="5" t="s">
        <v>945</v>
      </c>
      <c r="G441" s="5" t="s">
        <v>19</v>
      </c>
      <c r="H441" s="5" t="s">
        <v>792</v>
      </c>
      <c r="I441" s="3" t="e">
        <f>VLOOKUP(E441,#REF!,3,FALSE)</f>
        <v>#REF!</v>
      </c>
    </row>
    <row r="442" spans="1:9" ht="16.5" x14ac:dyDescent="0.3">
      <c r="A442" s="17" t="str">
        <f t="shared" si="6"/>
        <v>MSS810</v>
      </c>
      <c r="B442" s="3" t="s">
        <v>781</v>
      </c>
      <c r="C442" s="3" t="s">
        <v>140</v>
      </c>
      <c r="D442" s="3" t="s">
        <v>816</v>
      </c>
      <c r="E442" s="3" t="s">
        <v>946</v>
      </c>
      <c r="F442" s="3" t="s">
        <v>947</v>
      </c>
      <c r="G442" s="3" t="s">
        <v>28</v>
      </c>
      <c r="H442" s="3" t="s">
        <v>267</v>
      </c>
      <c r="I442" s="3" t="e">
        <f>VLOOKUP(E442,#REF!,3,FALSE)</f>
        <v>#REF!</v>
      </c>
    </row>
    <row r="443" spans="1:9" ht="16.5" x14ac:dyDescent="0.3">
      <c r="A443" s="17" t="str">
        <f t="shared" si="6"/>
        <v>MIR721</v>
      </c>
      <c r="B443" s="3" t="s">
        <v>781</v>
      </c>
      <c r="C443" s="3" t="s">
        <v>140</v>
      </c>
      <c r="D443" s="3" t="s">
        <v>904</v>
      </c>
      <c r="E443" s="3" t="s">
        <v>948</v>
      </c>
      <c r="F443" s="3" t="s">
        <v>949</v>
      </c>
      <c r="G443" s="3" t="s">
        <v>28</v>
      </c>
      <c r="H443" s="3" t="s">
        <v>241</v>
      </c>
      <c r="I443" s="3" t="e">
        <f>VLOOKUP(E443,#REF!,3,FALSE)</f>
        <v>#REF!</v>
      </c>
    </row>
    <row r="444" spans="1:9" ht="16.5" x14ac:dyDescent="0.3">
      <c r="A444" s="17" t="str">
        <f t="shared" si="6"/>
        <v>MIR814</v>
      </c>
      <c r="B444" s="3" t="s">
        <v>781</v>
      </c>
      <c r="C444" s="3" t="s">
        <v>140</v>
      </c>
      <c r="D444" s="3" t="s">
        <v>858</v>
      </c>
      <c r="E444" s="3" t="s">
        <v>950</v>
      </c>
      <c r="F444" s="3" t="s">
        <v>951</v>
      </c>
      <c r="G444" s="3" t="s">
        <v>28</v>
      </c>
      <c r="H444" s="3" t="s">
        <v>822</v>
      </c>
      <c r="I444" s="3" t="e">
        <f>VLOOKUP(E444,#REF!,3,FALSE)</f>
        <v>#REF!</v>
      </c>
    </row>
    <row r="445" spans="1:9" ht="16.5" x14ac:dyDescent="0.3">
      <c r="A445" s="17" t="str">
        <f t="shared" si="6"/>
        <v>MSS716</v>
      </c>
      <c r="B445" s="3" t="s">
        <v>781</v>
      </c>
      <c r="C445" s="3" t="s">
        <v>140</v>
      </c>
      <c r="D445" s="3" t="s">
        <v>855</v>
      </c>
      <c r="E445" s="3" t="s">
        <v>952</v>
      </c>
      <c r="F445" s="3" t="s">
        <v>953</v>
      </c>
      <c r="G445" s="3" t="s">
        <v>28</v>
      </c>
      <c r="H445" s="3" t="s">
        <v>70</v>
      </c>
      <c r="I445" s="3" t="e">
        <f>VLOOKUP(E445,#REF!,3,FALSE)</f>
        <v>#REF!</v>
      </c>
    </row>
    <row r="446" spans="1:9" ht="16.5" x14ac:dyDescent="0.3">
      <c r="A446" s="17" t="str">
        <f t="shared" si="6"/>
        <v>BBA123/DBA128</v>
      </c>
      <c r="B446" s="3" t="s">
        <v>781</v>
      </c>
      <c r="C446" s="3" t="s">
        <v>140</v>
      </c>
      <c r="D446" s="3" t="s">
        <v>811</v>
      </c>
      <c r="E446" s="3" t="s">
        <v>559</v>
      </c>
      <c r="F446" s="3" t="s">
        <v>560</v>
      </c>
      <c r="G446" s="3" t="s">
        <v>19</v>
      </c>
      <c r="H446" s="3" t="s">
        <v>237</v>
      </c>
      <c r="I446" s="3" t="e">
        <f>VLOOKUP(E446,#REF!,3,FALSE)</f>
        <v>#REF!</v>
      </c>
    </row>
    <row r="447" spans="1:9" ht="16.5" x14ac:dyDescent="0.3">
      <c r="A447" s="17" t="str">
        <f t="shared" si="6"/>
        <v>BBA223</v>
      </c>
      <c r="B447" s="3" t="s">
        <v>781</v>
      </c>
      <c r="C447" s="3" t="s">
        <v>140</v>
      </c>
      <c r="D447" s="3" t="s">
        <v>919</v>
      </c>
      <c r="E447" s="3" t="s">
        <v>511</v>
      </c>
      <c r="F447" s="3" t="s">
        <v>512</v>
      </c>
      <c r="G447" s="3" t="s">
        <v>19</v>
      </c>
      <c r="H447" s="3" t="s">
        <v>83</v>
      </c>
      <c r="I447" s="3" t="e">
        <f>VLOOKUP(E447,#REF!,3,FALSE)</f>
        <v>#REF!</v>
      </c>
    </row>
    <row r="448" spans="1:9" ht="16.5" x14ac:dyDescent="0.3">
      <c r="A448" s="17" t="str">
        <f t="shared" si="6"/>
        <v>MIR715</v>
      </c>
      <c r="B448" s="3" t="s">
        <v>781</v>
      </c>
      <c r="C448" s="3" t="s">
        <v>140</v>
      </c>
      <c r="D448" s="3" t="s">
        <v>908</v>
      </c>
      <c r="E448" s="3" t="s">
        <v>954</v>
      </c>
      <c r="F448" s="3" t="s">
        <v>955</v>
      </c>
      <c r="G448" s="3" t="s">
        <v>28</v>
      </c>
      <c r="H448" s="3" t="s">
        <v>51</v>
      </c>
      <c r="I448" s="3" t="e">
        <f>VLOOKUP(E448,#REF!,3,FALSE)</f>
        <v>#REF!</v>
      </c>
    </row>
    <row r="449" spans="1:9" ht="16.5" x14ac:dyDescent="0.3">
      <c r="A449" s="17" t="str">
        <f t="shared" si="6"/>
        <v>MSC814</v>
      </c>
      <c r="B449" s="3" t="s">
        <v>781</v>
      </c>
      <c r="C449" s="3" t="s">
        <v>140</v>
      </c>
      <c r="D449" s="3" t="s">
        <v>868</v>
      </c>
      <c r="E449" s="3" t="s">
        <v>956</v>
      </c>
      <c r="F449" s="3" t="s">
        <v>957</v>
      </c>
      <c r="G449" s="3" t="s">
        <v>19</v>
      </c>
      <c r="H449" s="3" t="s">
        <v>33</v>
      </c>
      <c r="I449" s="3" t="e">
        <f>VLOOKUP(E449,#REF!,3,FALSE)</f>
        <v>#REF!</v>
      </c>
    </row>
    <row r="450" spans="1:9" ht="16.5" x14ac:dyDescent="0.3">
      <c r="A450" s="17" t="str">
        <f t="shared" si="6"/>
        <v>MBA712</v>
      </c>
      <c r="B450" s="3" t="s">
        <v>781</v>
      </c>
      <c r="C450" s="3" t="s">
        <v>140</v>
      </c>
      <c r="D450" s="5" t="s">
        <v>958</v>
      </c>
      <c r="E450" s="3" t="s">
        <v>959</v>
      </c>
      <c r="F450" s="3" t="s">
        <v>960</v>
      </c>
      <c r="G450" s="3" t="s">
        <v>19</v>
      </c>
      <c r="H450" s="3" t="s">
        <v>46</v>
      </c>
      <c r="I450" s="3" t="e">
        <f>VLOOKUP(E450,#REF!,3,FALSE)</f>
        <v>#REF!</v>
      </c>
    </row>
    <row r="451" spans="1:9" ht="16.5" x14ac:dyDescent="0.3">
      <c r="A451" s="17" t="str">
        <f t="shared" si="6"/>
        <v>LLB412</v>
      </c>
      <c r="B451" s="5" t="s">
        <v>781</v>
      </c>
      <c r="C451" s="5" t="s">
        <v>961</v>
      </c>
      <c r="D451" s="5" t="s">
        <v>133</v>
      </c>
      <c r="E451" s="5" t="s">
        <v>134</v>
      </c>
      <c r="F451" s="5" t="s">
        <v>135</v>
      </c>
      <c r="G451" s="5" t="s">
        <v>37</v>
      </c>
      <c r="H451" s="3" t="s">
        <v>132</v>
      </c>
      <c r="I451" s="3" t="e">
        <f>VLOOKUP(E451,#REF!,3,FALSE)</f>
        <v>#REF!</v>
      </c>
    </row>
    <row r="452" spans="1:9" ht="16.5" x14ac:dyDescent="0.3">
      <c r="A452" s="17" t="str">
        <f t="shared" ref="A452:A515" si="7">E452</f>
        <v>LLM725</v>
      </c>
      <c r="B452" s="5" t="s">
        <v>781</v>
      </c>
      <c r="C452" s="5" t="s">
        <v>962</v>
      </c>
      <c r="D452" s="5" t="s">
        <v>136</v>
      </c>
      <c r="E452" s="5" t="s">
        <v>963</v>
      </c>
      <c r="F452" s="5" t="s">
        <v>964</v>
      </c>
      <c r="G452" s="5" t="s">
        <v>37</v>
      </c>
      <c r="H452" s="3" t="s">
        <v>136</v>
      </c>
      <c r="I452" s="3" t="e">
        <f>VLOOKUP(E452,#REF!,3,FALSE)</f>
        <v>#REF!</v>
      </c>
    </row>
    <row r="453" spans="1:9" ht="16.5" x14ac:dyDescent="0.3">
      <c r="A453" s="17" t="str">
        <f t="shared" si="7"/>
        <v>LLB223</v>
      </c>
      <c r="B453" s="3" t="s">
        <v>781</v>
      </c>
      <c r="C453" s="3" t="s">
        <v>159</v>
      </c>
      <c r="D453" s="3" t="s">
        <v>129</v>
      </c>
      <c r="E453" s="3" t="s">
        <v>171</v>
      </c>
      <c r="F453" s="3" t="s">
        <v>172</v>
      </c>
      <c r="G453" s="3" t="s">
        <v>37</v>
      </c>
      <c r="H453" s="3" t="s">
        <v>42</v>
      </c>
      <c r="I453" s="3" t="e">
        <f>VLOOKUP(E453,#REF!,3,FALSE)</f>
        <v>#REF!</v>
      </c>
    </row>
    <row r="454" spans="1:9" ht="16.5" x14ac:dyDescent="0.3">
      <c r="A454" s="17" t="str">
        <f t="shared" si="7"/>
        <v>LLB311</v>
      </c>
      <c r="B454" s="3" t="s">
        <v>781</v>
      </c>
      <c r="C454" s="5" t="s">
        <v>177</v>
      </c>
      <c r="D454" s="3" t="s">
        <v>180</v>
      </c>
      <c r="E454" s="3" t="s">
        <v>181</v>
      </c>
      <c r="F454" s="3" t="s">
        <v>182</v>
      </c>
      <c r="G454" s="3" t="s">
        <v>37</v>
      </c>
      <c r="H454" s="3" t="s">
        <v>132</v>
      </c>
      <c r="I454" s="3" t="e">
        <f>VLOOKUP(E454,#REF!,3,FALSE)</f>
        <v>#REF!</v>
      </c>
    </row>
    <row r="455" spans="1:9" ht="16.5" x14ac:dyDescent="0.3">
      <c r="A455" s="17" t="str">
        <f t="shared" si="7"/>
        <v>LLB122</v>
      </c>
      <c r="B455" s="3" t="s">
        <v>781</v>
      </c>
      <c r="C455" s="3" t="s">
        <v>159</v>
      </c>
      <c r="D455" s="3" t="s">
        <v>34</v>
      </c>
      <c r="E455" s="3" t="s">
        <v>272</v>
      </c>
      <c r="F455" s="3" t="s">
        <v>273</v>
      </c>
      <c r="G455" s="3" t="s">
        <v>37</v>
      </c>
      <c r="H455" s="3" t="s">
        <v>38</v>
      </c>
      <c r="I455" s="3" t="e">
        <f>VLOOKUP(E455,#REF!,3,FALSE)</f>
        <v>#REF!</v>
      </c>
    </row>
    <row r="456" spans="1:9" ht="16.5" x14ac:dyDescent="0.3">
      <c r="A456" s="17" t="str">
        <f t="shared" si="7"/>
        <v>LLB327</v>
      </c>
      <c r="B456" s="3" t="s">
        <v>781</v>
      </c>
      <c r="C456" s="3" t="s">
        <v>159</v>
      </c>
      <c r="D456" s="3" t="s">
        <v>163</v>
      </c>
      <c r="E456" s="3" t="s">
        <v>164</v>
      </c>
      <c r="F456" s="3" t="s">
        <v>165</v>
      </c>
      <c r="G456" s="3" t="s">
        <v>37</v>
      </c>
      <c r="H456" s="3" t="s">
        <v>308</v>
      </c>
      <c r="I456" s="3" t="e">
        <f>VLOOKUP(E456,#REF!,3,FALSE)</f>
        <v>#REF!</v>
      </c>
    </row>
    <row r="457" spans="1:9" ht="16.5" x14ac:dyDescent="0.3">
      <c r="A457" s="17" t="str">
        <f t="shared" si="7"/>
        <v>LLB212</v>
      </c>
      <c r="B457" s="3" t="s">
        <v>781</v>
      </c>
      <c r="C457" s="3" t="s">
        <v>159</v>
      </c>
      <c r="D457" s="3" t="s">
        <v>39</v>
      </c>
      <c r="E457" s="3" t="s">
        <v>175</v>
      </c>
      <c r="F457" s="3" t="s">
        <v>176</v>
      </c>
      <c r="G457" s="3" t="s">
        <v>37</v>
      </c>
      <c r="H457" s="3" t="s">
        <v>38</v>
      </c>
      <c r="I457" s="3" t="e">
        <f>VLOOKUP(E457,#REF!,3,FALSE)</f>
        <v>#REF!</v>
      </c>
    </row>
    <row r="458" spans="1:9" ht="16.5" x14ac:dyDescent="0.3">
      <c r="A458" s="17" t="str">
        <f t="shared" si="7"/>
        <v>LLB114</v>
      </c>
      <c r="B458" s="3" t="s">
        <v>781</v>
      </c>
      <c r="C458" s="3" t="s">
        <v>159</v>
      </c>
      <c r="D458" s="3" t="s">
        <v>120</v>
      </c>
      <c r="E458" s="3" t="s">
        <v>623</v>
      </c>
      <c r="F458" s="3" t="s">
        <v>624</v>
      </c>
      <c r="G458" s="3" t="s">
        <v>37</v>
      </c>
      <c r="H458" s="3" t="s">
        <v>123</v>
      </c>
      <c r="I458" s="3" t="e">
        <f>VLOOKUP(E458,#REF!,3,FALSE)</f>
        <v>#REF!</v>
      </c>
    </row>
    <row r="459" spans="1:9" ht="16.5" x14ac:dyDescent="0.3">
      <c r="A459" s="17" t="str">
        <f t="shared" si="7"/>
        <v>LLB416</v>
      </c>
      <c r="B459" s="5" t="s">
        <v>781</v>
      </c>
      <c r="C459" s="5" t="s">
        <v>965</v>
      </c>
      <c r="D459" s="5" t="s">
        <v>133</v>
      </c>
      <c r="E459" s="5" t="s">
        <v>295</v>
      </c>
      <c r="F459" s="5" t="s">
        <v>296</v>
      </c>
      <c r="G459" s="5" t="s">
        <v>37</v>
      </c>
      <c r="H459" s="3" t="s">
        <v>132</v>
      </c>
      <c r="I459" s="3" t="e">
        <f>VLOOKUP(E459,#REF!,3,FALSE)</f>
        <v>#REF!</v>
      </c>
    </row>
    <row r="460" spans="1:9" ht="16.5" x14ac:dyDescent="0.3">
      <c r="A460" s="17" t="str">
        <f t="shared" si="7"/>
        <v>LLM812</v>
      </c>
      <c r="B460" s="5" t="s">
        <v>781</v>
      </c>
      <c r="C460" s="5" t="s">
        <v>128</v>
      </c>
      <c r="D460" s="5" t="s">
        <v>136</v>
      </c>
      <c r="E460" s="5" t="s">
        <v>966</v>
      </c>
      <c r="F460" s="5" t="s">
        <v>967</v>
      </c>
      <c r="G460" s="5" t="s">
        <v>37</v>
      </c>
      <c r="H460" s="3" t="s">
        <v>136</v>
      </c>
      <c r="I460" s="3" t="e">
        <f>VLOOKUP(E460,#REF!,3,FALSE)</f>
        <v>#REF!</v>
      </c>
    </row>
    <row r="461" spans="1:9" ht="16.5" x14ac:dyDescent="0.3">
      <c r="A461" s="17" t="str">
        <f t="shared" si="7"/>
        <v>LLB413</v>
      </c>
      <c r="B461" s="5" t="s">
        <v>781</v>
      </c>
      <c r="C461" s="5" t="s">
        <v>968</v>
      </c>
      <c r="D461" s="5" t="s">
        <v>133</v>
      </c>
      <c r="E461" s="5" t="s">
        <v>423</v>
      </c>
      <c r="F461" s="5" t="s">
        <v>424</v>
      </c>
      <c r="G461" s="5" t="s">
        <v>37</v>
      </c>
      <c r="H461" s="3" t="s">
        <v>132</v>
      </c>
      <c r="I461" s="3" t="e">
        <f>VLOOKUP(E461,#REF!,3,FALSE)</f>
        <v>#REF!</v>
      </c>
    </row>
    <row r="462" spans="1:9" ht="16.5" x14ac:dyDescent="0.3">
      <c r="A462" s="17" t="str">
        <f t="shared" si="7"/>
        <v>LLM7211</v>
      </c>
      <c r="B462" s="5" t="s">
        <v>781</v>
      </c>
      <c r="C462" s="5" t="s">
        <v>968</v>
      </c>
      <c r="D462" s="5" t="s">
        <v>136</v>
      </c>
      <c r="E462" s="5" t="s">
        <v>969</v>
      </c>
      <c r="F462" s="5" t="s">
        <v>970</v>
      </c>
      <c r="G462" s="5" t="s">
        <v>37</v>
      </c>
      <c r="H462" s="3" t="s">
        <v>136</v>
      </c>
      <c r="I462" s="3" t="e">
        <f>VLOOKUP(E462,#REF!,3,FALSE)</f>
        <v>#REF!</v>
      </c>
    </row>
    <row r="463" spans="1:9" ht="16.5" x14ac:dyDescent="0.3">
      <c r="A463" s="17" t="str">
        <f t="shared" si="7"/>
        <v>LLB424</v>
      </c>
      <c r="B463" s="3" t="s">
        <v>781</v>
      </c>
      <c r="C463" s="3" t="s">
        <v>128</v>
      </c>
      <c r="D463" s="3" t="s">
        <v>160</v>
      </c>
      <c r="E463" s="3" t="s">
        <v>161</v>
      </c>
      <c r="F463" s="3" t="s">
        <v>162</v>
      </c>
      <c r="G463" s="3" t="s">
        <v>37</v>
      </c>
      <c r="H463" s="3" t="s">
        <v>308</v>
      </c>
      <c r="I463" s="3" t="e">
        <f>VLOOKUP(E463,#REF!,3,FALSE)</f>
        <v>#REF!</v>
      </c>
    </row>
    <row r="464" spans="1:9" ht="16.5" x14ac:dyDescent="0.3">
      <c r="A464" s="17" t="str">
        <f t="shared" si="7"/>
        <v>LLB224</v>
      </c>
      <c r="B464" s="3" t="s">
        <v>781</v>
      </c>
      <c r="C464" s="3" t="s">
        <v>128</v>
      </c>
      <c r="D464" s="3" t="s">
        <v>129</v>
      </c>
      <c r="E464" s="3" t="s">
        <v>293</v>
      </c>
      <c r="F464" s="3" t="s">
        <v>294</v>
      </c>
      <c r="G464" s="3" t="s">
        <v>37</v>
      </c>
      <c r="H464" s="3" t="s">
        <v>42</v>
      </c>
      <c r="I464" s="3" t="e">
        <f>VLOOKUP(E464,#REF!,3,FALSE)</f>
        <v>#REF!</v>
      </c>
    </row>
    <row r="465" spans="1:9" ht="16.5" x14ac:dyDescent="0.3">
      <c r="A465" s="17" t="str">
        <f t="shared" si="7"/>
        <v>LLB313</v>
      </c>
      <c r="B465" s="3" t="s">
        <v>781</v>
      </c>
      <c r="C465" s="3" t="s">
        <v>128</v>
      </c>
      <c r="D465" s="3" t="s">
        <v>180</v>
      </c>
      <c r="E465" s="3" t="s">
        <v>425</v>
      </c>
      <c r="F465" s="3" t="s">
        <v>426</v>
      </c>
      <c r="G465" s="3" t="s">
        <v>37</v>
      </c>
      <c r="H465" s="3" t="s">
        <v>132</v>
      </c>
      <c r="I465" s="3" t="e">
        <f>VLOOKUP(E465,#REF!,3,FALSE)</f>
        <v>#REF!</v>
      </c>
    </row>
    <row r="466" spans="1:9" ht="16.5" x14ac:dyDescent="0.3">
      <c r="A466" s="17" t="str">
        <f t="shared" si="7"/>
        <v>LLB121</v>
      </c>
      <c r="B466" s="3" t="s">
        <v>781</v>
      </c>
      <c r="C466" s="3" t="s">
        <v>128</v>
      </c>
      <c r="D466" s="3" t="s">
        <v>34</v>
      </c>
      <c r="E466" s="3" t="s">
        <v>35</v>
      </c>
      <c r="F466" s="3" t="s">
        <v>36</v>
      </c>
      <c r="G466" s="3" t="s">
        <v>37</v>
      </c>
      <c r="H466" s="3" t="s">
        <v>38</v>
      </c>
      <c r="I466" s="3" t="e">
        <f>VLOOKUP(E466,#REF!,3,FALSE)</f>
        <v>#REF!</v>
      </c>
    </row>
    <row r="467" spans="1:9" ht="16.5" x14ac:dyDescent="0.3">
      <c r="A467" s="17" t="str">
        <f t="shared" si="7"/>
        <v>LLB222</v>
      </c>
      <c r="B467" s="3" t="s">
        <v>781</v>
      </c>
      <c r="C467" s="3" t="s">
        <v>177</v>
      </c>
      <c r="D467" s="3" t="s">
        <v>129</v>
      </c>
      <c r="E467" s="3" t="s">
        <v>130</v>
      </c>
      <c r="F467" s="3" t="s">
        <v>131</v>
      </c>
      <c r="G467" s="3" t="s">
        <v>37</v>
      </c>
      <c r="H467" s="3" t="s">
        <v>42</v>
      </c>
      <c r="I467" s="3" t="e">
        <f>VLOOKUP(E467,#REF!,3,FALSE)</f>
        <v>#REF!</v>
      </c>
    </row>
    <row r="468" spans="1:9" ht="16.5" x14ac:dyDescent="0.3">
      <c r="A468" s="17" t="str">
        <f t="shared" si="7"/>
        <v>LLB212</v>
      </c>
      <c r="B468" s="3" t="s">
        <v>781</v>
      </c>
      <c r="C468" s="3" t="s">
        <v>128</v>
      </c>
      <c r="D468" s="3" t="s">
        <v>39</v>
      </c>
      <c r="E468" s="3" t="s">
        <v>175</v>
      </c>
      <c r="F468" s="3" t="s">
        <v>176</v>
      </c>
      <c r="G468" s="3" t="s">
        <v>37</v>
      </c>
      <c r="H468" s="3" t="s">
        <v>38</v>
      </c>
      <c r="I468" s="3" t="e">
        <f>VLOOKUP(E468,#REF!,3,FALSE)</f>
        <v>#REF!</v>
      </c>
    </row>
    <row r="469" spans="1:9" ht="16.5" x14ac:dyDescent="0.3">
      <c r="A469" s="17" t="str">
        <f t="shared" si="7"/>
        <v>LLB114</v>
      </c>
      <c r="B469" s="3" t="s">
        <v>781</v>
      </c>
      <c r="C469" s="3" t="s">
        <v>128</v>
      </c>
      <c r="D469" s="3" t="s">
        <v>120</v>
      </c>
      <c r="E469" s="3" t="s">
        <v>623</v>
      </c>
      <c r="F469" s="3" t="s">
        <v>624</v>
      </c>
      <c r="G469" s="3" t="s">
        <v>37</v>
      </c>
      <c r="H469" s="3" t="s">
        <v>123</v>
      </c>
      <c r="I469" s="3" t="e">
        <f>VLOOKUP(E469,#REF!,3,FALSE)</f>
        <v>#REF!</v>
      </c>
    </row>
    <row r="470" spans="1:9" ht="16.5" x14ac:dyDescent="0.3">
      <c r="A470" s="17" t="str">
        <f t="shared" si="7"/>
        <v>LLB414</v>
      </c>
      <c r="B470" s="5" t="s">
        <v>781</v>
      </c>
      <c r="C470" s="5" t="s">
        <v>971</v>
      </c>
      <c r="D470" s="5" t="s">
        <v>133</v>
      </c>
      <c r="E470" s="5" t="s">
        <v>430</v>
      </c>
      <c r="F470" s="5" t="s">
        <v>431</v>
      </c>
      <c r="G470" s="5" t="s">
        <v>37</v>
      </c>
      <c r="H470" s="3" t="s">
        <v>132</v>
      </c>
      <c r="I470" s="3" t="e">
        <f>VLOOKUP(E470,#REF!,3,FALSE)</f>
        <v>#REF!</v>
      </c>
    </row>
    <row r="471" spans="1:9" ht="16.5" x14ac:dyDescent="0.3">
      <c r="A471" s="17" t="str">
        <f t="shared" si="7"/>
        <v>LLM713</v>
      </c>
      <c r="B471" s="3" t="s">
        <v>781</v>
      </c>
      <c r="C471" s="3" t="s">
        <v>177</v>
      </c>
      <c r="D471" s="5" t="s">
        <v>823</v>
      </c>
      <c r="E471" s="3" t="s">
        <v>972</v>
      </c>
      <c r="F471" s="3" t="s">
        <v>973</v>
      </c>
      <c r="G471" s="3" t="s">
        <v>37</v>
      </c>
      <c r="H471" s="3" t="s">
        <v>136</v>
      </c>
      <c r="I471" s="3" t="e">
        <f>VLOOKUP(E471,#REF!,3,FALSE)</f>
        <v>#REF!</v>
      </c>
    </row>
    <row r="472" spans="1:9" ht="16.5" x14ac:dyDescent="0.3">
      <c r="A472" s="17" t="str">
        <f t="shared" si="7"/>
        <v>LLM721</v>
      </c>
      <c r="B472" s="3" t="s">
        <v>781</v>
      </c>
      <c r="C472" s="3" t="s">
        <v>177</v>
      </c>
      <c r="D472" s="3" t="s">
        <v>136</v>
      </c>
      <c r="E472" s="3" t="s">
        <v>974</v>
      </c>
      <c r="F472" s="3" t="s">
        <v>975</v>
      </c>
      <c r="G472" s="3" t="s">
        <v>37</v>
      </c>
      <c r="H472" s="3" t="s">
        <v>136</v>
      </c>
      <c r="I472" s="3" t="e">
        <f>VLOOKUP(E472,#REF!,3,FALSE)</f>
        <v>#REF!</v>
      </c>
    </row>
    <row r="473" spans="1:9" ht="16.5" x14ac:dyDescent="0.3">
      <c r="A473" s="17" t="str">
        <f t="shared" si="7"/>
        <v>LLB115</v>
      </c>
      <c r="B473" s="3" t="s">
        <v>781</v>
      </c>
      <c r="C473" s="3" t="s">
        <v>177</v>
      </c>
      <c r="D473" s="3" t="s">
        <v>120</v>
      </c>
      <c r="E473" s="3" t="s">
        <v>428</v>
      </c>
      <c r="F473" s="3" t="s">
        <v>429</v>
      </c>
      <c r="G473" s="3" t="s">
        <v>37</v>
      </c>
      <c r="H473" s="3" t="s">
        <v>123</v>
      </c>
      <c r="I473" s="3" t="e">
        <f>VLOOKUP(E473,#REF!,3,FALSE)</f>
        <v>#REF!</v>
      </c>
    </row>
    <row r="474" spans="1:9" ht="16.5" x14ac:dyDescent="0.3">
      <c r="A474" s="17" t="str">
        <f t="shared" si="7"/>
        <v>LLM811</v>
      </c>
      <c r="B474" s="5" t="s">
        <v>781</v>
      </c>
      <c r="C474" s="5" t="s">
        <v>177</v>
      </c>
      <c r="D474" s="5" t="s">
        <v>136</v>
      </c>
      <c r="E474" s="5" t="s">
        <v>976</v>
      </c>
      <c r="F474" s="5" t="s">
        <v>977</v>
      </c>
      <c r="G474" s="5" t="s">
        <v>37</v>
      </c>
      <c r="H474" s="5" t="s">
        <v>308</v>
      </c>
      <c r="I474" s="3" t="e">
        <f>VLOOKUP(E474,#REF!,3,FALSE)</f>
        <v>#REF!</v>
      </c>
    </row>
    <row r="475" spans="1:9" ht="16.5" x14ac:dyDescent="0.3">
      <c r="A475" s="17" t="str">
        <f t="shared" si="7"/>
        <v>LLB315</v>
      </c>
      <c r="B475" s="3" t="s">
        <v>781</v>
      </c>
      <c r="C475" s="3" t="s">
        <v>978</v>
      </c>
      <c r="D475" s="3" t="s">
        <v>180</v>
      </c>
      <c r="E475" s="3" t="s">
        <v>302</v>
      </c>
      <c r="F475" s="3" t="s">
        <v>303</v>
      </c>
      <c r="G475" s="3" t="s">
        <v>37</v>
      </c>
      <c r="H475" s="3" t="s">
        <v>308</v>
      </c>
      <c r="I475" s="3" t="e">
        <f>VLOOKUP(E475,#REF!,3,FALSE)</f>
        <v>#REF!</v>
      </c>
    </row>
    <row r="476" spans="1:9" ht="16.5" x14ac:dyDescent="0.3">
      <c r="A476" s="17" t="str">
        <f t="shared" si="7"/>
        <v>LLM729</v>
      </c>
      <c r="B476" s="5" t="s">
        <v>781</v>
      </c>
      <c r="C476" s="5" t="s">
        <v>177</v>
      </c>
      <c r="D476" s="5" t="s">
        <v>979</v>
      </c>
      <c r="E476" s="5" t="s">
        <v>980</v>
      </c>
      <c r="F476" s="5" t="s">
        <v>981</v>
      </c>
      <c r="G476" s="5" t="s">
        <v>37</v>
      </c>
      <c r="H476" s="3" t="s">
        <v>136</v>
      </c>
      <c r="I476" s="3" t="e">
        <f>VLOOKUP(E476,#REF!,3,FALSE)</f>
        <v>#REF!</v>
      </c>
    </row>
    <row r="477" spans="1:9" ht="16.5" x14ac:dyDescent="0.3">
      <c r="A477" s="17" t="str">
        <f t="shared" si="7"/>
        <v>LLB325</v>
      </c>
      <c r="B477" s="3" t="s">
        <v>781</v>
      </c>
      <c r="C477" s="3" t="s">
        <v>177</v>
      </c>
      <c r="D477" s="3" t="s">
        <v>163</v>
      </c>
      <c r="E477" s="3" t="s">
        <v>201</v>
      </c>
      <c r="F477" s="3" t="s">
        <v>202</v>
      </c>
      <c r="G477" s="3" t="s">
        <v>37</v>
      </c>
      <c r="H477" s="3" t="s">
        <v>793</v>
      </c>
      <c r="I477" s="3" t="e">
        <f>VLOOKUP(E477,#REF!,3,FALSE)</f>
        <v>#REF!</v>
      </c>
    </row>
    <row r="478" spans="1:9" ht="16.5" x14ac:dyDescent="0.3">
      <c r="A478" s="17" t="str">
        <f t="shared" si="7"/>
        <v>LLB327</v>
      </c>
      <c r="B478" s="3" t="s">
        <v>781</v>
      </c>
      <c r="C478" s="3" t="s">
        <v>128</v>
      </c>
      <c r="D478" s="3" t="s">
        <v>163</v>
      </c>
      <c r="E478" s="3" t="s">
        <v>164</v>
      </c>
      <c r="F478" s="3" t="s">
        <v>165</v>
      </c>
      <c r="G478" s="3" t="s">
        <v>37</v>
      </c>
      <c r="H478" s="3" t="s">
        <v>42</v>
      </c>
      <c r="I478" s="3" t="e">
        <f>VLOOKUP(E478,#REF!,3,FALSE)</f>
        <v>#REF!</v>
      </c>
    </row>
    <row r="479" spans="1:9" ht="16.5" x14ac:dyDescent="0.3">
      <c r="A479" s="17" t="str">
        <f t="shared" si="7"/>
        <v>LLB125</v>
      </c>
      <c r="B479" s="3" t="s">
        <v>781</v>
      </c>
      <c r="C479" s="3" t="s">
        <v>177</v>
      </c>
      <c r="D479" s="3" t="s">
        <v>34</v>
      </c>
      <c r="E479" s="3" t="s">
        <v>203</v>
      </c>
      <c r="F479" s="3" t="s">
        <v>204</v>
      </c>
      <c r="G479" s="3" t="s">
        <v>37</v>
      </c>
      <c r="H479" s="3" t="s">
        <v>38</v>
      </c>
      <c r="I479" s="3" t="e">
        <f>VLOOKUP(E479,#REF!,3,FALSE)</f>
        <v>#REF!</v>
      </c>
    </row>
    <row r="480" spans="1:9" ht="16.5" x14ac:dyDescent="0.3">
      <c r="A480" s="17" t="str">
        <f t="shared" si="7"/>
        <v>LLB221</v>
      </c>
      <c r="B480" s="3" t="s">
        <v>812</v>
      </c>
      <c r="C480" s="3" t="s">
        <v>128</v>
      </c>
      <c r="D480" s="3" t="s">
        <v>129</v>
      </c>
      <c r="E480" s="3" t="s">
        <v>309</v>
      </c>
      <c r="F480" s="3" t="s">
        <v>310</v>
      </c>
      <c r="G480" s="3" t="s">
        <v>37</v>
      </c>
      <c r="H480" s="3" t="s">
        <v>132</v>
      </c>
      <c r="I480" s="3" t="e">
        <f>VLOOKUP(E480,#REF!,3,FALSE)</f>
        <v>#REF!</v>
      </c>
    </row>
    <row r="481" spans="1:9" ht="16.5" x14ac:dyDescent="0.3">
      <c r="A481" s="17" t="str">
        <f t="shared" si="7"/>
        <v>LLB211</v>
      </c>
      <c r="B481" s="3" t="s">
        <v>781</v>
      </c>
      <c r="C481" s="3" t="s">
        <v>177</v>
      </c>
      <c r="D481" s="3" t="s">
        <v>39</v>
      </c>
      <c r="E481" s="3" t="s">
        <v>185</v>
      </c>
      <c r="F481" s="3" t="s">
        <v>186</v>
      </c>
      <c r="G481" s="3" t="s">
        <v>37</v>
      </c>
      <c r="H481" s="3" t="s">
        <v>38</v>
      </c>
      <c r="I481" s="3" t="e">
        <f>VLOOKUP(E481,#REF!,3,FALSE)</f>
        <v>#REF!</v>
      </c>
    </row>
    <row r="482" spans="1:9" ht="16.5" x14ac:dyDescent="0.3">
      <c r="A482" s="17" t="str">
        <f t="shared" si="7"/>
        <v>MPH713</v>
      </c>
      <c r="B482" s="3" t="s">
        <v>812</v>
      </c>
      <c r="C482" s="3" t="s">
        <v>10</v>
      </c>
      <c r="D482" s="3" t="s">
        <v>890</v>
      </c>
      <c r="E482" s="3" t="s">
        <v>982</v>
      </c>
      <c r="F482" s="3" t="s">
        <v>670</v>
      </c>
      <c r="G482" s="3" t="s">
        <v>14</v>
      </c>
      <c r="H482" s="3" t="s">
        <v>983</v>
      </c>
      <c r="I482" s="3" t="e">
        <f>VLOOKUP(E482,#REF!,3,FALSE)</f>
        <v>#REF!</v>
      </c>
    </row>
    <row r="483" spans="1:9" ht="16.5" x14ac:dyDescent="0.3">
      <c r="A483" s="17" t="str">
        <f t="shared" si="7"/>
        <v>LLB411</v>
      </c>
      <c r="B483" s="5" t="s">
        <v>812</v>
      </c>
      <c r="C483" s="5" t="s">
        <v>10</v>
      </c>
      <c r="D483" s="5" t="s">
        <v>133</v>
      </c>
      <c r="E483" s="5" t="s">
        <v>333</v>
      </c>
      <c r="F483" s="5" t="s">
        <v>334</v>
      </c>
      <c r="G483" s="5" t="s">
        <v>37</v>
      </c>
      <c r="H483" s="3" t="s">
        <v>132</v>
      </c>
      <c r="I483" s="3" t="e">
        <f>VLOOKUP(E483,#REF!,3,FALSE)</f>
        <v>#REF!</v>
      </c>
    </row>
    <row r="484" spans="1:9" ht="16.5" x14ac:dyDescent="0.3">
      <c r="A484" s="17" t="str">
        <f t="shared" si="7"/>
        <v>MPH714</v>
      </c>
      <c r="B484" s="3" t="s">
        <v>812</v>
      </c>
      <c r="C484" s="3" t="s">
        <v>47</v>
      </c>
      <c r="D484" s="3" t="s">
        <v>890</v>
      </c>
      <c r="E484" s="3" t="s">
        <v>984</v>
      </c>
      <c r="F484" s="3" t="s">
        <v>985</v>
      </c>
      <c r="G484" s="3" t="s">
        <v>14</v>
      </c>
      <c r="H484" s="3" t="s">
        <v>983</v>
      </c>
      <c r="I484" s="3" t="e">
        <f>VLOOKUP(E484,#REF!,3,FALSE)</f>
        <v>#REF!</v>
      </c>
    </row>
    <row r="485" spans="1:9" ht="16.5" x14ac:dyDescent="0.3">
      <c r="A485" s="17" t="str">
        <f t="shared" si="7"/>
        <v>BBA113/DBA113</v>
      </c>
      <c r="B485" s="3" t="s">
        <v>812</v>
      </c>
      <c r="C485" s="3" t="s">
        <v>10</v>
      </c>
      <c r="D485" s="3" t="s">
        <v>784</v>
      </c>
      <c r="E485" s="3" t="s">
        <v>316</v>
      </c>
      <c r="F485" s="3" t="s">
        <v>317</v>
      </c>
      <c r="G485" s="3" t="s">
        <v>19</v>
      </c>
      <c r="H485" s="3" t="s">
        <v>20</v>
      </c>
      <c r="I485" s="3" t="e">
        <f>VLOOKUP(E485,#REF!,3,FALSE)</f>
        <v>#REF!</v>
      </c>
    </row>
    <row r="486" spans="1:9" ht="16.5" x14ac:dyDescent="0.3">
      <c r="A486" s="17" t="str">
        <f t="shared" si="7"/>
        <v>LLB322</v>
      </c>
      <c r="B486" s="3" t="s">
        <v>812</v>
      </c>
      <c r="C486" s="3" t="s">
        <v>10</v>
      </c>
      <c r="D486" s="3" t="s">
        <v>163</v>
      </c>
      <c r="E486" s="3" t="s">
        <v>166</v>
      </c>
      <c r="F486" s="3" t="s">
        <v>167</v>
      </c>
      <c r="G486" s="3" t="s">
        <v>37</v>
      </c>
      <c r="H486" s="3" t="s">
        <v>793</v>
      </c>
      <c r="I486" s="3" t="e">
        <f>VLOOKUP(E486,#REF!,3,FALSE)</f>
        <v>#REF!</v>
      </c>
    </row>
    <row r="487" spans="1:9" ht="16.5" x14ac:dyDescent="0.3">
      <c r="A487" s="17" t="str">
        <f t="shared" si="7"/>
        <v>LLB115</v>
      </c>
      <c r="B487" s="3" t="s">
        <v>812</v>
      </c>
      <c r="C487" s="3" t="s">
        <v>10</v>
      </c>
      <c r="D487" s="3" t="s">
        <v>120</v>
      </c>
      <c r="E487" s="3" t="s">
        <v>428</v>
      </c>
      <c r="F487" s="3" t="s">
        <v>429</v>
      </c>
      <c r="G487" s="3" t="s">
        <v>37</v>
      </c>
      <c r="H487" s="3" t="s">
        <v>123</v>
      </c>
      <c r="I487" s="3" t="e">
        <f>VLOOKUP(E487,#REF!,3,FALSE)</f>
        <v>#REF!</v>
      </c>
    </row>
    <row r="488" spans="1:9" ht="16.5" x14ac:dyDescent="0.3">
      <c r="A488" s="17" t="str">
        <f t="shared" si="7"/>
        <v>BBA212</v>
      </c>
      <c r="B488" s="3" t="s">
        <v>812</v>
      </c>
      <c r="C488" s="3" t="s">
        <v>10</v>
      </c>
      <c r="D488" s="3" t="s">
        <v>785</v>
      </c>
      <c r="E488" s="3" t="s">
        <v>439</v>
      </c>
      <c r="F488" s="3" t="s">
        <v>440</v>
      </c>
      <c r="G488" s="3" t="s">
        <v>28</v>
      </c>
      <c r="H488" s="3" t="s">
        <v>287</v>
      </c>
      <c r="I488" s="3" t="e">
        <f>VLOOKUP(E488,#REF!,3,FALSE)</f>
        <v>#REF!</v>
      </c>
    </row>
    <row r="489" spans="1:9" ht="16.5" x14ac:dyDescent="0.3">
      <c r="A489" s="17" t="str">
        <f t="shared" si="7"/>
        <v>MBA710</v>
      </c>
      <c r="B489" s="3" t="s">
        <v>812</v>
      </c>
      <c r="C489" s="3" t="s">
        <v>10</v>
      </c>
      <c r="D489" s="5" t="s">
        <v>986</v>
      </c>
      <c r="E489" s="3" t="s">
        <v>987</v>
      </c>
      <c r="F489" s="3" t="s">
        <v>988</v>
      </c>
      <c r="G489" s="3" t="s">
        <v>19</v>
      </c>
      <c r="H489" s="3" t="s">
        <v>46</v>
      </c>
      <c r="I489" s="3" t="e">
        <f>VLOOKUP(E489,#REF!,3,FALSE)</f>
        <v>#REF!</v>
      </c>
    </row>
    <row r="490" spans="1:9" ht="16.5" x14ac:dyDescent="0.3">
      <c r="A490" s="17" t="str">
        <f t="shared" si="7"/>
        <v>MSS723</v>
      </c>
      <c r="B490" s="3" t="s">
        <v>812</v>
      </c>
      <c r="C490" s="3" t="s">
        <v>47</v>
      </c>
      <c r="D490" s="3" t="s">
        <v>819</v>
      </c>
      <c r="E490" s="3" t="s">
        <v>989</v>
      </c>
      <c r="F490" s="3" t="s">
        <v>990</v>
      </c>
      <c r="G490" s="3" t="s">
        <v>28</v>
      </c>
      <c r="H490" s="3" t="s">
        <v>822</v>
      </c>
      <c r="I490" s="3" t="e">
        <f>VLOOKUP(E490,#REF!,3,FALSE)</f>
        <v>#REF!</v>
      </c>
    </row>
    <row r="491" spans="1:9" ht="16.5" x14ac:dyDescent="0.3">
      <c r="A491" s="17" t="str">
        <f t="shared" si="7"/>
        <v>EHS225</v>
      </c>
      <c r="B491" s="3" t="s">
        <v>812</v>
      </c>
      <c r="C491" s="3" t="s">
        <v>10</v>
      </c>
      <c r="D491" s="3" t="s">
        <v>802</v>
      </c>
      <c r="E491" s="3" t="s">
        <v>991</v>
      </c>
      <c r="F491" s="3" t="s">
        <v>992</v>
      </c>
      <c r="G491" s="3" t="s">
        <v>14</v>
      </c>
      <c r="H491" s="3" t="s">
        <v>65</v>
      </c>
      <c r="I491" s="3" t="e">
        <f>VLOOKUP(E491,#REF!,3,FALSE)</f>
        <v>#REF!</v>
      </c>
    </row>
    <row r="492" spans="1:9" ht="16.5" x14ac:dyDescent="0.3">
      <c r="A492" s="17" t="str">
        <f t="shared" si="7"/>
        <v>EHS214</v>
      </c>
      <c r="B492" s="3" t="s">
        <v>812</v>
      </c>
      <c r="C492" s="3" t="s">
        <v>10</v>
      </c>
      <c r="D492" s="3" t="s">
        <v>808</v>
      </c>
      <c r="E492" s="3" t="s">
        <v>282</v>
      </c>
      <c r="F492" s="3" t="s">
        <v>283</v>
      </c>
      <c r="G492" s="3" t="s">
        <v>14</v>
      </c>
      <c r="H492" s="3" t="s">
        <v>29</v>
      </c>
      <c r="I492" s="3" t="e">
        <f>VLOOKUP(E492,#REF!,3,FALSE)</f>
        <v>#REF!</v>
      </c>
    </row>
    <row r="493" spans="1:9" ht="16.5" x14ac:dyDescent="0.3">
      <c r="A493" s="17" t="str">
        <f t="shared" si="7"/>
        <v>MPH810</v>
      </c>
      <c r="B493" s="3" t="s">
        <v>812</v>
      </c>
      <c r="C493" s="3" t="s">
        <v>10</v>
      </c>
      <c r="D493" s="3" t="s">
        <v>880</v>
      </c>
      <c r="E493" s="3" t="s">
        <v>993</v>
      </c>
      <c r="F493" s="3" t="s">
        <v>994</v>
      </c>
      <c r="G493" s="3" t="s">
        <v>14</v>
      </c>
      <c r="H493" s="3" t="s">
        <v>220</v>
      </c>
      <c r="I493" s="3" t="e">
        <f>VLOOKUP(E493,#REF!,3,FALSE)</f>
        <v>#REF!</v>
      </c>
    </row>
    <row r="494" spans="1:9" ht="16.5" x14ac:dyDescent="0.3">
      <c r="A494" s="17" t="str">
        <f t="shared" si="7"/>
        <v>MSS811</v>
      </c>
      <c r="B494" s="3" t="s">
        <v>812</v>
      </c>
      <c r="C494" s="3" t="s">
        <v>10</v>
      </c>
      <c r="D494" s="3" t="s">
        <v>816</v>
      </c>
      <c r="E494" s="3" t="s">
        <v>995</v>
      </c>
      <c r="F494" s="3" t="s">
        <v>996</v>
      </c>
      <c r="G494" s="3" t="s">
        <v>28</v>
      </c>
      <c r="H494" s="3" t="s">
        <v>267</v>
      </c>
      <c r="I494" s="3" t="e">
        <f>VLOOKUP(E494,#REF!,3,FALSE)</f>
        <v>#REF!</v>
      </c>
    </row>
    <row r="495" spans="1:9" ht="16.5" x14ac:dyDescent="0.3">
      <c r="A495" s="17" t="str">
        <f t="shared" si="7"/>
        <v>LLB215</v>
      </c>
      <c r="B495" s="3" t="s">
        <v>812</v>
      </c>
      <c r="C495" s="3" t="s">
        <v>10</v>
      </c>
      <c r="D495" s="3" t="s">
        <v>39</v>
      </c>
      <c r="E495" s="3" t="s">
        <v>124</v>
      </c>
      <c r="F495" s="3" t="s">
        <v>125</v>
      </c>
      <c r="G495" s="3" t="s">
        <v>37</v>
      </c>
      <c r="H495" s="3" t="s">
        <v>38</v>
      </c>
      <c r="I495" s="3" t="e">
        <f>VLOOKUP(E495,#REF!,3,FALSE)</f>
        <v>#REF!</v>
      </c>
    </row>
    <row r="496" spans="1:9" ht="16.5" x14ac:dyDescent="0.3">
      <c r="A496" s="17" t="str">
        <f t="shared" si="7"/>
        <v>LLB223</v>
      </c>
      <c r="B496" s="3" t="s">
        <v>812</v>
      </c>
      <c r="C496" s="3" t="s">
        <v>10</v>
      </c>
      <c r="D496" s="3" t="s">
        <v>129</v>
      </c>
      <c r="E496" s="3" t="s">
        <v>171</v>
      </c>
      <c r="F496" s="3" t="s">
        <v>172</v>
      </c>
      <c r="G496" s="11" t="s">
        <v>37</v>
      </c>
      <c r="H496" s="3" t="s">
        <v>42</v>
      </c>
      <c r="I496" s="3" t="e">
        <f>VLOOKUP(E496,#REF!,3,FALSE)</f>
        <v>#REF!</v>
      </c>
    </row>
    <row r="497" spans="1:9" ht="16.5" x14ac:dyDescent="0.3">
      <c r="A497" s="17" t="str">
        <f t="shared" si="7"/>
        <v>LLM717</v>
      </c>
      <c r="B497" s="3" t="s">
        <v>812</v>
      </c>
      <c r="C497" s="3" t="s">
        <v>10</v>
      </c>
      <c r="D497" s="5" t="s">
        <v>823</v>
      </c>
      <c r="E497" s="3" t="s">
        <v>997</v>
      </c>
      <c r="F497" s="3" t="s">
        <v>998</v>
      </c>
      <c r="G497" s="3" t="s">
        <v>37</v>
      </c>
      <c r="H497" s="3" t="s">
        <v>136</v>
      </c>
      <c r="I497" s="3" t="e">
        <f>VLOOKUP(E497,#REF!,3,FALSE)</f>
        <v>#REF!</v>
      </c>
    </row>
    <row r="498" spans="1:9" ht="16.5" x14ac:dyDescent="0.3">
      <c r="A498" s="17" t="str">
        <f t="shared" si="7"/>
        <v>LLB421</v>
      </c>
      <c r="B498" s="3" t="s">
        <v>812</v>
      </c>
      <c r="C498" s="3" t="s">
        <v>10</v>
      </c>
      <c r="D498" s="3" t="s">
        <v>160</v>
      </c>
      <c r="E498" s="3" t="s">
        <v>199</v>
      </c>
      <c r="F498" s="3" t="s">
        <v>200</v>
      </c>
      <c r="G498" s="3" t="s">
        <v>37</v>
      </c>
      <c r="H498" s="3" t="s">
        <v>308</v>
      </c>
      <c r="I498" s="3" t="e">
        <f>VLOOKUP(E498,#REF!,3,FALSE)</f>
        <v>#REF!</v>
      </c>
    </row>
    <row r="499" spans="1:9" ht="16.5" x14ac:dyDescent="0.3">
      <c r="A499" s="17" t="str">
        <f t="shared" si="7"/>
        <v>LLM716</v>
      </c>
      <c r="B499" s="5" t="s">
        <v>812</v>
      </c>
      <c r="C499" s="5" t="s">
        <v>10</v>
      </c>
      <c r="D499" s="5" t="s">
        <v>823</v>
      </c>
      <c r="E499" s="5" t="s">
        <v>999</v>
      </c>
      <c r="F499" s="5" t="s">
        <v>296</v>
      </c>
      <c r="G499" s="5" t="s">
        <v>37</v>
      </c>
      <c r="H499" s="3" t="s">
        <v>136</v>
      </c>
      <c r="I499" s="3" t="e">
        <f>VLOOKUP(E499,#REF!,3,FALSE)</f>
        <v>#REF!</v>
      </c>
    </row>
    <row r="500" spans="1:9" ht="16.5" x14ac:dyDescent="0.3">
      <c r="A500" s="17" t="str">
        <f t="shared" si="7"/>
        <v>LLB121</v>
      </c>
      <c r="B500" s="3" t="s">
        <v>812</v>
      </c>
      <c r="C500" s="3" t="s">
        <v>10</v>
      </c>
      <c r="D500" s="3" t="s">
        <v>34</v>
      </c>
      <c r="E500" s="3" t="s">
        <v>35</v>
      </c>
      <c r="F500" s="3" t="s">
        <v>36</v>
      </c>
      <c r="G500" s="3" t="s">
        <v>37</v>
      </c>
      <c r="H500" s="3" t="s">
        <v>38</v>
      </c>
      <c r="I500" s="3" t="e">
        <f>VLOOKUP(E500,#REF!,3,FALSE)</f>
        <v>#REF!</v>
      </c>
    </row>
    <row r="501" spans="1:9" ht="16.5" x14ac:dyDescent="0.3">
      <c r="A501" s="17" t="str">
        <f t="shared" si="7"/>
        <v>LLB314</v>
      </c>
      <c r="B501" s="3" t="s">
        <v>812</v>
      </c>
      <c r="C501" s="3" t="s">
        <v>10</v>
      </c>
      <c r="D501" s="3" t="s">
        <v>180</v>
      </c>
      <c r="E501" s="3" t="s">
        <v>297</v>
      </c>
      <c r="F501" s="3" t="s">
        <v>298</v>
      </c>
      <c r="G501" s="12" t="s">
        <v>37</v>
      </c>
      <c r="H501" s="3" t="s">
        <v>132</v>
      </c>
      <c r="I501" s="3" t="e">
        <f>VLOOKUP(E501,#REF!,3,FALSE)</f>
        <v>#REF!</v>
      </c>
    </row>
    <row r="502" spans="1:9" ht="16.5" x14ac:dyDescent="0.3">
      <c r="A502" s="17" t="str">
        <f t="shared" si="7"/>
        <v>PLM311</v>
      </c>
      <c r="B502" s="3" t="s">
        <v>812</v>
      </c>
      <c r="C502" s="3" t="s">
        <v>10</v>
      </c>
      <c r="D502" s="3" t="s">
        <v>811</v>
      </c>
      <c r="E502" s="3" t="s">
        <v>697</v>
      </c>
      <c r="F502" s="3" t="s">
        <v>698</v>
      </c>
      <c r="G502" s="3" t="s">
        <v>19</v>
      </c>
      <c r="H502" s="3" t="s">
        <v>237</v>
      </c>
      <c r="I502" s="3" t="e">
        <f>VLOOKUP(E502,#REF!,3,FALSE)</f>
        <v>#REF!</v>
      </c>
    </row>
    <row r="503" spans="1:9" ht="16.5" x14ac:dyDescent="0.3">
      <c r="A503" s="17" t="str">
        <f t="shared" si="7"/>
        <v>BBA317</v>
      </c>
      <c r="B503" s="3" t="s">
        <v>812</v>
      </c>
      <c r="C503" s="3" t="s">
        <v>10</v>
      </c>
      <c r="D503" s="3" t="s">
        <v>535</v>
      </c>
      <c r="E503" s="3" t="s">
        <v>651</v>
      </c>
      <c r="F503" s="3" t="s">
        <v>652</v>
      </c>
      <c r="G503" s="3" t="s">
        <v>19</v>
      </c>
      <c r="H503" s="3" t="s">
        <v>83</v>
      </c>
      <c r="I503" s="3" t="s">
        <v>1000</v>
      </c>
    </row>
    <row r="504" spans="1:9" ht="16.5" x14ac:dyDescent="0.3">
      <c r="A504" s="17" t="str">
        <f t="shared" si="7"/>
        <v>MBA716</v>
      </c>
      <c r="B504" s="3" t="s">
        <v>812</v>
      </c>
      <c r="C504" s="3" t="s">
        <v>47</v>
      </c>
      <c r="D504" s="3" t="s">
        <v>1001</v>
      </c>
      <c r="E504" s="3" t="s">
        <v>1002</v>
      </c>
      <c r="F504" s="3" t="s">
        <v>381</v>
      </c>
      <c r="G504" s="3" t="s">
        <v>19</v>
      </c>
      <c r="H504" s="3" t="s">
        <v>15</v>
      </c>
      <c r="I504" s="3" t="e">
        <f>VLOOKUP(E504,#REF!,3,FALSE)</f>
        <v>#REF!</v>
      </c>
    </row>
    <row r="505" spans="1:9" ht="16.5" x14ac:dyDescent="0.3">
      <c r="A505" s="17" t="str">
        <f t="shared" si="7"/>
        <v>EHS121</v>
      </c>
      <c r="B505" s="3" t="s">
        <v>812</v>
      </c>
      <c r="C505" s="3" t="s">
        <v>47</v>
      </c>
      <c r="D505" s="3" t="s">
        <v>805</v>
      </c>
      <c r="E505" s="3" t="s">
        <v>669</v>
      </c>
      <c r="F505" s="3" t="s">
        <v>670</v>
      </c>
      <c r="G505" s="3" t="s">
        <v>14</v>
      </c>
      <c r="H505" s="3" t="s">
        <v>103</v>
      </c>
      <c r="I505" s="3" t="e">
        <f>VLOOKUP(E505,#REF!,3,FALSE)</f>
        <v>#REF!</v>
      </c>
    </row>
    <row r="506" spans="1:9" ht="16.5" x14ac:dyDescent="0.3">
      <c r="A506" s="17" t="str">
        <f t="shared" si="7"/>
        <v>MPH725</v>
      </c>
      <c r="B506" s="3" t="s">
        <v>812</v>
      </c>
      <c r="C506" s="3" t="s">
        <v>96</v>
      </c>
      <c r="D506" s="3" t="s">
        <v>794</v>
      </c>
      <c r="E506" s="3" t="s">
        <v>1003</v>
      </c>
      <c r="F506" s="3" t="s">
        <v>478</v>
      </c>
      <c r="G506" s="3" t="s">
        <v>14</v>
      </c>
      <c r="H506" s="3" t="s">
        <v>220</v>
      </c>
      <c r="I506" s="3" t="e">
        <f>VLOOKUP(E506,#REF!,3,FALSE)</f>
        <v>#REF!</v>
      </c>
    </row>
    <row r="507" spans="1:9" ht="16.5" x14ac:dyDescent="0.3">
      <c r="A507" s="17" t="str">
        <f t="shared" si="7"/>
        <v>MSS712</v>
      </c>
      <c r="B507" s="3" t="s">
        <v>812</v>
      </c>
      <c r="C507" s="3" t="s">
        <v>47</v>
      </c>
      <c r="D507" s="3" t="s">
        <v>1004</v>
      </c>
      <c r="E507" s="3" t="s">
        <v>1005</v>
      </c>
      <c r="F507" s="3" t="s">
        <v>1006</v>
      </c>
      <c r="G507" s="3" t="s">
        <v>28</v>
      </c>
      <c r="H507" s="3" t="s">
        <v>51</v>
      </c>
      <c r="I507" s="3" t="e">
        <f>VLOOKUP(E507,#REF!,3,FALSE)</f>
        <v>#REF!</v>
      </c>
    </row>
    <row r="508" spans="1:9" ht="16.5" x14ac:dyDescent="0.3">
      <c r="A508" s="17" t="str">
        <f t="shared" si="7"/>
        <v>MED721</v>
      </c>
      <c r="B508" s="3" t="s">
        <v>812</v>
      </c>
      <c r="C508" s="3" t="s">
        <v>47</v>
      </c>
      <c r="D508" s="3" t="s">
        <v>850</v>
      </c>
      <c r="E508" s="3" t="s">
        <v>1007</v>
      </c>
      <c r="F508" s="3" t="s">
        <v>1008</v>
      </c>
      <c r="G508" s="3" t="s">
        <v>28</v>
      </c>
      <c r="H508" s="3" t="s">
        <v>792</v>
      </c>
      <c r="I508" s="3" t="e">
        <f>VLOOKUP(E508,#REF!,3,FALSE)</f>
        <v>#REF!</v>
      </c>
    </row>
    <row r="509" spans="1:9" ht="16.5" x14ac:dyDescent="0.3">
      <c r="A509" s="17" t="str">
        <f t="shared" si="7"/>
        <v>EHS223</v>
      </c>
      <c r="B509" s="3" t="s">
        <v>812</v>
      </c>
      <c r="C509" s="3" t="s">
        <v>47</v>
      </c>
      <c r="D509" s="3" t="s">
        <v>802</v>
      </c>
      <c r="E509" s="3" t="s">
        <v>406</v>
      </c>
      <c r="F509" s="3" t="s">
        <v>1009</v>
      </c>
      <c r="G509" s="3" t="s">
        <v>14</v>
      </c>
      <c r="H509" s="3" t="s">
        <v>65</v>
      </c>
      <c r="I509" s="3" t="e">
        <f>VLOOKUP(E509,#REF!,3,FALSE)</f>
        <v>#REF!</v>
      </c>
    </row>
    <row r="510" spans="1:9" ht="16.5" x14ac:dyDescent="0.3">
      <c r="A510" s="17" t="str">
        <f t="shared" si="7"/>
        <v>BBA224</v>
      </c>
      <c r="B510" s="3" t="s">
        <v>812</v>
      </c>
      <c r="C510" s="3" t="s">
        <v>47</v>
      </c>
      <c r="D510" s="3" t="s">
        <v>919</v>
      </c>
      <c r="E510" s="3" t="s">
        <v>647</v>
      </c>
      <c r="F510" s="3" t="s">
        <v>648</v>
      </c>
      <c r="G510" s="3" t="s">
        <v>19</v>
      </c>
      <c r="H510" s="3" t="s">
        <v>83</v>
      </c>
      <c r="I510" s="3" t="e">
        <f>VLOOKUP(E510,#REF!,3,FALSE)</f>
        <v>#REF!</v>
      </c>
    </row>
    <row r="511" spans="1:9" ht="16.5" x14ac:dyDescent="0.3">
      <c r="A511" s="17" t="str">
        <f t="shared" si="7"/>
        <v>EHS113</v>
      </c>
      <c r="B511" s="12" t="s">
        <v>812</v>
      </c>
      <c r="C511" s="3" t="s">
        <v>47</v>
      </c>
      <c r="D511" s="12" t="s">
        <v>787</v>
      </c>
      <c r="E511" s="3" t="s">
        <v>1010</v>
      </c>
      <c r="F511" s="3" t="s">
        <v>1011</v>
      </c>
      <c r="G511" s="3" t="s">
        <v>14</v>
      </c>
      <c r="H511" s="3" t="s">
        <v>492</v>
      </c>
      <c r="I511" s="3" t="e">
        <f>VLOOKUP(E511,#REF!,3,FALSE)</f>
        <v>#REF!</v>
      </c>
    </row>
    <row r="512" spans="1:9" ht="16.5" x14ac:dyDescent="0.3">
      <c r="A512" s="17" t="str">
        <f t="shared" si="7"/>
        <v>BBA115</v>
      </c>
      <c r="B512" s="3" t="s">
        <v>781</v>
      </c>
      <c r="C512" s="3" t="s">
        <v>140</v>
      </c>
      <c r="D512" s="3" t="s">
        <v>784</v>
      </c>
      <c r="E512" s="3" t="s">
        <v>447</v>
      </c>
      <c r="F512" s="3" t="s">
        <v>448</v>
      </c>
      <c r="G512" s="3" t="s">
        <v>19</v>
      </c>
      <c r="H512" s="3" t="s">
        <v>20</v>
      </c>
      <c r="I512" s="3" t="e">
        <f>VLOOKUP(E512,#REF!,3,FALSE)</f>
        <v>#REF!</v>
      </c>
    </row>
    <row r="513" spans="1:9" ht="16.5" x14ac:dyDescent="0.3">
      <c r="A513" s="17" t="str">
        <f t="shared" si="7"/>
        <v>EHS216</v>
      </c>
      <c r="B513" s="3" t="s">
        <v>812</v>
      </c>
      <c r="C513" s="3" t="s">
        <v>47</v>
      </c>
      <c r="D513" s="3" t="s">
        <v>808</v>
      </c>
      <c r="E513" s="3" t="s">
        <v>1012</v>
      </c>
      <c r="F513" s="3" t="s">
        <v>1013</v>
      </c>
      <c r="G513" s="3" t="s">
        <v>14</v>
      </c>
      <c r="H513" s="3" t="s">
        <v>363</v>
      </c>
      <c r="I513" s="3" t="e">
        <f>VLOOKUP(E513,#REF!,3,FALSE)</f>
        <v>#REF!</v>
      </c>
    </row>
    <row r="514" spans="1:9" ht="16.5" x14ac:dyDescent="0.3">
      <c r="A514" s="17" t="str">
        <f t="shared" si="7"/>
        <v>MPM722</v>
      </c>
      <c r="B514" s="5" t="s">
        <v>812</v>
      </c>
      <c r="C514" s="3" t="s">
        <v>47</v>
      </c>
      <c r="D514" s="5" t="s">
        <v>1014</v>
      </c>
      <c r="E514" s="5" t="s">
        <v>1015</v>
      </c>
      <c r="F514" s="5" t="s">
        <v>1016</v>
      </c>
      <c r="G514" s="5" t="s">
        <v>19</v>
      </c>
      <c r="H514" s="3" t="s">
        <v>91</v>
      </c>
      <c r="I514" s="3" t="e">
        <f>VLOOKUP(E514,#REF!,3,FALSE)</f>
        <v>#REF!</v>
      </c>
    </row>
    <row r="515" spans="1:9" ht="16.5" x14ac:dyDescent="0.3">
      <c r="A515" s="17" t="str">
        <f t="shared" si="7"/>
        <v>MHR811</v>
      </c>
      <c r="B515" s="3" t="s">
        <v>812</v>
      </c>
      <c r="C515" s="14" t="s">
        <v>47</v>
      </c>
      <c r="D515" s="3" t="s">
        <v>920</v>
      </c>
      <c r="E515" s="3" t="s">
        <v>1017</v>
      </c>
      <c r="F515" s="3" t="s">
        <v>1018</v>
      </c>
      <c r="G515" s="3" t="s">
        <v>19</v>
      </c>
      <c r="H515" s="3" t="s">
        <v>61</v>
      </c>
      <c r="I515" s="3" t="e">
        <f>VLOOKUP(E515,#REF!,3,FALSE)</f>
        <v>#REF!</v>
      </c>
    </row>
    <row r="516" spans="1:9" s="32" customFormat="1" ht="16.5" x14ac:dyDescent="0.3">
      <c r="A516" s="17" t="str">
        <f t="shared" ref="A516:A579" si="8">E516</f>
        <v>MIR813</v>
      </c>
      <c r="B516" s="31" t="s">
        <v>812</v>
      </c>
      <c r="C516" s="31" t="s">
        <v>96</v>
      </c>
      <c r="D516" s="31" t="s">
        <v>858</v>
      </c>
      <c r="E516" s="31" t="s">
        <v>1019</v>
      </c>
      <c r="F516" s="33" t="s">
        <v>1020</v>
      </c>
      <c r="G516" s="31" t="s">
        <v>28</v>
      </c>
      <c r="H516" s="31" t="s">
        <v>822</v>
      </c>
      <c r="I516" s="31" t="e">
        <f>VLOOKUP(E516,#REF!,3,FALSE)</f>
        <v>#REF!</v>
      </c>
    </row>
    <row r="517" spans="1:9" ht="16.5" x14ac:dyDescent="0.3">
      <c r="A517" s="17" t="str">
        <f t="shared" si="8"/>
        <v>BAC316</v>
      </c>
      <c r="B517" s="3" t="s">
        <v>812</v>
      </c>
      <c r="C517" s="3" t="s">
        <v>47</v>
      </c>
      <c r="D517" s="3" t="s">
        <v>357</v>
      </c>
      <c r="E517" s="3" t="s">
        <v>580</v>
      </c>
      <c r="F517" s="3" t="s">
        <v>581</v>
      </c>
      <c r="G517" s="3" t="s">
        <v>19</v>
      </c>
      <c r="H517" s="3" t="s">
        <v>287</v>
      </c>
      <c r="I517" s="3" t="s">
        <v>1021</v>
      </c>
    </row>
    <row r="518" spans="1:9" ht="16.5" x14ac:dyDescent="0.3">
      <c r="A518" s="17" t="str">
        <f t="shared" si="8"/>
        <v>MPH814</v>
      </c>
      <c r="B518" s="3" t="s">
        <v>812</v>
      </c>
      <c r="C518" s="3" t="s">
        <v>47</v>
      </c>
      <c r="D518" s="3" t="s">
        <v>880</v>
      </c>
      <c r="E518" s="3" t="s">
        <v>1022</v>
      </c>
      <c r="F518" s="3" t="s">
        <v>1023</v>
      </c>
      <c r="G518" s="3" t="s">
        <v>14</v>
      </c>
      <c r="H518" s="3" t="s">
        <v>29</v>
      </c>
      <c r="I518" s="3" t="e">
        <f>VLOOKUP(E518,#REF!,3,FALSE)</f>
        <v>#REF!</v>
      </c>
    </row>
    <row r="519" spans="1:9" ht="16.5" x14ac:dyDescent="0.3">
      <c r="A519" s="17" t="str">
        <f t="shared" si="8"/>
        <v>MBA729</v>
      </c>
      <c r="B519" s="5" t="s">
        <v>812</v>
      </c>
      <c r="C519" s="5" t="s">
        <v>96</v>
      </c>
      <c r="D519" s="5" t="s">
        <v>929</v>
      </c>
      <c r="E519" s="5" t="s">
        <v>1024</v>
      </c>
      <c r="F519" s="5" t="s">
        <v>1025</v>
      </c>
      <c r="G519" s="5" t="s">
        <v>19</v>
      </c>
      <c r="H519" s="5" t="s">
        <v>33</v>
      </c>
      <c r="I519" s="3" t="e">
        <f>VLOOKUP(E519,#REF!,3,FALSE)</f>
        <v>#REF!</v>
      </c>
    </row>
    <row r="520" spans="1:9" ht="16.5" x14ac:dyDescent="0.3">
      <c r="A520" s="17" t="str">
        <f t="shared" si="8"/>
        <v>EHS125</v>
      </c>
      <c r="B520" s="3" t="s">
        <v>812</v>
      </c>
      <c r="C520" s="3" t="s">
        <v>96</v>
      </c>
      <c r="D520" s="3" t="s">
        <v>805</v>
      </c>
      <c r="E520" s="3" t="s">
        <v>1026</v>
      </c>
      <c r="F520" s="3" t="s">
        <v>1027</v>
      </c>
      <c r="G520" s="3" t="s">
        <v>14</v>
      </c>
      <c r="H520" s="3" t="s">
        <v>103</v>
      </c>
      <c r="I520" s="3" t="e">
        <f>VLOOKUP(E520,#REF!,3,FALSE)</f>
        <v>#REF!</v>
      </c>
    </row>
    <row r="521" spans="1:9" ht="16.5" x14ac:dyDescent="0.3">
      <c r="A521" s="17" t="str">
        <f t="shared" si="8"/>
        <v>EHS213</v>
      </c>
      <c r="B521" s="3" t="s">
        <v>812</v>
      </c>
      <c r="C521" s="3" t="s">
        <v>96</v>
      </c>
      <c r="D521" s="3" t="s">
        <v>808</v>
      </c>
      <c r="E521" s="3" t="s">
        <v>1028</v>
      </c>
      <c r="F521" s="3" t="s">
        <v>1029</v>
      </c>
      <c r="G521" s="3" t="s">
        <v>14</v>
      </c>
      <c r="H521" s="3" t="s">
        <v>29</v>
      </c>
      <c r="I521" s="3" t="e">
        <f>VLOOKUP(E521,#REF!,3,FALSE)</f>
        <v>#REF!</v>
      </c>
    </row>
    <row r="522" spans="1:9" ht="16.5" x14ac:dyDescent="0.3">
      <c r="A522" s="17" t="str">
        <f t="shared" si="8"/>
        <v>BBA211</v>
      </c>
      <c r="B522" s="3" t="s">
        <v>812</v>
      </c>
      <c r="C522" s="3" t="s">
        <v>96</v>
      </c>
      <c r="D522" s="3" t="s">
        <v>785</v>
      </c>
      <c r="E522" s="3" t="s">
        <v>546</v>
      </c>
      <c r="F522" s="3" t="s">
        <v>547</v>
      </c>
      <c r="G522" s="3" t="s">
        <v>19</v>
      </c>
      <c r="H522" s="3" t="s">
        <v>287</v>
      </c>
      <c r="I522" s="3" t="e">
        <f>VLOOKUP(E522,#REF!,3,FALSE)</f>
        <v>#REF!</v>
      </c>
    </row>
    <row r="523" spans="1:9" ht="16.5" x14ac:dyDescent="0.3">
      <c r="A523" s="17" t="str">
        <f t="shared" si="8"/>
        <v>EHS323</v>
      </c>
      <c r="B523" s="3" t="s">
        <v>781</v>
      </c>
      <c r="C523" s="3" t="s">
        <v>96</v>
      </c>
      <c r="D523" s="3" t="s">
        <v>826</v>
      </c>
      <c r="E523" s="3" t="s">
        <v>1030</v>
      </c>
      <c r="F523" s="3" t="s">
        <v>1031</v>
      </c>
      <c r="G523" s="3" t="s">
        <v>14</v>
      </c>
      <c r="H523" s="3" t="s">
        <v>363</v>
      </c>
      <c r="I523" s="3" t="e">
        <f>VLOOKUP(E523,#REF!,3,FALSE)</f>
        <v>#REF!</v>
      </c>
    </row>
    <row r="524" spans="1:9" ht="16.5" x14ac:dyDescent="0.3">
      <c r="A524" s="17" t="str">
        <f t="shared" si="8"/>
        <v>MBF815</v>
      </c>
      <c r="B524" s="3" t="s">
        <v>812</v>
      </c>
      <c r="C524" s="3" t="s">
        <v>96</v>
      </c>
      <c r="D524" s="3" t="s">
        <v>847</v>
      </c>
      <c r="E524" s="3" t="s">
        <v>1032</v>
      </c>
      <c r="F524" s="3" t="s">
        <v>1033</v>
      </c>
      <c r="G524" s="3" t="s">
        <v>19</v>
      </c>
      <c r="H524" s="3" t="s">
        <v>267</v>
      </c>
      <c r="I524" s="3" t="e">
        <f>VLOOKUP(E524,#REF!,3,FALSE)</f>
        <v>#REF!</v>
      </c>
    </row>
    <row r="525" spans="1:9" ht="16.5" x14ac:dyDescent="0.3">
      <c r="A525" s="17" t="str">
        <f t="shared" si="8"/>
        <v>MIR722</v>
      </c>
      <c r="B525" s="3" t="s">
        <v>812</v>
      </c>
      <c r="C525" s="3" t="s">
        <v>96</v>
      </c>
      <c r="D525" s="3" t="s">
        <v>904</v>
      </c>
      <c r="E525" s="3" t="s">
        <v>1034</v>
      </c>
      <c r="F525" s="3" t="s">
        <v>1035</v>
      </c>
      <c r="G525" s="3" t="s">
        <v>28</v>
      </c>
      <c r="H525" s="3" t="s">
        <v>241</v>
      </c>
      <c r="I525" s="3" t="e">
        <f>VLOOKUP(E525,#REF!,3,FALSE)</f>
        <v>#REF!</v>
      </c>
    </row>
    <row r="526" spans="1:9" ht="16.5" x14ac:dyDescent="0.3">
      <c r="A526" s="17" t="str">
        <f t="shared" si="8"/>
        <v>MIR711</v>
      </c>
      <c r="B526" s="3" t="s">
        <v>812</v>
      </c>
      <c r="C526" s="3" t="s">
        <v>140</v>
      </c>
      <c r="D526" s="3" t="s">
        <v>1004</v>
      </c>
      <c r="E526" s="3" t="s">
        <v>1036</v>
      </c>
      <c r="F526" s="3" t="s">
        <v>1037</v>
      </c>
      <c r="G526" s="3" t="s">
        <v>28</v>
      </c>
      <c r="H526" s="3" t="s">
        <v>51</v>
      </c>
      <c r="I526" s="3" t="e">
        <f>VLOOKUP(E526,#REF!,3,FALSE)</f>
        <v>#REF!</v>
      </c>
    </row>
    <row r="527" spans="1:9" ht="16.5" x14ac:dyDescent="0.3">
      <c r="A527" s="17" t="str">
        <f t="shared" si="8"/>
        <v>MIR811/MSS812</v>
      </c>
      <c r="B527" s="3" t="s">
        <v>781</v>
      </c>
      <c r="C527" s="3" t="s">
        <v>10</v>
      </c>
      <c r="D527" s="3" t="s">
        <v>1038</v>
      </c>
      <c r="E527" s="3" t="s">
        <v>1039</v>
      </c>
      <c r="F527" s="3" t="s">
        <v>1040</v>
      </c>
      <c r="G527" s="3" t="s">
        <v>28</v>
      </c>
      <c r="H527" s="3" t="s">
        <v>267</v>
      </c>
      <c r="I527" s="3" t="e">
        <f>VLOOKUP(E527,#REF!,3,FALSE)</f>
        <v>#REF!</v>
      </c>
    </row>
    <row r="528" spans="1:9" ht="16.5" x14ac:dyDescent="0.3">
      <c r="A528" s="17" t="str">
        <f t="shared" si="8"/>
        <v>EHS312</v>
      </c>
      <c r="B528" s="3" t="s">
        <v>812</v>
      </c>
      <c r="C528" s="3" t="s">
        <v>96</v>
      </c>
      <c r="D528" s="3" t="s">
        <v>786</v>
      </c>
      <c r="E528" s="3" t="s">
        <v>1041</v>
      </c>
      <c r="F528" s="3" t="s">
        <v>1042</v>
      </c>
      <c r="G528" s="3" t="s">
        <v>14</v>
      </c>
      <c r="H528" s="3" t="s">
        <v>220</v>
      </c>
      <c r="I528" s="3" t="e">
        <f>VLOOKUP(E528,#REF!,3,FALSE)</f>
        <v>#REF!</v>
      </c>
    </row>
    <row r="529" spans="1:9" ht="16.5" x14ac:dyDescent="0.3">
      <c r="A529" s="17" t="str">
        <f t="shared" si="8"/>
        <v>BBA125/DBA125</v>
      </c>
      <c r="B529" s="3" t="s">
        <v>812</v>
      </c>
      <c r="C529" s="4" t="s">
        <v>96</v>
      </c>
      <c r="D529" s="3" t="s">
        <v>811</v>
      </c>
      <c r="E529" s="3" t="s">
        <v>454</v>
      </c>
      <c r="F529" s="3" t="s">
        <v>455</v>
      </c>
      <c r="G529" s="3" t="s">
        <v>19</v>
      </c>
      <c r="H529" s="3" t="s">
        <v>237</v>
      </c>
      <c r="I529" s="3" t="e">
        <f>VLOOKUP(E529,#REF!,3,FALSE)</f>
        <v>#REF!</v>
      </c>
    </row>
    <row r="530" spans="1:9" ht="16.5" x14ac:dyDescent="0.3">
      <c r="A530" s="17" t="str">
        <f t="shared" si="8"/>
        <v>BIT110</v>
      </c>
      <c r="B530" s="3" t="s">
        <v>812</v>
      </c>
      <c r="C530" s="3" t="s">
        <v>96</v>
      </c>
      <c r="D530" s="3" t="s">
        <v>913</v>
      </c>
      <c r="E530" s="3" t="s">
        <v>232</v>
      </c>
      <c r="F530" s="3" t="s">
        <v>233</v>
      </c>
      <c r="G530" s="3" t="s">
        <v>14</v>
      </c>
      <c r="H530" s="3" t="s">
        <v>112</v>
      </c>
      <c r="I530" s="3" t="e">
        <f>VLOOKUP(E530,#REF!,3,FALSE)</f>
        <v>#REF!</v>
      </c>
    </row>
    <row r="531" spans="1:9" ht="16.5" x14ac:dyDescent="0.3">
      <c r="A531" s="17" t="str">
        <f t="shared" si="8"/>
        <v>MHR722</v>
      </c>
      <c r="B531" s="3" t="s">
        <v>812</v>
      </c>
      <c r="C531" s="3" t="s">
        <v>96</v>
      </c>
      <c r="D531" s="3" t="s">
        <v>842</v>
      </c>
      <c r="E531" s="3" t="s">
        <v>1043</v>
      </c>
      <c r="F531" s="3" t="s">
        <v>1044</v>
      </c>
      <c r="G531" s="3" t="s">
        <v>19</v>
      </c>
      <c r="H531" s="3" t="s">
        <v>61</v>
      </c>
      <c r="I531" s="3" t="e">
        <f>VLOOKUP(E531,#REF!,3,FALSE)</f>
        <v>#REF!</v>
      </c>
    </row>
    <row r="532" spans="1:9" ht="16.5" x14ac:dyDescent="0.3">
      <c r="A532" s="17" t="str">
        <f t="shared" si="8"/>
        <v>BAC313</v>
      </c>
      <c r="B532" s="3" t="s">
        <v>812</v>
      </c>
      <c r="C532" s="3" t="s">
        <v>96</v>
      </c>
      <c r="D532" s="3" t="s">
        <v>535</v>
      </c>
      <c r="E532" s="3" t="s">
        <v>536</v>
      </c>
      <c r="F532" s="3" t="s">
        <v>537</v>
      </c>
      <c r="G532" s="3" t="s">
        <v>19</v>
      </c>
      <c r="H532" s="3" t="s">
        <v>87</v>
      </c>
      <c r="I532" s="3" t="s">
        <v>1021</v>
      </c>
    </row>
    <row r="533" spans="1:9" ht="16.5" x14ac:dyDescent="0.3">
      <c r="A533" s="17" t="str">
        <f t="shared" si="8"/>
        <v>MPH812</v>
      </c>
      <c r="B533" s="3" t="s">
        <v>812</v>
      </c>
      <c r="C533" s="3" t="s">
        <v>96</v>
      </c>
      <c r="D533" s="3" t="s">
        <v>880</v>
      </c>
      <c r="E533" s="3" t="s">
        <v>1045</v>
      </c>
      <c r="F533" s="3" t="s">
        <v>1046</v>
      </c>
      <c r="G533" s="3" t="s">
        <v>14</v>
      </c>
      <c r="H533" s="3" t="s">
        <v>983</v>
      </c>
      <c r="I533" s="3" t="e">
        <f>VLOOKUP(E533,#REF!,3,FALSE)</f>
        <v>#REF!</v>
      </c>
    </row>
    <row r="534" spans="1:9" ht="16.5" x14ac:dyDescent="0.3">
      <c r="A534" s="17" t="str">
        <f t="shared" si="8"/>
        <v>LLB112</v>
      </c>
      <c r="B534" s="3" t="s">
        <v>812</v>
      </c>
      <c r="C534" s="3" t="s">
        <v>119</v>
      </c>
      <c r="D534" s="3" t="s">
        <v>120</v>
      </c>
      <c r="E534" s="3" t="s">
        <v>121</v>
      </c>
      <c r="F534" s="3" t="s">
        <v>122</v>
      </c>
      <c r="G534" s="3" t="s">
        <v>37</v>
      </c>
      <c r="H534" s="3" t="s">
        <v>308</v>
      </c>
      <c r="I534" s="3" t="e">
        <f>VLOOKUP(E534,#REF!,3,FALSE)</f>
        <v>#REF!</v>
      </c>
    </row>
    <row r="535" spans="1:9" ht="16.5" x14ac:dyDescent="0.3">
      <c r="A535" s="17" t="str">
        <f t="shared" si="8"/>
        <v>LLB224</v>
      </c>
      <c r="B535" s="11" t="s">
        <v>812</v>
      </c>
      <c r="C535" s="3" t="s">
        <v>119</v>
      </c>
      <c r="D535" s="3" t="s">
        <v>129</v>
      </c>
      <c r="E535" s="3" t="s">
        <v>293</v>
      </c>
      <c r="F535" s="3" t="s">
        <v>294</v>
      </c>
      <c r="G535" s="3" t="s">
        <v>37</v>
      </c>
      <c r="H535" s="3" t="s">
        <v>123</v>
      </c>
      <c r="I535" s="3" t="e">
        <f>VLOOKUP(E535,#REF!,3,FALSE)</f>
        <v>#REF!</v>
      </c>
    </row>
    <row r="536" spans="1:9" ht="16.5" x14ac:dyDescent="0.3">
      <c r="A536" s="17" t="str">
        <f t="shared" si="8"/>
        <v>LLB323</v>
      </c>
      <c r="B536" s="3" t="s">
        <v>812</v>
      </c>
      <c r="C536" s="3" t="s">
        <v>119</v>
      </c>
      <c r="D536" s="3" t="s">
        <v>163</v>
      </c>
      <c r="E536" s="3" t="s">
        <v>300</v>
      </c>
      <c r="F536" s="3" t="s">
        <v>301</v>
      </c>
      <c r="G536" s="3" t="s">
        <v>37</v>
      </c>
      <c r="H536" s="3" t="s">
        <v>132</v>
      </c>
      <c r="I536" s="3" t="e">
        <f>VLOOKUP(E536,#REF!,3,FALSE)</f>
        <v>#REF!</v>
      </c>
    </row>
    <row r="537" spans="1:9" ht="16.5" x14ac:dyDescent="0.3">
      <c r="A537" s="17" t="str">
        <f t="shared" si="8"/>
        <v>LLM727</v>
      </c>
      <c r="B537" s="3" t="s">
        <v>812</v>
      </c>
      <c r="C537" s="3" t="s">
        <v>119</v>
      </c>
      <c r="D537" s="3" t="s">
        <v>136</v>
      </c>
      <c r="E537" s="3" t="s">
        <v>1047</v>
      </c>
      <c r="F537" s="3" t="s">
        <v>1048</v>
      </c>
      <c r="G537" s="3" t="s">
        <v>37</v>
      </c>
      <c r="H537" s="3" t="s">
        <v>136</v>
      </c>
      <c r="I537" s="3" t="e">
        <f>VLOOKUP(E537,#REF!,3,FALSE)</f>
        <v>#REF!</v>
      </c>
    </row>
    <row r="538" spans="1:9" ht="16.5" x14ac:dyDescent="0.3">
      <c r="A538" s="17" t="str">
        <f t="shared" si="8"/>
        <v>LLB422</v>
      </c>
      <c r="B538" s="3" t="s">
        <v>812</v>
      </c>
      <c r="C538" s="3" t="s">
        <v>159</v>
      </c>
      <c r="D538" s="3" t="s">
        <v>160</v>
      </c>
      <c r="E538" s="3" t="s">
        <v>304</v>
      </c>
      <c r="F538" s="3" t="s">
        <v>305</v>
      </c>
      <c r="G538" s="3" t="s">
        <v>37</v>
      </c>
      <c r="H538" s="3" t="s">
        <v>793</v>
      </c>
      <c r="I538" s="3" t="e">
        <f>VLOOKUP(E538,#REF!,3,FALSE)</f>
        <v>#REF!</v>
      </c>
    </row>
    <row r="539" spans="1:9" ht="16.5" x14ac:dyDescent="0.3">
      <c r="A539" s="17" t="str">
        <f t="shared" si="8"/>
        <v>LLB124</v>
      </c>
      <c r="B539" s="3" t="s">
        <v>812</v>
      </c>
      <c r="C539" s="3" t="s">
        <v>119</v>
      </c>
      <c r="D539" s="3" t="s">
        <v>34</v>
      </c>
      <c r="E539" s="3" t="s">
        <v>126</v>
      </c>
      <c r="F539" s="3" t="s">
        <v>127</v>
      </c>
      <c r="G539" s="3" t="s">
        <v>37</v>
      </c>
      <c r="H539" s="3" t="s">
        <v>38</v>
      </c>
      <c r="I539" s="3" t="e">
        <f>VLOOKUP(E539,#REF!,3,FALSE)</f>
        <v>#REF!</v>
      </c>
    </row>
    <row r="540" spans="1:9" ht="16.5" x14ac:dyDescent="0.3">
      <c r="A540" s="17" t="str">
        <f t="shared" si="8"/>
        <v>LLB312</v>
      </c>
      <c r="B540" s="3" t="s">
        <v>812</v>
      </c>
      <c r="C540" s="3" t="s">
        <v>119</v>
      </c>
      <c r="D540" s="3" t="s">
        <v>180</v>
      </c>
      <c r="E540" s="3" t="s">
        <v>274</v>
      </c>
      <c r="F540" s="3" t="s">
        <v>275</v>
      </c>
      <c r="G540" s="3" t="s">
        <v>37</v>
      </c>
      <c r="H540" s="3" t="s">
        <v>42</v>
      </c>
      <c r="I540" s="3" t="e">
        <f>VLOOKUP(E540,#REF!,3,FALSE)</f>
        <v>#REF!</v>
      </c>
    </row>
    <row r="541" spans="1:9" ht="16.5" x14ac:dyDescent="0.3">
      <c r="A541" s="17" t="str">
        <f t="shared" si="8"/>
        <v>LLB211</v>
      </c>
      <c r="B541" s="3" t="s">
        <v>812</v>
      </c>
      <c r="C541" s="3" t="s">
        <v>119</v>
      </c>
      <c r="D541" s="3" t="s">
        <v>39</v>
      </c>
      <c r="E541" s="3" t="s">
        <v>185</v>
      </c>
      <c r="F541" s="3" t="s">
        <v>186</v>
      </c>
      <c r="G541" s="3" t="s">
        <v>37</v>
      </c>
      <c r="H541" s="3" t="s">
        <v>38</v>
      </c>
      <c r="I541" s="3" t="e">
        <f>VLOOKUP(E541,#REF!,3,FALSE)</f>
        <v>#REF!</v>
      </c>
    </row>
    <row r="542" spans="1:9" ht="16.5" x14ac:dyDescent="0.3">
      <c r="A542" s="17" t="str">
        <f t="shared" si="8"/>
        <v>MSC721</v>
      </c>
      <c r="B542" s="3" t="s">
        <v>812</v>
      </c>
      <c r="C542" s="3" t="s">
        <v>140</v>
      </c>
      <c r="D542" s="3" t="s">
        <v>868</v>
      </c>
      <c r="E542" s="3" t="s">
        <v>1049</v>
      </c>
      <c r="F542" s="3" t="s">
        <v>1050</v>
      </c>
      <c r="G542" s="3" t="s">
        <v>19</v>
      </c>
      <c r="H542" s="3" t="s">
        <v>241</v>
      </c>
      <c r="I542" s="3" t="e">
        <f>VLOOKUP(E542,#REF!,3,FALSE)</f>
        <v>#REF!</v>
      </c>
    </row>
    <row r="543" spans="1:9" ht="16.5" x14ac:dyDescent="0.3">
      <c r="A543" s="17" t="str">
        <f t="shared" si="8"/>
        <v>BBA311/DBA127</v>
      </c>
      <c r="B543" s="3" t="s">
        <v>812</v>
      </c>
      <c r="C543" s="3" t="s">
        <v>140</v>
      </c>
      <c r="D543" s="3" t="s">
        <v>811</v>
      </c>
      <c r="E543" s="3" t="s">
        <v>346</v>
      </c>
      <c r="F543" s="3" t="s">
        <v>347</v>
      </c>
      <c r="G543" s="3" t="s">
        <v>19</v>
      </c>
      <c r="H543" s="3" t="s">
        <v>237</v>
      </c>
      <c r="I543" s="3" t="e">
        <f>VLOOKUP(E543,#REF!,3,FALSE)</f>
        <v>#REF!</v>
      </c>
    </row>
    <row r="544" spans="1:9" ht="16.5" x14ac:dyDescent="0.3">
      <c r="A544" s="17" t="str">
        <f t="shared" si="8"/>
        <v>MBF816</v>
      </c>
      <c r="B544" s="3" t="s">
        <v>812</v>
      </c>
      <c r="C544" s="3" t="s">
        <v>140</v>
      </c>
      <c r="D544" s="3" t="s">
        <v>914</v>
      </c>
      <c r="E544" s="3" t="s">
        <v>1051</v>
      </c>
      <c r="F544" s="3" t="s">
        <v>1052</v>
      </c>
      <c r="G544" s="3" t="s">
        <v>19</v>
      </c>
      <c r="H544" s="3" t="s">
        <v>792</v>
      </c>
      <c r="I544" s="3" t="e">
        <f>VLOOKUP(E544,#REF!,3,FALSE)</f>
        <v>#REF!</v>
      </c>
    </row>
    <row r="545" spans="1:9" ht="16.5" x14ac:dyDescent="0.3">
      <c r="A545" s="17" t="str">
        <f t="shared" si="8"/>
        <v>MBA724</v>
      </c>
      <c r="B545" s="5" t="s">
        <v>812</v>
      </c>
      <c r="C545" s="3" t="s">
        <v>47</v>
      </c>
      <c r="D545" s="5" t="s">
        <v>831</v>
      </c>
      <c r="E545" s="5" t="s">
        <v>1053</v>
      </c>
      <c r="F545" s="5" t="s">
        <v>680</v>
      </c>
      <c r="G545" s="5" t="s">
        <v>19</v>
      </c>
      <c r="H545" s="5" t="s">
        <v>241</v>
      </c>
      <c r="I545" s="3" t="e">
        <f>VLOOKUP(E545,#REF!,3,FALSE)</f>
        <v>#REF!</v>
      </c>
    </row>
    <row r="546" spans="1:9" ht="16.5" x14ac:dyDescent="0.3">
      <c r="A546" s="17" t="str">
        <f t="shared" si="8"/>
        <v>MPM814</v>
      </c>
      <c r="B546" s="5" t="s">
        <v>812</v>
      </c>
      <c r="C546" s="3" t="s">
        <v>140</v>
      </c>
      <c r="D546" s="5" t="s">
        <v>831</v>
      </c>
      <c r="E546" s="5" t="s">
        <v>1054</v>
      </c>
      <c r="F546" s="5" t="s">
        <v>1055</v>
      </c>
      <c r="G546" s="5" t="s">
        <v>19</v>
      </c>
      <c r="H546" s="5" t="s">
        <v>15</v>
      </c>
      <c r="I546" s="3" t="e">
        <f>VLOOKUP(E546,#REF!,3,FALSE)</f>
        <v>#REF!</v>
      </c>
    </row>
    <row r="547" spans="1:9" ht="16.5" x14ac:dyDescent="0.3">
      <c r="A547" s="17" t="str">
        <f t="shared" si="8"/>
        <v>EHS314</v>
      </c>
      <c r="B547" s="3" t="s">
        <v>812</v>
      </c>
      <c r="C547" s="3" t="s">
        <v>140</v>
      </c>
      <c r="D547" s="3" t="s">
        <v>786</v>
      </c>
      <c r="E547" s="3" t="s">
        <v>1056</v>
      </c>
      <c r="F547" s="3" t="s">
        <v>1057</v>
      </c>
      <c r="G547" s="3" t="s">
        <v>14</v>
      </c>
      <c r="H547" s="3" t="s">
        <v>220</v>
      </c>
      <c r="I547" s="3" t="e">
        <f>VLOOKUP(E547,#REF!,3,FALSE)</f>
        <v>#REF!</v>
      </c>
    </row>
    <row r="548" spans="1:9" ht="16.5" x14ac:dyDescent="0.3">
      <c r="A548" s="17" t="str">
        <f t="shared" si="8"/>
        <v>EHS221</v>
      </c>
      <c r="B548" s="3" t="s">
        <v>812</v>
      </c>
      <c r="C548" s="3" t="s">
        <v>140</v>
      </c>
      <c r="D548" s="3" t="s">
        <v>802</v>
      </c>
      <c r="E548" s="3" t="s">
        <v>1058</v>
      </c>
      <c r="F548" s="3" t="s">
        <v>1059</v>
      </c>
      <c r="G548" s="3" t="s">
        <v>14</v>
      </c>
      <c r="H548" s="3" t="s">
        <v>65</v>
      </c>
      <c r="I548" s="3" t="e">
        <f>VLOOKUP(E548,#REF!,3,FALSE)</f>
        <v>#REF!</v>
      </c>
    </row>
    <row r="549" spans="1:9" ht="16.5" x14ac:dyDescent="0.3">
      <c r="A549" s="17" t="str">
        <f t="shared" si="8"/>
        <v>MPH716</v>
      </c>
      <c r="B549" s="3" t="s">
        <v>812</v>
      </c>
      <c r="C549" s="3" t="s">
        <v>140</v>
      </c>
      <c r="D549" s="3" t="s">
        <v>890</v>
      </c>
      <c r="E549" s="3" t="s">
        <v>1060</v>
      </c>
      <c r="F549" s="3" t="s">
        <v>1061</v>
      </c>
      <c r="G549" s="3" t="s">
        <v>14</v>
      </c>
      <c r="H549" s="3" t="s">
        <v>29</v>
      </c>
      <c r="I549" s="3" t="e">
        <f>VLOOKUP(E549,#REF!,3,FALSE)</f>
        <v>#REF!</v>
      </c>
    </row>
    <row r="550" spans="1:9" ht="16.5" x14ac:dyDescent="0.3">
      <c r="A550" s="17" t="str">
        <f t="shared" si="8"/>
        <v>BBF222</v>
      </c>
      <c r="B550" s="3" t="s">
        <v>812</v>
      </c>
      <c r="C550" s="3" t="s">
        <v>140</v>
      </c>
      <c r="D550" s="3" t="s">
        <v>919</v>
      </c>
      <c r="E550" s="3" t="s">
        <v>252</v>
      </c>
      <c r="F550" s="3" t="s">
        <v>253</v>
      </c>
      <c r="G550" s="3" t="s">
        <v>19</v>
      </c>
      <c r="H550" s="3" t="s">
        <v>83</v>
      </c>
      <c r="I550" s="3" t="e">
        <f>VLOOKUP(E550,#REF!,3,FALSE)</f>
        <v>#REF!</v>
      </c>
    </row>
    <row r="551" spans="1:9" ht="16.5" x14ac:dyDescent="0.3">
      <c r="A551" s="17" t="str">
        <f t="shared" si="8"/>
        <v>MSS814</v>
      </c>
      <c r="B551" s="3" t="s">
        <v>812</v>
      </c>
      <c r="C551" s="3" t="s">
        <v>140</v>
      </c>
      <c r="D551" s="3" t="s">
        <v>816</v>
      </c>
      <c r="E551" s="3" t="s">
        <v>1062</v>
      </c>
      <c r="F551" s="3" t="s">
        <v>1063</v>
      </c>
      <c r="G551" s="3" t="s">
        <v>28</v>
      </c>
      <c r="H551" s="3" t="s">
        <v>267</v>
      </c>
      <c r="I551" s="3" t="e">
        <f>VLOOKUP(E551,#REF!,3,FALSE)</f>
        <v>#REF!</v>
      </c>
    </row>
    <row r="552" spans="1:9" ht="16.5" x14ac:dyDescent="0.3">
      <c r="A552" s="17" t="str">
        <f t="shared" si="8"/>
        <v>MIR723</v>
      </c>
      <c r="B552" s="3" t="s">
        <v>812</v>
      </c>
      <c r="C552" s="3" t="s">
        <v>140</v>
      </c>
      <c r="D552" s="3" t="s">
        <v>904</v>
      </c>
      <c r="E552" s="3" t="s">
        <v>1064</v>
      </c>
      <c r="F552" s="3" t="s">
        <v>1065</v>
      </c>
      <c r="G552" s="3" t="s">
        <v>28</v>
      </c>
      <c r="H552" s="3" t="s">
        <v>70</v>
      </c>
      <c r="I552" s="3" t="e">
        <f>VLOOKUP(E552,#REF!,3,FALSE)</f>
        <v>#REF!</v>
      </c>
    </row>
    <row r="553" spans="1:9" ht="16.5" x14ac:dyDescent="0.3">
      <c r="A553" s="17" t="str">
        <f t="shared" si="8"/>
        <v>BBA216</v>
      </c>
      <c r="B553" s="3" t="s">
        <v>812</v>
      </c>
      <c r="C553" s="3" t="s">
        <v>140</v>
      </c>
      <c r="D553" s="3" t="s">
        <v>785</v>
      </c>
      <c r="E553" s="3" t="s">
        <v>380</v>
      </c>
      <c r="F553" s="3" t="s">
        <v>381</v>
      </c>
      <c r="G553" s="3" t="s">
        <v>19</v>
      </c>
      <c r="H553" s="3" t="s">
        <v>287</v>
      </c>
      <c r="I553" s="3" t="e">
        <f>VLOOKUP(E553,#REF!,3,FALSE)</f>
        <v>#REF!</v>
      </c>
    </row>
    <row r="554" spans="1:9" ht="16.5" x14ac:dyDescent="0.3">
      <c r="A554" s="17" t="str">
        <f t="shared" si="8"/>
        <v>LLB412</v>
      </c>
      <c r="B554" s="5" t="s">
        <v>812</v>
      </c>
      <c r="C554" s="5" t="s">
        <v>962</v>
      </c>
      <c r="D554" s="5" t="s">
        <v>133</v>
      </c>
      <c r="E554" s="5" t="s">
        <v>134</v>
      </c>
      <c r="F554" s="5" t="s">
        <v>135</v>
      </c>
      <c r="G554" s="5" t="s">
        <v>37</v>
      </c>
      <c r="H554" s="3" t="s">
        <v>132</v>
      </c>
      <c r="I554" s="3" t="e">
        <f>VLOOKUP(E554,#REF!,3,FALSE)</f>
        <v>#REF!</v>
      </c>
    </row>
    <row r="555" spans="1:9" ht="16.5" x14ac:dyDescent="0.3">
      <c r="A555" s="17" t="str">
        <f t="shared" si="8"/>
        <v>LLB113</v>
      </c>
      <c r="B555" s="3" t="s">
        <v>812</v>
      </c>
      <c r="C555" s="3" t="s">
        <v>159</v>
      </c>
      <c r="D555" s="3" t="s">
        <v>120</v>
      </c>
      <c r="E555" s="3" t="s">
        <v>178</v>
      </c>
      <c r="F555" s="3" t="s">
        <v>179</v>
      </c>
      <c r="G555" s="3" t="s">
        <v>37</v>
      </c>
      <c r="H555" s="3" t="s">
        <v>123</v>
      </c>
      <c r="I555" s="3" t="e">
        <f>VLOOKUP(E555,#REF!,3,FALSE)</f>
        <v>#REF!</v>
      </c>
    </row>
    <row r="556" spans="1:9" ht="16.5" x14ac:dyDescent="0.3">
      <c r="A556" s="17" t="str">
        <f t="shared" si="8"/>
        <v>LLB324</v>
      </c>
      <c r="B556" s="3" t="s">
        <v>812</v>
      </c>
      <c r="C556" s="3" t="s">
        <v>159</v>
      </c>
      <c r="D556" s="3" t="s">
        <v>163</v>
      </c>
      <c r="E556" s="3" t="s">
        <v>270</v>
      </c>
      <c r="F556" s="3" t="s">
        <v>271</v>
      </c>
      <c r="G556" s="3" t="s">
        <v>37</v>
      </c>
      <c r="H556" s="3" t="s">
        <v>793</v>
      </c>
      <c r="I556" s="3" t="e">
        <f>VLOOKUP(E556,#REF!,3,FALSE)</f>
        <v>#REF!</v>
      </c>
    </row>
    <row r="557" spans="1:9" ht="16.5" x14ac:dyDescent="0.3">
      <c r="A557" s="17" t="str">
        <f t="shared" si="8"/>
        <v>LLB123</v>
      </c>
      <c r="B557" s="3" t="s">
        <v>812</v>
      </c>
      <c r="C557" s="3" t="s">
        <v>159</v>
      </c>
      <c r="D557" s="3" t="s">
        <v>34</v>
      </c>
      <c r="E557" s="3" t="s">
        <v>168</v>
      </c>
      <c r="F557" s="3" t="s">
        <v>427</v>
      </c>
      <c r="G557" s="3" t="s">
        <v>37</v>
      </c>
      <c r="H557" s="3" t="s">
        <v>38</v>
      </c>
      <c r="I557" s="3" t="e">
        <f>VLOOKUP(E557,#REF!,3,FALSE)</f>
        <v>#REF!</v>
      </c>
    </row>
    <row r="558" spans="1:9" ht="16.5" x14ac:dyDescent="0.3">
      <c r="A558" s="17" t="str">
        <f t="shared" si="8"/>
        <v>LLB315</v>
      </c>
      <c r="B558" s="3" t="s">
        <v>812</v>
      </c>
      <c r="C558" s="3" t="s">
        <v>159</v>
      </c>
      <c r="D558" s="3" t="s">
        <v>180</v>
      </c>
      <c r="E558" s="3" t="s">
        <v>302</v>
      </c>
      <c r="F558" s="3" t="s">
        <v>303</v>
      </c>
      <c r="G558" s="3" t="s">
        <v>37</v>
      </c>
      <c r="H558" s="3" t="s">
        <v>132</v>
      </c>
      <c r="I558" s="3" t="e">
        <f>VLOOKUP(E558,#REF!,3,FALSE)</f>
        <v>#REF!</v>
      </c>
    </row>
    <row r="559" spans="1:9" ht="16.5" x14ac:dyDescent="0.3">
      <c r="A559" s="17" t="str">
        <f t="shared" si="8"/>
        <v>LLB222</v>
      </c>
      <c r="B559" s="3" t="s">
        <v>812</v>
      </c>
      <c r="C559" s="3" t="s">
        <v>159</v>
      </c>
      <c r="D559" s="3" t="s">
        <v>129</v>
      </c>
      <c r="E559" s="3" t="s">
        <v>130</v>
      </c>
      <c r="F559" s="3" t="s">
        <v>131</v>
      </c>
      <c r="G559" s="3" t="s">
        <v>37</v>
      </c>
      <c r="H559" s="3" t="s">
        <v>42</v>
      </c>
      <c r="I559" s="3" t="e">
        <f>VLOOKUP(E559,#REF!,3,FALSE)</f>
        <v>#REF!</v>
      </c>
    </row>
    <row r="560" spans="1:9" ht="16.5" x14ac:dyDescent="0.3">
      <c r="A560" s="17" t="str">
        <f t="shared" si="8"/>
        <v>LLB214</v>
      </c>
      <c r="B560" s="3" t="s">
        <v>812</v>
      </c>
      <c r="C560" s="3" t="s">
        <v>159</v>
      </c>
      <c r="D560" s="3" t="s">
        <v>39</v>
      </c>
      <c r="E560" s="3" t="s">
        <v>306</v>
      </c>
      <c r="F560" s="3" t="s">
        <v>307</v>
      </c>
      <c r="G560" s="3" t="s">
        <v>37</v>
      </c>
      <c r="H560" s="3" t="s">
        <v>38</v>
      </c>
      <c r="I560" s="3" t="e">
        <f>VLOOKUP(E560,#REF!,3,FALSE)</f>
        <v>#REF!</v>
      </c>
    </row>
    <row r="561" spans="1:9" ht="16.5" x14ac:dyDescent="0.3">
      <c r="A561" s="17" t="str">
        <f t="shared" si="8"/>
        <v>LLB426</v>
      </c>
      <c r="B561" s="3" t="s">
        <v>812</v>
      </c>
      <c r="C561" s="3" t="s">
        <v>119</v>
      </c>
      <c r="D561" s="3" t="s">
        <v>160</v>
      </c>
      <c r="E561" s="3" t="s">
        <v>183</v>
      </c>
      <c r="F561" s="3" t="s">
        <v>184</v>
      </c>
      <c r="G561" s="3" t="s">
        <v>37</v>
      </c>
      <c r="H561" s="3" t="s">
        <v>308</v>
      </c>
      <c r="I561" s="3" t="e">
        <f>VLOOKUP(E561,#REF!,3,FALSE)</f>
        <v>#REF!</v>
      </c>
    </row>
    <row r="562" spans="1:9" ht="16.5" x14ac:dyDescent="0.3">
      <c r="A562" s="17" t="str">
        <f t="shared" si="8"/>
        <v>MPH726</v>
      </c>
      <c r="B562" s="3" t="s">
        <v>812</v>
      </c>
      <c r="C562" s="3" t="s">
        <v>140</v>
      </c>
      <c r="D562" s="3" t="s">
        <v>794</v>
      </c>
      <c r="E562" s="3" t="s">
        <v>1066</v>
      </c>
      <c r="F562" s="3" t="s">
        <v>1067</v>
      </c>
      <c r="G562" s="3" t="s">
        <v>14</v>
      </c>
      <c r="H562" s="3" t="s">
        <v>983</v>
      </c>
      <c r="I562" s="3" t="e">
        <f>VLOOKUP(E562,#REF!,3,FALSE)</f>
        <v>#REF!</v>
      </c>
    </row>
    <row r="563" spans="1:9" ht="16.5" x14ac:dyDescent="0.3">
      <c r="A563" s="17" t="str">
        <f t="shared" si="8"/>
        <v>LLB215</v>
      </c>
      <c r="B563" s="5" t="s">
        <v>812</v>
      </c>
      <c r="C563" s="5" t="s">
        <v>978</v>
      </c>
      <c r="D563" s="5" t="s">
        <v>39</v>
      </c>
      <c r="E563" s="5" t="s">
        <v>124</v>
      </c>
      <c r="F563" s="3" t="s">
        <v>125</v>
      </c>
      <c r="G563" s="5" t="s">
        <v>37</v>
      </c>
      <c r="H563" s="5" t="s">
        <v>38</v>
      </c>
      <c r="I563" s="3" t="e">
        <f>VLOOKUP(E563,#REF!,3,FALSE)</f>
        <v>#REF!</v>
      </c>
    </row>
    <row r="564" spans="1:9" ht="16.5" x14ac:dyDescent="0.3">
      <c r="A564" s="17" t="str">
        <f t="shared" si="8"/>
        <v>LLM817</v>
      </c>
      <c r="B564" s="5" t="s">
        <v>812</v>
      </c>
      <c r="C564" s="5" t="s">
        <v>968</v>
      </c>
      <c r="D564" s="5" t="s">
        <v>136</v>
      </c>
      <c r="E564" s="5" t="s">
        <v>1068</v>
      </c>
      <c r="F564" s="5" t="s">
        <v>1069</v>
      </c>
      <c r="G564" s="5" t="s">
        <v>37</v>
      </c>
      <c r="H564" s="3" t="s">
        <v>136</v>
      </c>
      <c r="I564" s="3" t="e">
        <f>VLOOKUP(E564,#REF!,3,FALSE)</f>
        <v>#REF!</v>
      </c>
    </row>
    <row r="565" spans="1:9" ht="16.5" x14ac:dyDescent="0.3">
      <c r="A565" s="17" t="str">
        <f t="shared" si="8"/>
        <v>LLB313</v>
      </c>
      <c r="B565" s="3" t="s">
        <v>812</v>
      </c>
      <c r="C565" s="3" t="s">
        <v>128</v>
      </c>
      <c r="D565" s="3" t="s">
        <v>180</v>
      </c>
      <c r="E565" s="3" t="s">
        <v>425</v>
      </c>
      <c r="F565" s="3" t="s">
        <v>426</v>
      </c>
      <c r="G565" s="3" t="s">
        <v>37</v>
      </c>
      <c r="H565" s="3" t="s">
        <v>132</v>
      </c>
      <c r="I565" s="3" t="e">
        <f>VLOOKUP(E565,#REF!,3,FALSE)</f>
        <v>#REF!</v>
      </c>
    </row>
    <row r="566" spans="1:9" ht="16.5" x14ac:dyDescent="0.3">
      <c r="A566" s="17" t="str">
        <f t="shared" si="8"/>
        <v>LLB323</v>
      </c>
      <c r="B566" s="3" t="s">
        <v>812</v>
      </c>
      <c r="C566" s="3" t="s">
        <v>128</v>
      </c>
      <c r="D566" s="3" t="s">
        <v>163</v>
      </c>
      <c r="E566" s="3" t="s">
        <v>300</v>
      </c>
      <c r="F566" s="3" t="s">
        <v>301</v>
      </c>
      <c r="G566" s="3" t="s">
        <v>37</v>
      </c>
      <c r="H566" s="3" t="s">
        <v>308</v>
      </c>
      <c r="I566" s="3" t="e">
        <f>VLOOKUP(E566,#REF!,3,FALSE)</f>
        <v>#REF!</v>
      </c>
    </row>
    <row r="567" spans="1:9" ht="16.5" x14ac:dyDescent="0.3">
      <c r="A567" s="17" t="str">
        <f t="shared" si="8"/>
        <v>LLM813</v>
      </c>
      <c r="B567" s="3" t="s">
        <v>812</v>
      </c>
      <c r="C567" s="3" t="s">
        <v>128</v>
      </c>
      <c r="D567" s="3" t="s">
        <v>136</v>
      </c>
      <c r="E567" s="3" t="s">
        <v>1070</v>
      </c>
      <c r="F567" s="3" t="s">
        <v>271</v>
      </c>
      <c r="G567" s="3" t="s">
        <v>37</v>
      </c>
      <c r="H567" s="3" t="s">
        <v>136</v>
      </c>
      <c r="I567" s="3" t="e">
        <f>VLOOKUP(E567,#REF!,3,FALSE)</f>
        <v>#REF!</v>
      </c>
    </row>
    <row r="568" spans="1:9" ht="16.5" x14ac:dyDescent="0.3">
      <c r="A568" s="17" t="str">
        <f t="shared" si="8"/>
        <v>LLB422</v>
      </c>
      <c r="B568" s="3" t="s">
        <v>812</v>
      </c>
      <c r="C568" s="3" t="s">
        <v>128</v>
      </c>
      <c r="D568" s="3" t="s">
        <v>160</v>
      </c>
      <c r="E568" s="3" t="s">
        <v>304</v>
      </c>
      <c r="F568" s="3" t="s">
        <v>305</v>
      </c>
      <c r="G568" s="3" t="s">
        <v>37</v>
      </c>
      <c r="H568" s="3" t="s">
        <v>308</v>
      </c>
      <c r="I568" s="3" t="e">
        <f>VLOOKUP(E568,#REF!,3,FALSE)</f>
        <v>#REF!</v>
      </c>
    </row>
    <row r="569" spans="1:9" ht="16.5" x14ac:dyDescent="0.3">
      <c r="A569" s="17" t="str">
        <f t="shared" si="8"/>
        <v>LLB111</v>
      </c>
      <c r="B569" s="3" t="s">
        <v>812</v>
      </c>
      <c r="C569" s="3" t="s">
        <v>128</v>
      </c>
      <c r="D569" s="3" t="s">
        <v>120</v>
      </c>
      <c r="E569" s="3" t="s">
        <v>173</v>
      </c>
      <c r="F569" s="3" t="s">
        <v>174</v>
      </c>
      <c r="G569" s="3" t="s">
        <v>37</v>
      </c>
      <c r="H569" s="3" t="s">
        <v>123</v>
      </c>
      <c r="I569" s="3" t="e">
        <f>VLOOKUP(E569,#REF!,3,FALSE)</f>
        <v>#REF!</v>
      </c>
    </row>
    <row r="570" spans="1:9" ht="16.5" x14ac:dyDescent="0.3">
      <c r="A570" s="17" t="str">
        <f t="shared" si="8"/>
        <v>LLB125</v>
      </c>
      <c r="B570" s="3" t="s">
        <v>812</v>
      </c>
      <c r="C570" s="3" t="s">
        <v>177</v>
      </c>
      <c r="D570" s="3" t="s">
        <v>34</v>
      </c>
      <c r="E570" s="3" t="s">
        <v>203</v>
      </c>
      <c r="F570" s="3" t="s">
        <v>204</v>
      </c>
      <c r="G570" s="3" t="s">
        <v>37</v>
      </c>
      <c r="H570" s="3" t="s">
        <v>38</v>
      </c>
      <c r="I570" s="3" t="e">
        <f>VLOOKUP(E570,#REF!,3,FALSE)</f>
        <v>#REF!</v>
      </c>
    </row>
    <row r="571" spans="1:9" ht="16.5" x14ac:dyDescent="0.3">
      <c r="A571" s="17" t="str">
        <f t="shared" si="8"/>
        <v>LLB213</v>
      </c>
      <c r="B571" s="3" t="s">
        <v>812</v>
      </c>
      <c r="C571" s="3" t="s">
        <v>128</v>
      </c>
      <c r="D571" s="3" t="s">
        <v>39</v>
      </c>
      <c r="E571" s="3" t="s">
        <v>40</v>
      </c>
      <c r="F571" s="3" t="s">
        <v>41</v>
      </c>
      <c r="G571" s="3" t="s">
        <v>37</v>
      </c>
      <c r="H571" s="3" t="s">
        <v>38</v>
      </c>
      <c r="I571" s="3" t="e">
        <f>VLOOKUP(E571,#REF!,3,FALSE)</f>
        <v>#REF!</v>
      </c>
    </row>
    <row r="572" spans="1:9" ht="16.5" x14ac:dyDescent="0.3">
      <c r="A572" s="17" t="str">
        <f t="shared" si="8"/>
        <v>LLB414</v>
      </c>
      <c r="B572" s="5" t="s">
        <v>812</v>
      </c>
      <c r="C572" s="5" t="s">
        <v>1071</v>
      </c>
      <c r="D572" s="5" t="s">
        <v>133</v>
      </c>
      <c r="E572" s="5" t="s">
        <v>430</v>
      </c>
      <c r="F572" s="5" t="s">
        <v>431</v>
      </c>
      <c r="G572" s="5" t="s">
        <v>37</v>
      </c>
      <c r="H572" s="3" t="s">
        <v>132</v>
      </c>
      <c r="I572" s="3" t="e">
        <f>VLOOKUP(E572,#REF!,3,FALSE)</f>
        <v>#REF!</v>
      </c>
    </row>
    <row r="573" spans="1:9" ht="16.5" x14ac:dyDescent="0.3">
      <c r="A573" s="17" t="str">
        <f t="shared" si="8"/>
        <v>LLB413</v>
      </c>
      <c r="B573" s="5" t="s">
        <v>812</v>
      </c>
      <c r="C573" s="5" t="s">
        <v>971</v>
      </c>
      <c r="D573" s="5" t="s">
        <v>133</v>
      </c>
      <c r="E573" s="5" t="s">
        <v>423</v>
      </c>
      <c r="F573" s="5" t="s">
        <v>424</v>
      </c>
      <c r="G573" s="16" t="s">
        <v>37</v>
      </c>
      <c r="H573" s="3" t="s">
        <v>132</v>
      </c>
      <c r="I573" s="3" t="e">
        <f>VLOOKUP(E573,#REF!,3,FALSE)</f>
        <v>#REF!</v>
      </c>
    </row>
    <row r="574" spans="1:9" ht="16.5" x14ac:dyDescent="0.3">
      <c r="A574" s="17" t="str">
        <f t="shared" si="8"/>
        <v>LLB424</v>
      </c>
      <c r="B574" s="5" t="s">
        <v>812</v>
      </c>
      <c r="C574" s="5" t="s">
        <v>177</v>
      </c>
      <c r="D574" s="5" t="s">
        <v>160</v>
      </c>
      <c r="E574" s="5" t="s">
        <v>161</v>
      </c>
      <c r="F574" s="5" t="s">
        <v>162</v>
      </c>
      <c r="G574" s="16" t="s">
        <v>37</v>
      </c>
      <c r="H574" s="5" t="s">
        <v>308</v>
      </c>
      <c r="I574" s="3" t="e">
        <f>VLOOKUP(E574,#REF!,3,FALSE)</f>
        <v>#REF!</v>
      </c>
    </row>
    <row r="575" spans="1:9" ht="16.5" x14ac:dyDescent="0.3">
      <c r="A575" s="17" t="str">
        <f t="shared" si="8"/>
        <v>LLM714</v>
      </c>
      <c r="B575" s="5" t="s">
        <v>812</v>
      </c>
      <c r="C575" s="5" t="s">
        <v>177</v>
      </c>
      <c r="D575" s="5" t="s">
        <v>136</v>
      </c>
      <c r="E575" s="5" t="s">
        <v>1072</v>
      </c>
      <c r="F575" s="5" t="s">
        <v>1073</v>
      </c>
      <c r="G575" s="16" t="s">
        <v>37</v>
      </c>
      <c r="H575" s="5" t="s">
        <v>308</v>
      </c>
      <c r="I575" s="3" t="e">
        <f>VLOOKUP(E575,#REF!,3,FALSE)</f>
        <v>#REF!</v>
      </c>
    </row>
    <row r="576" spans="1:9" ht="16.5" x14ac:dyDescent="0.3">
      <c r="A576" s="17" t="str">
        <f t="shared" si="8"/>
        <v>LLB113</v>
      </c>
      <c r="B576" s="5" t="s">
        <v>812</v>
      </c>
      <c r="C576" s="5" t="s">
        <v>177</v>
      </c>
      <c r="D576" s="5" t="s">
        <v>120</v>
      </c>
      <c r="E576" s="5" t="s">
        <v>178</v>
      </c>
      <c r="F576" s="3" t="s">
        <v>179</v>
      </c>
      <c r="G576" s="5" t="s">
        <v>37</v>
      </c>
      <c r="H576" s="5" t="s">
        <v>123</v>
      </c>
      <c r="I576" s="3" t="e">
        <f>VLOOKUP(E576,#REF!,3,FALSE)</f>
        <v>#REF!</v>
      </c>
    </row>
    <row r="577" spans="1:9" ht="16.5" x14ac:dyDescent="0.3">
      <c r="A577" s="17" t="str">
        <f t="shared" si="8"/>
        <v>LLB311</v>
      </c>
      <c r="B577" s="5" t="s">
        <v>812</v>
      </c>
      <c r="C577" s="5" t="s">
        <v>177</v>
      </c>
      <c r="D577" s="5" t="s">
        <v>180</v>
      </c>
      <c r="E577" s="5" t="s">
        <v>181</v>
      </c>
      <c r="F577" s="3" t="s">
        <v>182</v>
      </c>
      <c r="G577" s="5" t="s">
        <v>37</v>
      </c>
      <c r="H577" s="5" t="s">
        <v>42</v>
      </c>
      <c r="I577" s="3" t="e">
        <f>VLOOKUP(E577,#REF!,3,FALSE)</f>
        <v>#REF!</v>
      </c>
    </row>
    <row r="578" spans="1:9" ht="16.5" x14ac:dyDescent="0.3">
      <c r="A578" s="17" t="str">
        <f t="shared" si="8"/>
        <v>LLB122</v>
      </c>
      <c r="B578" s="5" t="s">
        <v>812</v>
      </c>
      <c r="C578" s="3" t="s">
        <v>128</v>
      </c>
      <c r="D578" s="5" t="s">
        <v>34</v>
      </c>
      <c r="E578" s="5" t="s">
        <v>272</v>
      </c>
      <c r="F578" s="3" t="s">
        <v>273</v>
      </c>
      <c r="G578" s="5" t="s">
        <v>37</v>
      </c>
      <c r="H578" s="5" t="s">
        <v>38</v>
      </c>
      <c r="I578" s="3" t="e">
        <f>VLOOKUP(E578,#REF!,3,FALSE)</f>
        <v>#REF!</v>
      </c>
    </row>
    <row r="579" spans="1:9" ht="16.5" x14ac:dyDescent="0.3">
      <c r="A579" s="17" t="str">
        <f t="shared" si="8"/>
        <v>LLB416</v>
      </c>
      <c r="B579" s="5" t="s">
        <v>812</v>
      </c>
      <c r="C579" s="5" t="s">
        <v>177</v>
      </c>
      <c r="D579" s="5" t="s">
        <v>133</v>
      </c>
      <c r="E579" s="5" t="s">
        <v>295</v>
      </c>
      <c r="F579" s="5" t="s">
        <v>296</v>
      </c>
      <c r="G579" s="5" t="s">
        <v>37</v>
      </c>
      <c r="H579" s="3" t="s">
        <v>132</v>
      </c>
      <c r="I579" s="3" t="e">
        <f>VLOOKUP(E579,#REF!,3,FALSE)</f>
        <v>#REF!</v>
      </c>
    </row>
    <row r="580" spans="1:9" ht="16.5" x14ac:dyDescent="0.3">
      <c r="A580" s="17" t="str">
        <f t="shared" ref="A580:A585" si="9">E580</f>
        <v>LLB325</v>
      </c>
      <c r="B580" s="5" t="s">
        <v>812</v>
      </c>
      <c r="C580" s="3" t="s">
        <v>177</v>
      </c>
      <c r="D580" s="5" t="s">
        <v>163</v>
      </c>
      <c r="E580" s="3" t="s">
        <v>201</v>
      </c>
      <c r="F580" s="5" t="s">
        <v>202</v>
      </c>
      <c r="G580" s="3" t="s">
        <v>37</v>
      </c>
      <c r="H580" s="5" t="s">
        <v>132</v>
      </c>
      <c r="I580" s="3" t="e">
        <f>VLOOKUP(E580,#REF!,3,FALSE)</f>
        <v>#REF!</v>
      </c>
    </row>
    <row r="581" spans="1:9" ht="16.5" x14ac:dyDescent="0.3">
      <c r="A581" s="17" t="str">
        <f t="shared" si="9"/>
        <v>LLB221</v>
      </c>
      <c r="B581" s="5" t="s">
        <v>812</v>
      </c>
      <c r="C581" s="3" t="s">
        <v>177</v>
      </c>
      <c r="D581" s="5" t="s">
        <v>129</v>
      </c>
      <c r="E581" s="3" t="s">
        <v>309</v>
      </c>
      <c r="F581" s="5" t="s">
        <v>310</v>
      </c>
      <c r="G581" s="3" t="s">
        <v>37</v>
      </c>
      <c r="H581" s="5" t="s">
        <v>793</v>
      </c>
      <c r="I581" s="3" t="e">
        <f>VLOOKUP(E581,#REF!,3,FALSE)</f>
        <v>#REF!</v>
      </c>
    </row>
    <row r="582" spans="1:9" ht="16.5" x14ac:dyDescent="0.3">
      <c r="A582" s="17" t="str">
        <f t="shared" si="9"/>
        <v>LLM712</v>
      </c>
      <c r="B582" s="5" t="s">
        <v>812</v>
      </c>
      <c r="C582" s="3" t="s">
        <v>177</v>
      </c>
      <c r="D582" s="5" t="s">
        <v>136</v>
      </c>
      <c r="E582" s="3" t="s">
        <v>1074</v>
      </c>
      <c r="F582" s="5" t="s">
        <v>1075</v>
      </c>
      <c r="G582" s="3" t="s">
        <v>37</v>
      </c>
      <c r="H582" s="5" t="s">
        <v>793</v>
      </c>
      <c r="I582" s="3" t="e">
        <f>VLOOKUP(E582,#REF!,3,FALSE)</f>
        <v>#REF!</v>
      </c>
    </row>
    <row r="583" spans="1:9" ht="16.5" x14ac:dyDescent="0.3">
      <c r="A583" s="17" t="str">
        <f t="shared" si="9"/>
        <v>LLM722</v>
      </c>
      <c r="B583" s="5" t="s">
        <v>781</v>
      </c>
      <c r="C583" s="3" t="s">
        <v>159</v>
      </c>
      <c r="D583" s="5" t="s">
        <v>136</v>
      </c>
      <c r="E583" s="3" t="s">
        <v>1076</v>
      </c>
      <c r="F583" s="5" t="s">
        <v>1077</v>
      </c>
      <c r="G583" s="3" t="s">
        <v>37</v>
      </c>
      <c r="H583" s="5" t="s">
        <v>793</v>
      </c>
      <c r="I583" s="3" t="e">
        <f>VLOOKUP(E583,#REF!,3,FALSE)</f>
        <v>#REF!</v>
      </c>
    </row>
    <row r="584" spans="1:9" ht="16.5" x14ac:dyDescent="0.3">
      <c r="A584" s="17" t="str">
        <f t="shared" si="9"/>
        <v>LLM818</v>
      </c>
      <c r="B584" s="5" t="s">
        <v>781</v>
      </c>
      <c r="C584" s="3" t="s">
        <v>119</v>
      </c>
      <c r="D584" s="5" t="s">
        <v>136</v>
      </c>
      <c r="E584" s="3" t="s">
        <v>1078</v>
      </c>
      <c r="F584" s="5" t="s">
        <v>1079</v>
      </c>
      <c r="G584" s="3" t="s">
        <v>37</v>
      </c>
      <c r="H584" s="5" t="s">
        <v>793</v>
      </c>
      <c r="I584" s="3" t="e">
        <f>VLOOKUP(E584,#REF!,3,FALSE)</f>
        <v>#REF!</v>
      </c>
    </row>
    <row r="585" spans="1:9" ht="16.5" x14ac:dyDescent="0.3">
      <c r="A585" s="17" t="str">
        <f t="shared" si="9"/>
        <v>LLM715</v>
      </c>
      <c r="B585" s="5" t="s">
        <v>781</v>
      </c>
      <c r="C585" s="3" t="s">
        <v>177</v>
      </c>
      <c r="D585" s="5" t="s">
        <v>136</v>
      </c>
      <c r="E585" s="3" t="s">
        <v>1080</v>
      </c>
      <c r="F585" s="5" t="s">
        <v>1081</v>
      </c>
      <c r="G585" s="3" t="s">
        <v>37</v>
      </c>
      <c r="H585" s="3" t="s">
        <v>136</v>
      </c>
      <c r="I585" s="3" t="e">
        <f>VLOOKUP(E585,#REF!,3,FALSE)</f>
        <v>#REF!</v>
      </c>
    </row>
  </sheetData>
  <autoFilter ref="B3:I585" xr:uid="{00000000-0009-0000-0000-000000000000}"/>
  <mergeCells count="2">
    <mergeCell ref="B1:I1"/>
    <mergeCell ref="B2:I2"/>
  </mergeCells>
  <dataValidations count="1">
    <dataValidation type="list" allowBlank="1" showInputMessage="1" showErrorMessage="1" sqref="B484:B491 B493:B494" xr:uid="{00000000-0002-0000-0000-000000000000}">
      <formula1>"Sat,Sun"</formula1>
    </dataValidation>
  </dataValidation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B1:I228"/>
  <sheetViews>
    <sheetView showGridLines="0" view="pageBreakPreview" zoomScale="90" zoomScaleNormal="100" zoomScaleSheetLayoutView="90" workbookViewId="0">
      <selection activeCell="F9" sqref="F9"/>
    </sheetView>
  </sheetViews>
  <sheetFormatPr defaultColWidth="8.7109375" defaultRowHeight="12" x14ac:dyDescent="0.2"/>
  <cols>
    <col min="1" max="1" width="8.7109375" style="18" customWidth="1"/>
    <col min="2" max="2" width="20.28515625" style="18" customWidth="1"/>
    <col min="3" max="3" width="21.42578125" style="18" customWidth="1"/>
    <col min="4" max="4" width="22.5703125" style="18" customWidth="1"/>
    <col min="5" max="5" width="22.42578125" style="18" customWidth="1"/>
    <col min="6" max="9" width="21.42578125" style="18" customWidth="1"/>
    <col min="10" max="10" width="8.7109375" style="18" customWidth="1"/>
    <col min="11" max="16384" width="8.7109375" style="18"/>
  </cols>
  <sheetData>
    <row r="1" spans="2:9" ht="12" customHeight="1" thickBot="1" x14ac:dyDescent="0.25"/>
    <row r="2" spans="2:9" ht="15.95" customHeight="1" thickTop="1" x14ac:dyDescent="0.25">
      <c r="B2" s="86" t="s">
        <v>0</v>
      </c>
      <c r="C2" s="84"/>
      <c r="D2" s="84"/>
      <c r="E2" s="84"/>
      <c r="F2" s="84"/>
      <c r="G2" s="84"/>
      <c r="H2" s="84"/>
      <c r="I2" s="85"/>
    </row>
    <row r="3" spans="2:9" ht="15.6" customHeight="1" x14ac:dyDescent="0.25">
      <c r="B3" s="87" t="s">
        <v>1082</v>
      </c>
      <c r="C3" s="81"/>
      <c r="D3" s="81"/>
      <c r="E3" s="81"/>
      <c r="F3" s="81"/>
      <c r="G3" s="81"/>
      <c r="H3" s="81"/>
      <c r="I3" s="82"/>
    </row>
    <row r="4" spans="2:9" ht="15.95" customHeight="1" thickBot="1" x14ac:dyDescent="0.3">
      <c r="B4" s="88" t="s">
        <v>1083</v>
      </c>
      <c r="C4" s="78"/>
      <c r="D4" s="78"/>
      <c r="E4" s="78"/>
      <c r="F4" s="78"/>
      <c r="G4" s="78"/>
      <c r="H4" s="78"/>
      <c r="I4" s="79"/>
    </row>
    <row r="5" spans="2:9" s="23" customFormat="1" ht="12.6" customHeight="1" thickTop="1" thickBot="1" x14ac:dyDescent="0.25">
      <c r="B5" s="19"/>
      <c r="C5" s="20" t="s">
        <v>1084</v>
      </c>
      <c r="D5" s="21" t="s">
        <v>1085</v>
      </c>
      <c r="E5" s="21" t="s">
        <v>1086</v>
      </c>
      <c r="F5" s="21" t="s">
        <v>1087</v>
      </c>
      <c r="G5" s="21" t="s">
        <v>1088</v>
      </c>
      <c r="H5" s="21" t="s">
        <v>1089</v>
      </c>
      <c r="I5" s="22" t="s">
        <v>1090</v>
      </c>
    </row>
    <row r="6" spans="2:9" ht="35.450000000000003" customHeight="1" thickTop="1" x14ac:dyDescent="0.2">
      <c r="B6" s="24" t="s">
        <v>10</v>
      </c>
      <c r="C6" s="25"/>
      <c r="D6" s="25" t="s">
        <v>1091</v>
      </c>
      <c r="E6" s="25" t="s">
        <v>1092</v>
      </c>
      <c r="F6" s="25"/>
      <c r="G6" s="25"/>
      <c r="H6" s="25"/>
      <c r="I6" s="25"/>
    </row>
    <row r="7" spans="2:9" ht="17.45" customHeight="1" x14ac:dyDescent="0.2">
      <c r="B7" s="26" t="s">
        <v>1093</v>
      </c>
      <c r="C7" s="25"/>
      <c r="D7" s="27" t="s">
        <v>1094</v>
      </c>
      <c r="E7" s="27" t="s">
        <v>1095</v>
      </c>
      <c r="F7" s="25"/>
      <c r="G7" s="25"/>
      <c r="H7" s="25"/>
      <c r="I7" s="25"/>
    </row>
    <row r="8" spans="2:9" ht="20.45" customHeight="1" thickBot="1" x14ac:dyDescent="0.25">
      <c r="B8" s="28" t="s">
        <v>8</v>
      </c>
      <c r="C8" s="29"/>
      <c r="D8" s="30" t="s">
        <v>46</v>
      </c>
      <c r="E8" s="30" t="s">
        <v>220</v>
      </c>
      <c r="F8" s="29"/>
      <c r="G8" s="29"/>
      <c r="H8" s="29"/>
      <c r="I8" s="29"/>
    </row>
    <row r="9" spans="2:9" ht="37.5" customHeight="1" thickTop="1" x14ac:dyDescent="0.2">
      <c r="B9" s="24" t="s">
        <v>47</v>
      </c>
      <c r="C9" s="25"/>
      <c r="D9" s="25"/>
      <c r="E9" s="25" t="s">
        <v>1096</v>
      </c>
      <c r="F9" s="25"/>
      <c r="G9" s="25" t="s">
        <v>1097</v>
      </c>
      <c r="H9" s="25"/>
      <c r="I9" s="25"/>
    </row>
    <row r="10" spans="2:9" x14ac:dyDescent="0.2">
      <c r="B10" s="26" t="s">
        <v>1093</v>
      </c>
      <c r="C10" s="25"/>
      <c r="D10" s="25"/>
      <c r="E10" s="27" t="s">
        <v>1098</v>
      </c>
      <c r="F10" s="27"/>
      <c r="G10" s="27" t="s">
        <v>1099</v>
      </c>
      <c r="H10" s="25"/>
      <c r="I10" s="25"/>
    </row>
    <row r="11" spans="2:9" ht="12" customHeight="1" thickBot="1" x14ac:dyDescent="0.25">
      <c r="B11" s="28" t="s">
        <v>8</v>
      </c>
      <c r="C11" s="29"/>
      <c r="D11" s="29"/>
      <c r="E11" s="30" t="s">
        <v>407</v>
      </c>
      <c r="F11" s="30"/>
      <c r="G11" s="30" t="s">
        <v>407</v>
      </c>
      <c r="H11" s="29"/>
      <c r="I11" s="29"/>
    </row>
    <row r="12" spans="2:9" ht="41.1" customHeight="1" thickTop="1" x14ac:dyDescent="0.2">
      <c r="B12" s="24" t="s">
        <v>96</v>
      </c>
      <c r="C12" s="25"/>
      <c r="D12" s="25"/>
      <c r="E12" s="25" t="s">
        <v>1100</v>
      </c>
      <c r="F12" s="25"/>
      <c r="G12" s="25" t="s">
        <v>1101</v>
      </c>
      <c r="H12" s="25"/>
      <c r="I12" s="25"/>
    </row>
    <row r="13" spans="2:9" x14ac:dyDescent="0.2">
      <c r="B13" s="26" t="s">
        <v>1093</v>
      </c>
      <c r="C13" s="25"/>
      <c r="D13" s="25"/>
      <c r="E13" s="27" t="s">
        <v>1102</v>
      </c>
      <c r="F13" s="27"/>
      <c r="G13" s="27" t="s">
        <v>1103</v>
      </c>
      <c r="H13" s="25"/>
      <c r="I13" s="25"/>
    </row>
    <row r="14" spans="2:9" ht="12" customHeight="1" thickBot="1" x14ac:dyDescent="0.25">
      <c r="B14" s="28" t="s">
        <v>8</v>
      </c>
      <c r="C14" s="29"/>
      <c r="D14" s="29"/>
      <c r="E14" s="30" t="s">
        <v>33</v>
      </c>
      <c r="F14" s="30"/>
      <c r="G14" s="30" t="s">
        <v>368</v>
      </c>
      <c r="H14" s="29"/>
      <c r="I14" s="29"/>
    </row>
    <row r="15" spans="2:9" ht="12" customHeight="1" thickTop="1" x14ac:dyDescent="0.2">
      <c r="B15" s="24" t="s">
        <v>140</v>
      </c>
      <c r="C15" s="25"/>
      <c r="D15" s="25"/>
      <c r="E15" s="25"/>
      <c r="F15" s="25"/>
      <c r="G15" s="25"/>
      <c r="H15" s="25"/>
      <c r="I15" s="25"/>
    </row>
    <row r="16" spans="2:9" x14ac:dyDescent="0.2">
      <c r="B16" s="26" t="s">
        <v>1093</v>
      </c>
      <c r="C16" s="27"/>
      <c r="D16" s="27"/>
      <c r="E16" s="27"/>
      <c r="F16" s="25"/>
      <c r="G16" s="25"/>
      <c r="H16" s="25"/>
      <c r="I16" s="25"/>
    </row>
    <row r="17" spans="2:9" ht="12" customHeight="1" thickBot="1" x14ac:dyDescent="0.25">
      <c r="B17" s="28" t="s">
        <v>8</v>
      </c>
      <c r="C17" s="30"/>
      <c r="D17" s="30"/>
      <c r="E17" s="30"/>
      <c r="F17" s="29"/>
      <c r="G17" s="29"/>
      <c r="H17" s="29"/>
      <c r="I17" s="29"/>
    </row>
    <row r="18" spans="2:9" ht="12.6" customHeight="1" thickTop="1" thickBot="1" x14ac:dyDescent="0.25"/>
    <row r="19" spans="2:9" ht="12" customHeight="1" thickTop="1" x14ac:dyDescent="0.25">
      <c r="B19" s="83" t="s">
        <v>0</v>
      </c>
      <c r="C19" s="84"/>
      <c r="D19" s="84"/>
      <c r="E19" s="84"/>
      <c r="F19" s="84"/>
      <c r="G19" s="84"/>
      <c r="H19" s="84"/>
      <c r="I19" s="85"/>
    </row>
    <row r="20" spans="2:9" ht="15" x14ac:dyDescent="0.25">
      <c r="B20" s="80" t="s">
        <v>1082</v>
      </c>
      <c r="C20" s="81"/>
      <c r="D20" s="81"/>
      <c r="E20" s="81"/>
      <c r="F20" s="81"/>
      <c r="G20" s="81"/>
      <c r="H20" s="81"/>
      <c r="I20" s="82"/>
    </row>
    <row r="21" spans="2:9" ht="12" customHeight="1" thickBot="1" x14ac:dyDescent="0.3">
      <c r="B21" s="77" t="s">
        <v>1104</v>
      </c>
      <c r="C21" s="78"/>
      <c r="D21" s="78"/>
      <c r="E21" s="78"/>
      <c r="F21" s="78"/>
      <c r="G21" s="78"/>
      <c r="H21" s="78"/>
      <c r="I21" s="79"/>
    </row>
    <row r="22" spans="2:9" ht="12.6" customHeight="1" thickTop="1" thickBot="1" x14ac:dyDescent="0.25">
      <c r="B22" s="19"/>
      <c r="C22" s="20" t="s">
        <v>1084</v>
      </c>
      <c r="D22" s="21" t="s">
        <v>1085</v>
      </c>
      <c r="E22" s="21" t="s">
        <v>1086</v>
      </c>
      <c r="F22" s="21" t="s">
        <v>1087</v>
      </c>
      <c r="G22" s="21" t="s">
        <v>1088</v>
      </c>
      <c r="H22" s="21" t="s">
        <v>1089</v>
      </c>
      <c r="I22" s="22" t="s">
        <v>1090</v>
      </c>
    </row>
    <row r="23" spans="2:9" ht="35.1" customHeight="1" thickTop="1" x14ac:dyDescent="0.2">
      <c r="B23" s="24" t="s">
        <v>10</v>
      </c>
      <c r="C23" s="25"/>
      <c r="D23" s="25" t="s">
        <v>1091</v>
      </c>
      <c r="E23" s="25" t="s">
        <v>1105</v>
      </c>
      <c r="F23" s="25"/>
      <c r="G23" s="25"/>
      <c r="H23" s="25"/>
      <c r="I23" s="25"/>
    </row>
    <row r="24" spans="2:9" x14ac:dyDescent="0.2">
      <c r="B24" s="26" t="s">
        <v>1093</v>
      </c>
      <c r="C24" s="25"/>
      <c r="D24" s="27" t="s">
        <v>1094</v>
      </c>
      <c r="E24" s="27" t="s">
        <v>1106</v>
      </c>
      <c r="F24" s="27"/>
      <c r="G24" s="25"/>
      <c r="H24" s="25"/>
      <c r="I24" s="25"/>
    </row>
    <row r="25" spans="2:9" ht="12" customHeight="1" thickBot="1" x14ac:dyDescent="0.25">
      <c r="B25" s="28" t="s">
        <v>8</v>
      </c>
      <c r="C25" s="29"/>
      <c r="D25" s="30" t="s">
        <v>46</v>
      </c>
      <c r="E25" s="30" t="s">
        <v>267</v>
      </c>
      <c r="F25" s="30"/>
      <c r="G25" s="29"/>
      <c r="H25" s="29"/>
      <c r="I25" s="29"/>
    </row>
    <row r="26" spans="2:9" ht="12" customHeight="1" thickTop="1" x14ac:dyDescent="0.2">
      <c r="B26" s="24" t="s">
        <v>47</v>
      </c>
      <c r="C26" s="25"/>
      <c r="D26" s="25" t="s">
        <v>1107</v>
      </c>
      <c r="E26" s="25"/>
      <c r="F26" s="25"/>
      <c r="G26" s="25"/>
      <c r="H26" s="25"/>
      <c r="I26" s="25"/>
    </row>
    <row r="27" spans="2:9" x14ac:dyDescent="0.2">
      <c r="B27" s="26" t="s">
        <v>1093</v>
      </c>
      <c r="C27" s="25"/>
      <c r="D27" s="27" t="s">
        <v>1108</v>
      </c>
      <c r="E27" s="27"/>
      <c r="F27" s="27"/>
      <c r="G27" s="25"/>
      <c r="H27" s="25"/>
      <c r="I27" s="25"/>
    </row>
    <row r="28" spans="2:9" ht="12" customHeight="1" thickBot="1" x14ac:dyDescent="0.25">
      <c r="B28" s="28" t="s">
        <v>8</v>
      </c>
      <c r="C28" s="29"/>
      <c r="D28" s="30" t="s">
        <v>70</v>
      </c>
      <c r="E28" s="30"/>
      <c r="F28" s="30"/>
      <c r="G28" s="29"/>
      <c r="H28" s="29"/>
      <c r="I28" s="29"/>
    </row>
    <row r="29" spans="2:9" ht="46.5" customHeight="1" thickTop="1" x14ac:dyDescent="0.2">
      <c r="B29" s="24" t="s">
        <v>96</v>
      </c>
      <c r="C29" s="25"/>
      <c r="D29" s="25" t="s">
        <v>1109</v>
      </c>
      <c r="E29" s="25" t="s">
        <v>1100</v>
      </c>
      <c r="F29" s="25"/>
      <c r="G29" s="25"/>
      <c r="H29" s="25"/>
      <c r="I29" s="25"/>
    </row>
    <row r="30" spans="2:9" x14ac:dyDescent="0.2">
      <c r="B30" s="26" t="s">
        <v>1093</v>
      </c>
      <c r="C30" s="25"/>
      <c r="D30" s="27" t="s">
        <v>1108</v>
      </c>
      <c r="E30" s="27" t="s">
        <v>1102</v>
      </c>
      <c r="F30" s="27"/>
      <c r="G30" s="25"/>
      <c r="H30" s="25"/>
      <c r="I30" s="25"/>
    </row>
    <row r="31" spans="2:9" ht="12" customHeight="1" thickBot="1" x14ac:dyDescent="0.25">
      <c r="B31" s="28" t="s">
        <v>8</v>
      </c>
      <c r="C31" s="29"/>
      <c r="D31" s="30" t="s">
        <v>267</v>
      </c>
      <c r="E31" s="30" t="s">
        <v>33</v>
      </c>
      <c r="F31" s="30"/>
      <c r="G31" s="29"/>
      <c r="H31" s="29"/>
      <c r="I31" s="29"/>
    </row>
    <row r="32" spans="2:9" ht="12" customHeight="1" thickTop="1" x14ac:dyDescent="0.2">
      <c r="B32" s="24" t="s">
        <v>140</v>
      </c>
      <c r="C32" s="25"/>
      <c r="D32" s="25"/>
      <c r="E32" s="25"/>
      <c r="F32" s="25"/>
      <c r="G32" s="25"/>
      <c r="H32" s="25"/>
      <c r="I32" s="25"/>
    </row>
    <row r="33" spans="2:9" x14ac:dyDescent="0.2">
      <c r="B33" s="26" t="s">
        <v>1093</v>
      </c>
      <c r="C33" s="27"/>
      <c r="D33" s="27"/>
      <c r="E33" s="27"/>
      <c r="F33" s="25"/>
      <c r="G33" s="25"/>
      <c r="H33" s="25"/>
      <c r="I33" s="25"/>
    </row>
    <row r="34" spans="2:9" ht="12" customHeight="1" thickBot="1" x14ac:dyDescent="0.25">
      <c r="B34" s="28" t="s">
        <v>8</v>
      </c>
      <c r="C34" s="30"/>
      <c r="D34" s="30"/>
      <c r="E34" s="30"/>
      <c r="F34" s="29"/>
      <c r="G34" s="29"/>
      <c r="H34" s="29"/>
      <c r="I34" s="29"/>
    </row>
    <row r="35" spans="2:9" ht="12.6" customHeight="1" thickTop="1" thickBot="1" x14ac:dyDescent="0.25"/>
    <row r="36" spans="2:9" ht="24" customHeight="1" thickTop="1" x14ac:dyDescent="0.25">
      <c r="B36" s="83" t="s">
        <v>0</v>
      </c>
      <c r="C36" s="84"/>
      <c r="D36" s="84"/>
      <c r="E36" s="84"/>
      <c r="F36" s="84"/>
      <c r="G36" s="84"/>
      <c r="H36" s="84"/>
      <c r="I36" s="85"/>
    </row>
    <row r="37" spans="2:9" ht="24" customHeight="1" x14ac:dyDescent="0.25">
      <c r="B37" s="80" t="s">
        <v>1082</v>
      </c>
      <c r="C37" s="81"/>
      <c r="D37" s="81"/>
      <c r="E37" s="81"/>
      <c r="F37" s="81"/>
      <c r="G37" s="81"/>
      <c r="H37" s="81"/>
      <c r="I37" s="82"/>
    </row>
    <row r="38" spans="2:9" ht="24" customHeight="1" thickBot="1" x14ac:dyDescent="0.3">
      <c r="B38" s="77" t="s">
        <v>1110</v>
      </c>
      <c r="C38" s="78"/>
      <c r="D38" s="78"/>
      <c r="E38" s="78"/>
      <c r="F38" s="78"/>
      <c r="G38" s="78"/>
      <c r="H38" s="78"/>
      <c r="I38" s="79"/>
    </row>
    <row r="39" spans="2:9" ht="12.6" customHeight="1" thickTop="1" thickBot="1" x14ac:dyDescent="0.25">
      <c r="B39" s="19"/>
      <c r="C39" s="20" t="s">
        <v>1084</v>
      </c>
      <c r="D39" s="21" t="s">
        <v>1085</v>
      </c>
      <c r="E39" s="21" t="s">
        <v>1086</v>
      </c>
      <c r="F39" s="21" t="s">
        <v>1087</v>
      </c>
      <c r="G39" s="21" t="s">
        <v>1088</v>
      </c>
      <c r="H39" s="21" t="s">
        <v>1089</v>
      </c>
      <c r="I39" s="22" t="s">
        <v>1090</v>
      </c>
    </row>
    <row r="40" spans="2:9" ht="35.1" customHeight="1" thickTop="1" x14ac:dyDescent="0.2">
      <c r="B40" s="24" t="s">
        <v>10</v>
      </c>
      <c r="C40" s="25"/>
      <c r="D40" s="25"/>
      <c r="E40" s="25" t="s">
        <v>1111</v>
      </c>
      <c r="F40" s="25" t="s">
        <v>1091</v>
      </c>
      <c r="G40" s="25"/>
      <c r="H40" s="25"/>
      <c r="I40" s="25"/>
    </row>
    <row r="41" spans="2:9" x14ac:dyDescent="0.2">
      <c r="B41" s="26" t="s">
        <v>1093</v>
      </c>
      <c r="C41" s="25"/>
      <c r="D41" s="27"/>
      <c r="E41" s="27" t="s">
        <v>1112</v>
      </c>
      <c r="F41" s="27" t="s">
        <v>1094</v>
      </c>
      <c r="G41" s="25"/>
      <c r="H41" s="25"/>
      <c r="I41" s="25"/>
    </row>
    <row r="42" spans="2:9" ht="12" customHeight="1" thickBot="1" x14ac:dyDescent="0.25">
      <c r="B42" s="28" t="s">
        <v>8</v>
      </c>
      <c r="C42" s="29"/>
      <c r="D42" s="30"/>
      <c r="E42" s="30" t="s">
        <v>20</v>
      </c>
      <c r="F42" s="30" t="s">
        <v>46</v>
      </c>
      <c r="G42" s="29"/>
      <c r="H42" s="29"/>
      <c r="I42" s="29"/>
    </row>
    <row r="43" spans="2:9" ht="34.5" customHeight="1" thickTop="1" x14ac:dyDescent="0.2">
      <c r="B43" s="24" t="s">
        <v>47</v>
      </c>
      <c r="C43" s="25" t="s">
        <v>1113</v>
      </c>
      <c r="D43" s="25"/>
      <c r="E43" s="25"/>
      <c r="F43" s="25"/>
      <c r="G43" s="25"/>
      <c r="H43" s="25"/>
      <c r="I43" s="25"/>
    </row>
    <row r="44" spans="2:9" ht="17.45" customHeight="1" x14ac:dyDescent="0.2">
      <c r="B44" s="26" t="s">
        <v>1093</v>
      </c>
      <c r="C44" s="27" t="s">
        <v>1114</v>
      </c>
      <c r="D44" s="27"/>
      <c r="E44" s="27"/>
      <c r="F44" s="27"/>
      <c r="G44" s="25"/>
      <c r="H44" s="25"/>
      <c r="I44" s="25"/>
    </row>
    <row r="45" spans="2:9" ht="12" customHeight="1" thickBot="1" x14ac:dyDescent="0.25">
      <c r="B45" s="28" t="s">
        <v>8</v>
      </c>
      <c r="C45" s="30" t="s">
        <v>20</v>
      </c>
      <c r="D45" s="30"/>
      <c r="E45" s="30"/>
      <c r="F45" s="30"/>
      <c r="G45" s="29"/>
      <c r="H45" s="29"/>
      <c r="I45" s="29"/>
    </row>
    <row r="46" spans="2:9" ht="35.1" customHeight="1" thickTop="1" x14ac:dyDescent="0.2">
      <c r="B46" s="24" t="s">
        <v>96</v>
      </c>
      <c r="C46" s="25"/>
      <c r="D46" s="25" t="s">
        <v>1100</v>
      </c>
      <c r="E46" s="25" t="s">
        <v>1115</v>
      </c>
      <c r="F46" s="25" t="s">
        <v>1116</v>
      </c>
      <c r="G46" s="25"/>
      <c r="H46" s="25"/>
      <c r="I46" s="25"/>
    </row>
    <row r="47" spans="2:9" x14ac:dyDescent="0.2">
      <c r="B47" s="26" t="s">
        <v>1093</v>
      </c>
      <c r="C47" s="25"/>
      <c r="D47" s="27" t="s">
        <v>1102</v>
      </c>
      <c r="E47" s="27" t="s">
        <v>1117</v>
      </c>
      <c r="F47" s="27" t="s">
        <v>1000</v>
      </c>
      <c r="G47" s="25"/>
      <c r="H47" s="25"/>
      <c r="I47" s="25"/>
    </row>
    <row r="48" spans="2:9" ht="12" customHeight="1" thickBot="1" x14ac:dyDescent="0.25">
      <c r="B48" s="28" t="s">
        <v>8</v>
      </c>
      <c r="C48" s="29"/>
      <c r="D48" s="30" t="s">
        <v>33</v>
      </c>
      <c r="E48" s="30" t="s">
        <v>20</v>
      </c>
      <c r="F48" s="30" t="s">
        <v>20</v>
      </c>
      <c r="G48" s="29"/>
      <c r="H48" s="29"/>
      <c r="I48" s="29"/>
    </row>
    <row r="49" spans="2:9" ht="12" customHeight="1" thickTop="1" x14ac:dyDescent="0.2">
      <c r="B49" s="24" t="s">
        <v>140</v>
      </c>
      <c r="C49" s="25"/>
      <c r="D49" s="25"/>
      <c r="E49" s="25"/>
      <c r="F49" s="25"/>
      <c r="G49" s="25"/>
      <c r="H49" s="25"/>
      <c r="I49" s="25"/>
    </row>
    <row r="50" spans="2:9" x14ac:dyDescent="0.2">
      <c r="B50" s="26" t="s">
        <v>1093</v>
      </c>
      <c r="C50" s="27"/>
      <c r="D50" s="27"/>
      <c r="E50" s="27"/>
      <c r="F50" s="25"/>
      <c r="G50" s="25"/>
      <c r="H50" s="25"/>
      <c r="I50" s="25"/>
    </row>
    <row r="51" spans="2:9" ht="12" customHeight="1" thickBot="1" x14ac:dyDescent="0.25">
      <c r="B51" s="28" t="s">
        <v>8</v>
      </c>
      <c r="C51" s="30"/>
      <c r="D51" s="30"/>
      <c r="E51" s="30"/>
      <c r="F51" s="29"/>
      <c r="G51" s="29"/>
      <c r="H51" s="29"/>
      <c r="I51" s="29"/>
    </row>
    <row r="52" spans="2:9" ht="12" customHeight="1" thickTop="1" x14ac:dyDescent="0.2"/>
    <row r="53" spans="2:9" ht="12" customHeight="1" thickBot="1" x14ac:dyDescent="0.25"/>
    <row r="54" spans="2:9" ht="12" customHeight="1" thickTop="1" x14ac:dyDescent="0.25">
      <c r="B54" s="83" t="s">
        <v>0</v>
      </c>
      <c r="C54" s="84"/>
      <c r="D54" s="84"/>
      <c r="E54" s="84"/>
      <c r="F54" s="84"/>
      <c r="G54" s="84"/>
      <c r="H54" s="84"/>
      <c r="I54" s="85"/>
    </row>
    <row r="55" spans="2:9" ht="15" x14ac:dyDescent="0.25">
      <c r="B55" s="80" t="s">
        <v>1082</v>
      </c>
      <c r="C55" s="81"/>
      <c r="D55" s="81"/>
      <c r="E55" s="81"/>
      <c r="F55" s="81"/>
      <c r="G55" s="81"/>
      <c r="H55" s="81"/>
      <c r="I55" s="82"/>
    </row>
    <row r="56" spans="2:9" ht="12" customHeight="1" thickBot="1" x14ac:dyDescent="0.3">
      <c r="B56" s="77" t="s">
        <v>1118</v>
      </c>
      <c r="C56" s="78"/>
      <c r="D56" s="78"/>
      <c r="E56" s="78"/>
      <c r="F56" s="78"/>
      <c r="G56" s="78"/>
      <c r="H56" s="78"/>
      <c r="I56" s="79"/>
    </row>
    <row r="57" spans="2:9" ht="12.6" customHeight="1" thickTop="1" thickBot="1" x14ac:dyDescent="0.25">
      <c r="B57" s="19"/>
      <c r="C57" s="20" t="s">
        <v>1084</v>
      </c>
      <c r="D57" s="21" t="s">
        <v>1085</v>
      </c>
      <c r="E57" s="21" t="s">
        <v>1086</v>
      </c>
      <c r="F57" s="21" t="s">
        <v>1087</v>
      </c>
      <c r="G57" s="21" t="s">
        <v>1088</v>
      </c>
      <c r="H57" s="21" t="s">
        <v>1089</v>
      </c>
      <c r="I57" s="22" t="s">
        <v>1090</v>
      </c>
    </row>
    <row r="58" spans="2:9" ht="23.45" customHeight="1" thickTop="1" x14ac:dyDescent="0.2">
      <c r="B58" s="24" t="s">
        <v>10</v>
      </c>
      <c r="C58" s="25"/>
      <c r="D58" s="25" t="s">
        <v>1111</v>
      </c>
      <c r="E58" s="25" t="s">
        <v>1115</v>
      </c>
      <c r="F58" s="25" t="s">
        <v>1116</v>
      </c>
      <c r="G58" s="25"/>
      <c r="H58" s="25"/>
      <c r="I58" s="25"/>
    </row>
    <row r="59" spans="2:9" x14ac:dyDescent="0.2">
      <c r="B59" s="26" t="s">
        <v>1093</v>
      </c>
      <c r="C59" s="25"/>
      <c r="D59" s="27" t="s">
        <v>1112</v>
      </c>
      <c r="E59" s="27" t="s">
        <v>1117</v>
      </c>
      <c r="F59" s="27" t="s">
        <v>1000</v>
      </c>
      <c r="G59" s="25"/>
      <c r="H59" s="25"/>
      <c r="I59" s="25"/>
    </row>
    <row r="60" spans="2:9" ht="12" customHeight="1" thickBot="1" x14ac:dyDescent="0.25">
      <c r="B60" s="28" t="s">
        <v>8</v>
      </c>
      <c r="C60" s="29"/>
      <c r="D60" s="30" t="s">
        <v>20</v>
      </c>
      <c r="E60" s="30" t="s">
        <v>20</v>
      </c>
      <c r="F60" s="30" t="s">
        <v>20</v>
      </c>
      <c r="G60" s="29"/>
      <c r="H60" s="29"/>
      <c r="I60" s="29"/>
    </row>
    <row r="61" spans="2:9" ht="35.1" customHeight="1" thickTop="1" x14ac:dyDescent="0.2">
      <c r="B61" s="24" t="s">
        <v>47</v>
      </c>
      <c r="C61" s="25"/>
      <c r="D61" s="25" t="s">
        <v>1100</v>
      </c>
      <c r="E61" s="25" t="s">
        <v>1113</v>
      </c>
      <c r="F61" s="25" t="s">
        <v>1091</v>
      </c>
      <c r="G61" s="25"/>
      <c r="H61" s="25"/>
      <c r="I61" s="25"/>
    </row>
    <row r="62" spans="2:9" x14ac:dyDescent="0.2">
      <c r="B62" s="26" t="s">
        <v>1093</v>
      </c>
      <c r="C62" s="25"/>
      <c r="D62" s="27" t="s">
        <v>1102</v>
      </c>
      <c r="E62" s="27" t="s">
        <v>1114</v>
      </c>
      <c r="F62" s="27" t="s">
        <v>1094</v>
      </c>
      <c r="G62" s="25"/>
      <c r="H62" s="25"/>
      <c r="I62" s="25"/>
    </row>
    <row r="63" spans="2:9" ht="12" customHeight="1" thickBot="1" x14ac:dyDescent="0.25">
      <c r="B63" s="28" t="s">
        <v>8</v>
      </c>
      <c r="C63" s="29"/>
      <c r="D63" s="30" t="s">
        <v>33</v>
      </c>
      <c r="E63" s="30" t="s">
        <v>20</v>
      </c>
      <c r="F63" s="30" t="s">
        <v>46</v>
      </c>
      <c r="G63" s="29"/>
      <c r="H63" s="29"/>
      <c r="I63" s="29"/>
    </row>
    <row r="64" spans="2:9" ht="12" customHeight="1" thickTop="1" x14ac:dyDescent="0.2">
      <c r="B64" s="24" t="s">
        <v>96</v>
      </c>
      <c r="C64" s="25"/>
      <c r="D64" s="25"/>
      <c r="E64" s="25"/>
      <c r="F64" s="25"/>
      <c r="G64" s="25"/>
      <c r="H64" s="25"/>
      <c r="I64" s="25"/>
    </row>
    <row r="65" spans="2:9" x14ac:dyDescent="0.2">
      <c r="B65" s="26" t="s">
        <v>1093</v>
      </c>
      <c r="C65" s="25"/>
      <c r="D65" s="27"/>
      <c r="E65" s="27"/>
      <c r="F65" s="27"/>
      <c r="G65" s="25"/>
      <c r="H65" s="25"/>
      <c r="I65" s="25"/>
    </row>
    <row r="66" spans="2:9" ht="12" customHeight="1" thickBot="1" x14ac:dyDescent="0.25">
      <c r="B66" s="28" t="s">
        <v>8</v>
      </c>
      <c r="C66" s="29"/>
      <c r="D66" s="30"/>
      <c r="E66" s="30"/>
      <c r="F66" s="30"/>
      <c r="G66" s="29"/>
      <c r="H66" s="29"/>
      <c r="I66" s="29"/>
    </row>
    <row r="67" spans="2:9" ht="12" customHeight="1" thickTop="1" x14ac:dyDescent="0.2">
      <c r="B67" s="24" t="s">
        <v>140</v>
      </c>
      <c r="C67" s="25"/>
      <c r="D67" s="25"/>
      <c r="E67" s="25"/>
      <c r="F67" s="25"/>
      <c r="G67" s="25"/>
      <c r="H67" s="25"/>
      <c r="I67" s="25"/>
    </row>
    <row r="68" spans="2:9" x14ac:dyDescent="0.2">
      <c r="B68" s="26" t="s">
        <v>1093</v>
      </c>
      <c r="C68" s="27"/>
      <c r="D68" s="27"/>
      <c r="E68" s="27"/>
      <c r="F68" s="25"/>
      <c r="G68" s="25"/>
      <c r="H68" s="25"/>
      <c r="I68" s="25"/>
    </row>
    <row r="69" spans="2:9" ht="12" customHeight="1" thickBot="1" x14ac:dyDescent="0.25">
      <c r="B69" s="28" t="s">
        <v>8</v>
      </c>
      <c r="C69" s="30"/>
      <c r="D69" s="30"/>
      <c r="E69" s="30"/>
      <c r="F69" s="29"/>
      <c r="G69" s="29"/>
      <c r="H69" s="29"/>
      <c r="I69" s="29"/>
    </row>
    <row r="70" spans="2:9" ht="12" customHeight="1" thickTop="1" x14ac:dyDescent="0.2"/>
    <row r="71" spans="2:9" ht="12" customHeight="1" thickBot="1" x14ac:dyDescent="0.25"/>
    <row r="72" spans="2:9" ht="12" customHeight="1" thickTop="1" x14ac:dyDescent="0.25">
      <c r="B72" s="83" t="s">
        <v>0</v>
      </c>
      <c r="C72" s="84"/>
      <c r="D72" s="84"/>
      <c r="E72" s="84"/>
      <c r="F72" s="84"/>
      <c r="G72" s="84"/>
      <c r="H72" s="84"/>
      <c r="I72" s="85"/>
    </row>
    <row r="73" spans="2:9" ht="15" x14ac:dyDescent="0.25">
      <c r="B73" s="80" t="s">
        <v>1082</v>
      </c>
      <c r="C73" s="81"/>
      <c r="D73" s="81"/>
      <c r="E73" s="81"/>
      <c r="F73" s="81"/>
      <c r="G73" s="81"/>
      <c r="H73" s="81"/>
      <c r="I73" s="82"/>
    </row>
    <row r="74" spans="2:9" ht="12" customHeight="1" thickBot="1" x14ac:dyDescent="0.3">
      <c r="B74" s="77" t="s">
        <v>1119</v>
      </c>
      <c r="C74" s="78"/>
      <c r="D74" s="78"/>
      <c r="E74" s="78"/>
      <c r="F74" s="78"/>
      <c r="G74" s="78"/>
      <c r="H74" s="78"/>
      <c r="I74" s="79"/>
    </row>
    <row r="75" spans="2:9" ht="12.6" customHeight="1" thickTop="1" thickBot="1" x14ac:dyDescent="0.25">
      <c r="B75" s="19"/>
      <c r="C75" s="20" t="s">
        <v>1084</v>
      </c>
      <c r="D75" s="21" t="s">
        <v>1085</v>
      </c>
      <c r="E75" s="21" t="s">
        <v>1086</v>
      </c>
      <c r="F75" s="21" t="s">
        <v>1087</v>
      </c>
      <c r="G75" s="21" t="s">
        <v>1088</v>
      </c>
      <c r="H75" s="21" t="s">
        <v>1089</v>
      </c>
      <c r="I75" s="22" t="s">
        <v>1090</v>
      </c>
    </row>
    <row r="76" spans="2:9" ht="35.1" customHeight="1" thickTop="1" x14ac:dyDescent="0.2">
      <c r="B76" s="24" t="s">
        <v>10</v>
      </c>
      <c r="C76" s="25"/>
      <c r="D76" s="25"/>
      <c r="E76" s="25" t="s">
        <v>1120</v>
      </c>
      <c r="F76" s="25" t="s">
        <v>1091</v>
      </c>
      <c r="G76" s="25"/>
      <c r="H76" s="25"/>
      <c r="I76" s="25"/>
    </row>
    <row r="77" spans="2:9" x14ac:dyDescent="0.2">
      <c r="B77" s="26" t="s">
        <v>1093</v>
      </c>
      <c r="C77" s="25"/>
      <c r="D77" s="27"/>
      <c r="E77" s="27" t="s">
        <v>1121</v>
      </c>
      <c r="F77" s="27" t="s">
        <v>1094</v>
      </c>
      <c r="G77" s="25"/>
      <c r="H77" s="25"/>
      <c r="I77" s="25"/>
    </row>
    <row r="78" spans="2:9" ht="12" customHeight="1" thickBot="1" x14ac:dyDescent="0.25">
      <c r="B78" s="28" t="s">
        <v>8</v>
      </c>
      <c r="C78" s="29"/>
      <c r="D78" s="30"/>
      <c r="E78" s="30" t="s">
        <v>103</v>
      </c>
      <c r="F78" s="30" t="s">
        <v>46</v>
      </c>
      <c r="G78" s="29"/>
      <c r="H78" s="29"/>
      <c r="I78" s="29"/>
    </row>
    <row r="79" spans="2:9" ht="23.45" customHeight="1" thickTop="1" x14ac:dyDescent="0.2">
      <c r="B79" s="24" t="s">
        <v>47</v>
      </c>
      <c r="C79" s="25"/>
      <c r="D79" s="25"/>
      <c r="E79" s="25"/>
      <c r="F79" s="25" t="s">
        <v>1122</v>
      </c>
      <c r="G79" s="25"/>
      <c r="H79" s="25"/>
      <c r="I79" s="25"/>
    </row>
    <row r="80" spans="2:9" x14ac:dyDescent="0.2">
      <c r="B80" s="26" t="s">
        <v>1093</v>
      </c>
      <c r="C80" s="25"/>
      <c r="D80" s="27"/>
      <c r="E80" s="27"/>
      <c r="F80" s="27" t="s">
        <v>1123</v>
      </c>
      <c r="G80" s="27"/>
      <c r="H80" s="25"/>
      <c r="I80" s="25"/>
    </row>
    <row r="81" spans="2:9" ht="12" customHeight="1" thickBot="1" x14ac:dyDescent="0.25">
      <c r="B81" s="28" t="s">
        <v>8</v>
      </c>
      <c r="C81" s="29"/>
      <c r="D81" s="30"/>
      <c r="E81" s="30"/>
      <c r="F81" s="30" t="s">
        <v>112</v>
      </c>
      <c r="G81" s="30"/>
      <c r="H81" s="29"/>
      <c r="I81" s="29"/>
    </row>
    <row r="82" spans="2:9" ht="35.1" customHeight="1" thickTop="1" x14ac:dyDescent="0.2">
      <c r="B82" s="24" t="s">
        <v>96</v>
      </c>
      <c r="C82" s="25" t="s">
        <v>1124</v>
      </c>
      <c r="D82" s="25" t="s">
        <v>1100</v>
      </c>
      <c r="E82" s="25"/>
      <c r="F82" s="25" t="s">
        <v>1125</v>
      </c>
      <c r="G82" s="25"/>
      <c r="H82" s="25"/>
      <c r="I82" s="25"/>
    </row>
    <row r="83" spans="2:9" ht="23.1" customHeight="1" x14ac:dyDescent="0.2">
      <c r="B83" s="26" t="s">
        <v>1093</v>
      </c>
      <c r="C83" s="27" t="s">
        <v>1126</v>
      </c>
      <c r="D83" s="27" t="s">
        <v>1102</v>
      </c>
      <c r="E83" s="27"/>
      <c r="F83" s="27" t="s">
        <v>1127</v>
      </c>
      <c r="G83" s="25"/>
      <c r="H83" s="25"/>
      <c r="I83" s="25"/>
    </row>
    <row r="84" spans="2:9" ht="12" customHeight="1" thickBot="1" x14ac:dyDescent="0.25">
      <c r="B84" s="28" t="s">
        <v>8</v>
      </c>
      <c r="C84" s="30" t="s">
        <v>103</v>
      </c>
      <c r="D84" s="30" t="s">
        <v>33</v>
      </c>
      <c r="E84" s="30"/>
      <c r="F84" s="30" t="s">
        <v>79</v>
      </c>
      <c r="G84" s="29"/>
      <c r="H84" s="29"/>
      <c r="I84" s="29"/>
    </row>
    <row r="85" spans="2:9" ht="12" customHeight="1" thickTop="1" x14ac:dyDescent="0.2">
      <c r="B85" s="24" t="s">
        <v>140</v>
      </c>
      <c r="C85" s="25"/>
      <c r="D85" s="25"/>
      <c r="E85" s="25"/>
      <c r="F85" s="25"/>
      <c r="G85" s="25"/>
      <c r="H85" s="25"/>
      <c r="I85" s="25"/>
    </row>
    <row r="86" spans="2:9" x14ac:dyDescent="0.2">
      <c r="B86" s="26" t="s">
        <v>1093</v>
      </c>
      <c r="C86" s="27"/>
      <c r="D86" s="27"/>
      <c r="E86" s="27"/>
      <c r="F86" s="25"/>
      <c r="G86" s="25"/>
      <c r="H86" s="25"/>
      <c r="I86" s="25"/>
    </row>
    <row r="87" spans="2:9" ht="12" customHeight="1" thickBot="1" x14ac:dyDescent="0.25">
      <c r="B87" s="28" t="s">
        <v>8</v>
      </c>
      <c r="C87" s="30"/>
      <c r="D87" s="30"/>
      <c r="E87" s="30"/>
      <c r="F87" s="29"/>
      <c r="G87" s="29"/>
      <c r="H87" s="29"/>
      <c r="I87" s="29"/>
    </row>
    <row r="88" spans="2:9" ht="12.6" customHeight="1" thickTop="1" thickBot="1" x14ac:dyDescent="0.25"/>
    <row r="89" spans="2:9" ht="12" customHeight="1" thickTop="1" x14ac:dyDescent="0.25">
      <c r="B89" s="83" t="s">
        <v>0</v>
      </c>
      <c r="C89" s="84"/>
      <c r="D89" s="84"/>
      <c r="E89" s="84"/>
      <c r="F89" s="84"/>
      <c r="G89" s="84"/>
      <c r="H89" s="84"/>
      <c r="I89" s="85"/>
    </row>
    <row r="90" spans="2:9" ht="15" x14ac:dyDescent="0.25">
      <c r="B90" s="80" t="s">
        <v>1082</v>
      </c>
      <c r="C90" s="81"/>
      <c r="D90" s="81"/>
      <c r="E90" s="81"/>
      <c r="F90" s="81"/>
      <c r="G90" s="81"/>
      <c r="H90" s="81"/>
      <c r="I90" s="82"/>
    </row>
    <row r="91" spans="2:9" ht="12" customHeight="1" thickBot="1" x14ac:dyDescent="0.3">
      <c r="B91" s="77" t="s">
        <v>1128</v>
      </c>
      <c r="C91" s="78"/>
      <c r="D91" s="78"/>
      <c r="E91" s="78"/>
      <c r="F91" s="78"/>
      <c r="G91" s="78"/>
      <c r="H91" s="78"/>
      <c r="I91" s="79"/>
    </row>
    <row r="92" spans="2:9" ht="12.6" customHeight="1" thickTop="1" thickBot="1" x14ac:dyDescent="0.25">
      <c r="B92" s="19"/>
      <c r="C92" s="20" t="s">
        <v>1084</v>
      </c>
      <c r="D92" s="21" t="s">
        <v>1085</v>
      </c>
      <c r="E92" s="21" t="s">
        <v>1086</v>
      </c>
      <c r="F92" s="21" t="s">
        <v>1087</v>
      </c>
      <c r="G92" s="21" t="s">
        <v>1088</v>
      </c>
      <c r="H92" s="21" t="s">
        <v>1089</v>
      </c>
      <c r="I92" s="22" t="s">
        <v>1090</v>
      </c>
    </row>
    <row r="93" spans="2:9" ht="35.1" customHeight="1" thickTop="1" x14ac:dyDescent="0.2">
      <c r="B93" s="24" t="s">
        <v>10</v>
      </c>
      <c r="C93" s="25" t="s">
        <v>1129</v>
      </c>
      <c r="D93" s="25"/>
      <c r="E93" s="25"/>
      <c r="F93" s="25" t="s">
        <v>1091</v>
      </c>
      <c r="G93" s="25"/>
      <c r="H93" s="25"/>
      <c r="I93" s="25"/>
    </row>
    <row r="94" spans="2:9" x14ac:dyDescent="0.2">
      <c r="B94" s="26" t="s">
        <v>1093</v>
      </c>
      <c r="C94" s="27" t="s">
        <v>1130</v>
      </c>
      <c r="D94" s="27"/>
      <c r="E94" s="27"/>
      <c r="F94" s="27" t="s">
        <v>1094</v>
      </c>
      <c r="G94" s="25"/>
      <c r="H94" s="25"/>
      <c r="I94" s="25"/>
    </row>
    <row r="95" spans="2:9" ht="12" customHeight="1" thickBot="1" x14ac:dyDescent="0.25">
      <c r="B95" s="28" t="s">
        <v>8</v>
      </c>
      <c r="C95" s="30" t="s">
        <v>29</v>
      </c>
      <c r="D95" s="30"/>
      <c r="E95" s="30"/>
      <c r="F95" s="30" t="s">
        <v>46</v>
      </c>
      <c r="G95" s="29"/>
      <c r="H95" s="29"/>
      <c r="I95" s="29"/>
    </row>
    <row r="96" spans="2:9" ht="23.45" customHeight="1" thickTop="1" x14ac:dyDescent="0.2">
      <c r="B96" s="24" t="s">
        <v>47</v>
      </c>
      <c r="C96" s="25"/>
      <c r="D96" s="25" t="s">
        <v>1131</v>
      </c>
      <c r="E96" s="25"/>
      <c r="F96" s="25" t="s">
        <v>1122</v>
      </c>
      <c r="G96" s="25"/>
      <c r="H96" s="25"/>
      <c r="I96" s="25"/>
    </row>
    <row r="97" spans="2:9" x14ac:dyDescent="0.2">
      <c r="B97" s="26" t="s">
        <v>1093</v>
      </c>
      <c r="C97" s="25"/>
      <c r="D97" s="27" t="s">
        <v>1132</v>
      </c>
      <c r="E97" s="27"/>
      <c r="F97" s="27" t="s">
        <v>1123</v>
      </c>
      <c r="G97" s="25"/>
      <c r="H97" s="25"/>
      <c r="I97" s="25"/>
    </row>
    <row r="98" spans="2:9" ht="12" customHeight="1" thickBot="1" x14ac:dyDescent="0.25">
      <c r="B98" s="28" t="s">
        <v>8</v>
      </c>
      <c r="C98" s="29"/>
      <c r="D98" s="30" t="s">
        <v>65</v>
      </c>
      <c r="E98" s="30"/>
      <c r="F98" s="30" t="s">
        <v>112</v>
      </c>
      <c r="G98" s="29"/>
      <c r="H98" s="29"/>
      <c r="I98" s="29"/>
    </row>
    <row r="99" spans="2:9" ht="35.1" customHeight="1" thickTop="1" x14ac:dyDescent="0.2">
      <c r="B99" s="24" t="s">
        <v>96</v>
      </c>
      <c r="C99" s="25"/>
      <c r="D99" s="25" t="s">
        <v>1100</v>
      </c>
      <c r="E99" s="25"/>
      <c r="F99" s="25" t="s">
        <v>1133</v>
      </c>
      <c r="G99" s="25"/>
      <c r="H99" s="25"/>
      <c r="I99" s="25"/>
    </row>
    <row r="100" spans="2:9" x14ac:dyDescent="0.2">
      <c r="B100" s="26" t="s">
        <v>1093</v>
      </c>
      <c r="C100" s="25"/>
      <c r="D100" s="27" t="s">
        <v>1102</v>
      </c>
      <c r="E100" s="27"/>
      <c r="F100" s="27" t="s">
        <v>1134</v>
      </c>
      <c r="G100" s="25"/>
      <c r="H100" s="25"/>
      <c r="I100" s="25"/>
    </row>
    <row r="101" spans="2:9" ht="12" customHeight="1" thickBot="1" x14ac:dyDescent="0.25">
      <c r="B101" s="28" t="s">
        <v>8</v>
      </c>
      <c r="C101" s="29"/>
      <c r="D101" s="30" t="s">
        <v>33</v>
      </c>
      <c r="E101" s="30"/>
      <c r="F101" s="30" t="s">
        <v>220</v>
      </c>
      <c r="G101" s="29"/>
      <c r="H101" s="29"/>
      <c r="I101" s="29"/>
    </row>
    <row r="102" spans="2:9" ht="12" customHeight="1" thickTop="1" x14ac:dyDescent="0.2">
      <c r="B102" s="24" t="s">
        <v>140</v>
      </c>
      <c r="C102" s="25"/>
      <c r="D102" s="25"/>
      <c r="E102" s="25"/>
      <c r="F102" s="25"/>
      <c r="G102" s="25"/>
      <c r="H102" s="25"/>
      <c r="I102" s="25"/>
    </row>
    <row r="103" spans="2:9" x14ac:dyDescent="0.2">
      <c r="B103" s="26" t="s">
        <v>1093</v>
      </c>
      <c r="C103" s="27"/>
      <c r="D103" s="27"/>
      <c r="E103" s="27"/>
      <c r="F103" s="25"/>
      <c r="G103" s="25"/>
      <c r="H103" s="25"/>
      <c r="I103" s="25"/>
    </row>
    <row r="104" spans="2:9" ht="12" customHeight="1" thickBot="1" x14ac:dyDescent="0.25">
      <c r="B104" s="28" t="s">
        <v>8</v>
      </c>
      <c r="C104" s="30"/>
      <c r="D104" s="30"/>
      <c r="E104" s="30"/>
      <c r="F104" s="29"/>
      <c r="G104" s="29"/>
      <c r="H104" s="29"/>
      <c r="I104" s="29"/>
    </row>
    <row r="105" spans="2:9" ht="12.6" customHeight="1" thickTop="1" thickBot="1" x14ac:dyDescent="0.25"/>
    <row r="106" spans="2:9" ht="12" customHeight="1" thickTop="1" x14ac:dyDescent="0.25">
      <c r="B106" s="83" t="s">
        <v>0</v>
      </c>
      <c r="C106" s="84"/>
      <c r="D106" s="84"/>
      <c r="E106" s="84"/>
      <c r="F106" s="84"/>
      <c r="G106" s="84"/>
      <c r="H106" s="84"/>
      <c r="I106" s="85"/>
    </row>
    <row r="107" spans="2:9" ht="15" x14ac:dyDescent="0.25">
      <c r="B107" s="80" t="s">
        <v>1082</v>
      </c>
      <c r="C107" s="81"/>
      <c r="D107" s="81"/>
      <c r="E107" s="81"/>
      <c r="F107" s="81"/>
      <c r="G107" s="81"/>
      <c r="H107" s="81"/>
      <c r="I107" s="82"/>
    </row>
    <row r="108" spans="2:9" ht="12" customHeight="1" thickBot="1" x14ac:dyDescent="0.3">
      <c r="B108" s="77" t="s">
        <v>1135</v>
      </c>
      <c r="C108" s="78"/>
      <c r="D108" s="78"/>
      <c r="E108" s="78"/>
      <c r="F108" s="78"/>
      <c r="G108" s="78"/>
      <c r="H108" s="78"/>
      <c r="I108" s="79"/>
    </row>
    <row r="109" spans="2:9" ht="12.6" customHeight="1" thickTop="1" thickBot="1" x14ac:dyDescent="0.25">
      <c r="B109" s="19"/>
      <c r="C109" s="20" t="s">
        <v>1084</v>
      </c>
      <c r="D109" s="21" t="s">
        <v>1085</v>
      </c>
      <c r="E109" s="21" t="s">
        <v>1086</v>
      </c>
      <c r="F109" s="21" t="s">
        <v>1087</v>
      </c>
      <c r="G109" s="21" t="s">
        <v>1088</v>
      </c>
      <c r="H109" s="21" t="s">
        <v>1089</v>
      </c>
      <c r="I109" s="22" t="s">
        <v>1090</v>
      </c>
    </row>
    <row r="110" spans="2:9" ht="35.1" customHeight="1" thickTop="1" x14ac:dyDescent="0.2">
      <c r="B110" s="24" t="s">
        <v>10</v>
      </c>
      <c r="C110" s="25"/>
      <c r="D110" s="25"/>
      <c r="E110" s="25"/>
      <c r="F110" s="25" t="s">
        <v>1091</v>
      </c>
      <c r="G110" s="25"/>
      <c r="H110" s="25"/>
      <c r="I110" s="25"/>
    </row>
    <row r="111" spans="2:9" x14ac:dyDescent="0.2">
      <c r="B111" s="26" t="s">
        <v>1093</v>
      </c>
      <c r="C111" s="25"/>
      <c r="D111" s="27"/>
      <c r="E111" s="27"/>
      <c r="F111" s="27" t="s">
        <v>1094</v>
      </c>
      <c r="G111" s="25"/>
      <c r="H111" s="25"/>
      <c r="I111" s="25"/>
    </row>
    <row r="112" spans="2:9" ht="12" customHeight="1" thickBot="1" x14ac:dyDescent="0.25">
      <c r="B112" s="28" t="s">
        <v>8</v>
      </c>
      <c r="C112" s="29"/>
      <c r="D112" s="30"/>
      <c r="E112" s="30"/>
      <c r="F112" s="30" t="s">
        <v>46</v>
      </c>
      <c r="G112" s="29"/>
      <c r="H112" s="29"/>
      <c r="I112" s="29"/>
    </row>
    <row r="113" spans="2:9" ht="35.1" customHeight="1" thickTop="1" x14ac:dyDescent="0.2">
      <c r="B113" s="24" t="s">
        <v>47</v>
      </c>
      <c r="C113" s="25"/>
      <c r="D113" s="25"/>
      <c r="E113" s="25"/>
      <c r="F113" s="25" t="s">
        <v>1122</v>
      </c>
      <c r="G113" s="25" t="s">
        <v>1136</v>
      </c>
      <c r="H113" s="25"/>
      <c r="I113" s="25"/>
    </row>
    <row r="114" spans="2:9" ht="23.1" customHeight="1" x14ac:dyDescent="0.2">
      <c r="B114" s="26" t="s">
        <v>1093</v>
      </c>
      <c r="C114" s="25"/>
      <c r="D114" s="27"/>
      <c r="E114" s="27"/>
      <c r="F114" s="27" t="s">
        <v>1123</v>
      </c>
      <c r="G114" s="27" t="s">
        <v>1137</v>
      </c>
      <c r="H114" s="25"/>
      <c r="I114" s="25"/>
    </row>
    <row r="115" spans="2:9" ht="12" customHeight="1" thickBot="1" x14ac:dyDescent="0.25">
      <c r="B115" s="28" t="s">
        <v>8</v>
      </c>
      <c r="C115" s="29"/>
      <c r="D115" s="30"/>
      <c r="E115" s="30"/>
      <c r="F115" s="30" t="s">
        <v>112</v>
      </c>
      <c r="G115" s="30" t="s">
        <v>498</v>
      </c>
      <c r="H115" s="29"/>
      <c r="I115" s="29"/>
    </row>
    <row r="116" spans="2:9" ht="35.1" customHeight="1" thickTop="1" x14ac:dyDescent="0.2">
      <c r="B116" s="24" t="s">
        <v>96</v>
      </c>
      <c r="C116" s="25"/>
      <c r="D116" s="25" t="s">
        <v>1100</v>
      </c>
      <c r="E116" s="25"/>
      <c r="F116" s="25"/>
      <c r="G116" s="25" t="s">
        <v>1138</v>
      </c>
      <c r="H116" s="25"/>
      <c r="I116" s="25"/>
    </row>
    <row r="117" spans="2:9" x14ac:dyDescent="0.2">
      <c r="B117" s="26" t="s">
        <v>1093</v>
      </c>
      <c r="C117" s="25"/>
      <c r="D117" s="27" t="s">
        <v>1102</v>
      </c>
      <c r="E117" s="27"/>
      <c r="F117" s="27"/>
      <c r="G117" s="27" t="s">
        <v>1139</v>
      </c>
      <c r="H117" s="25"/>
      <c r="I117" s="25"/>
    </row>
    <row r="118" spans="2:9" ht="12" customHeight="1" thickBot="1" x14ac:dyDescent="0.25">
      <c r="B118" s="28" t="s">
        <v>8</v>
      </c>
      <c r="C118" s="29"/>
      <c r="D118" s="30" t="s">
        <v>33</v>
      </c>
      <c r="E118" s="30"/>
      <c r="F118" s="30"/>
      <c r="G118" s="30" t="s">
        <v>79</v>
      </c>
      <c r="H118" s="29"/>
      <c r="I118" s="29"/>
    </row>
    <row r="119" spans="2:9" ht="35.1" customHeight="1" thickTop="1" x14ac:dyDescent="0.2">
      <c r="B119" s="24" t="s">
        <v>140</v>
      </c>
      <c r="C119" s="25"/>
      <c r="D119" s="25"/>
      <c r="E119" s="25"/>
      <c r="F119" s="25" t="s">
        <v>1140</v>
      </c>
      <c r="G119" s="25"/>
      <c r="H119" s="25"/>
      <c r="I119" s="25"/>
    </row>
    <row r="120" spans="2:9" x14ac:dyDescent="0.2">
      <c r="B120" s="26" t="s">
        <v>1093</v>
      </c>
      <c r="C120" s="27"/>
      <c r="D120" s="27"/>
      <c r="E120" s="27"/>
      <c r="F120" s="27" t="s">
        <v>1141</v>
      </c>
      <c r="G120" s="25"/>
      <c r="H120" s="25"/>
      <c r="I120" s="25"/>
    </row>
    <row r="121" spans="2:9" ht="12" customHeight="1" thickBot="1" x14ac:dyDescent="0.25">
      <c r="B121" s="28" t="s">
        <v>8</v>
      </c>
      <c r="C121" s="30"/>
      <c r="D121" s="30"/>
      <c r="E121" s="30"/>
      <c r="F121" s="30" t="s">
        <v>24</v>
      </c>
      <c r="G121" s="29"/>
      <c r="H121" s="29"/>
      <c r="I121" s="29"/>
    </row>
    <row r="122" spans="2:9" ht="12" customHeight="1" thickTop="1" x14ac:dyDescent="0.2"/>
    <row r="123" spans="2:9" ht="12" customHeight="1" thickBot="1" x14ac:dyDescent="0.25"/>
    <row r="124" spans="2:9" ht="12" customHeight="1" thickTop="1" x14ac:dyDescent="0.25">
      <c r="B124" s="83" t="s">
        <v>0</v>
      </c>
      <c r="C124" s="84"/>
      <c r="D124" s="84"/>
      <c r="E124" s="84"/>
      <c r="F124" s="84"/>
      <c r="G124" s="84"/>
      <c r="H124" s="84"/>
      <c r="I124" s="85"/>
    </row>
    <row r="125" spans="2:9" ht="15" x14ac:dyDescent="0.25">
      <c r="B125" s="80" t="s">
        <v>1082</v>
      </c>
      <c r="C125" s="81"/>
      <c r="D125" s="81"/>
      <c r="E125" s="81"/>
      <c r="F125" s="81"/>
      <c r="G125" s="81"/>
      <c r="H125" s="81"/>
      <c r="I125" s="82"/>
    </row>
    <row r="126" spans="2:9" ht="12" customHeight="1" thickBot="1" x14ac:dyDescent="0.3">
      <c r="B126" s="77" t="s">
        <v>1142</v>
      </c>
      <c r="C126" s="78"/>
      <c r="D126" s="78"/>
      <c r="E126" s="78"/>
      <c r="F126" s="78"/>
      <c r="G126" s="78"/>
      <c r="H126" s="78"/>
      <c r="I126" s="79"/>
    </row>
    <row r="127" spans="2:9" ht="12.6" customHeight="1" thickTop="1" thickBot="1" x14ac:dyDescent="0.25">
      <c r="B127" s="19"/>
      <c r="C127" s="20" t="s">
        <v>1084</v>
      </c>
      <c r="D127" s="21" t="s">
        <v>1085</v>
      </c>
      <c r="E127" s="21" t="s">
        <v>1086</v>
      </c>
      <c r="F127" s="21" t="s">
        <v>1087</v>
      </c>
      <c r="G127" s="21" t="s">
        <v>1088</v>
      </c>
      <c r="H127" s="21" t="s">
        <v>1089</v>
      </c>
      <c r="I127" s="22" t="s">
        <v>1090</v>
      </c>
    </row>
    <row r="128" spans="2:9" ht="35.1" customHeight="1" thickTop="1" x14ac:dyDescent="0.2">
      <c r="B128" s="24" t="s">
        <v>10</v>
      </c>
      <c r="C128" s="25"/>
      <c r="D128" s="25" t="s">
        <v>1091</v>
      </c>
      <c r="E128" s="25" t="s">
        <v>1111</v>
      </c>
      <c r="F128" s="25"/>
      <c r="G128" s="25"/>
      <c r="H128" s="25"/>
      <c r="I128" s="25"/>
    </row>
    <row r="129" spans="2:9" x14ac:dyDescent="0.2">
      <c r="B129" s="26" t="s">
        <v>1093</v>
      </c>
      <c r="C129" s="25"/>
      <c r="D129" s="27" t="s">
        <v>1094</v>
      </c>
      <c r="E129" s="27" t="s">
        <v>1112</v>
      </c>
      <c r="F129" s="27"/>
      <c r="G129" s="25"/>
      <c r="H129" s="25"/>
      <c r="I129" s="25"/>
    </row>
    <row r="130" spans="2:9" ht="12" customHeight="1" thickBot="1" x14ac:dyDescent="0.25">
      <c r="B130" s="28" t="s">
        <v>8</v>
      </c>
      <c r="C130" s="29"/>
      <c r="D130" s="30" t="s">
        <v>46</v>
      </c>
      <c r="E130" s="30" t="s">
        <v>20</v>
      </c>
      <c r="F130" s="30"/>
      <c r="G130" s="29"/>
      <c r="H130" s="29"/>
      <c r="I130" s="29"/>
    </row>
    <row r="131" spans="2:9" ht="23.45" customHeight="1" thickTop="1" x14ac:dyDescent="0.2">
      <c r="B131" s="24" t="s">
        <v>47</v>
      </c>
      <c r="C131" s="25" t="s">
        <v>1143</v>
      </c>
      <c r="D131" s="25" t="s">
        <v>1107</v>
      </c>
      <c r="E131" s="25"/>
      <c r="F131" s="25"/>
      <c r="G131" s="25"/>
      <c r="H131" s="25"/>
      <c r="I131" s="25"/>
    </row>
    <row r="132" spans="2:9" x14ac:dyDescent="0.2">
      <c r="B132" s="26" t="s">
        <v>1093</v>
      </c>
      <c r="C132" s="27" t="s">
        <v>1144</v>
      </c>
      <c r="D132" s="27" t="s">
        <v>1108</v>
      </c>
      <c r="E132" s="27"/>
      <c r="F132" s="27"/>
      <c r="G132" s="25"/>
      <c r="H132" s="25"/>
      <c r="I132" s="25"/>
    </row>
    <row r="133" spans="2:9" ht="12" customHeight="1" thickBot="1" x14ac:dyDescent="0.25">
      <c r="B133" s="28" t="s">
        <v>8</v>
      </c>
      <c r="C133" s="30" t="s">
        <v>70</v>
      </c>
      <c r="D133" s="30" t="s">
        <v>70</v>
      </c>
      <c r="E133" s="30"/>
      <c r="F133" s="30"/>
      <c r="G133" s="29"/>
      <c r="H133" s="29"/>
      <c r="I133" s="29"/>
    </row>
    <row r="134" spans="2:9" ht="46.5" customHeight="1" thickTop="1" x14ac:dyDescent="0.2">
      <c r="B134" s="24" t="s">
        <v>96</v>
      </c>
      <c r="C134" s="25"/>
      <c r="D134" s="25"/>
      <c r="E134" s="25" t="s">
        <v>1100</v>
      </c>
      <c r="F134" s="25"/>
      <c r="G134" s="25"/>
      <c r="H134" s="25"/>
      <c r="I134" s="25"/>
    </row>
    <row r="135" spans="2:9" x14ac:dyDescent="0.2">
      <c r="B135" s="26" t="s">
        <v>1093</v>
      </c>
      <c r="C135" s="25"/>
      <c r="D135" s="27"/>
      <c r="E135" s="27" t="s">
        <v>1102</v>
      </c>
      <c r="F135" s="27"/>
      <c r="G135" s="25"/>
      <c r="H135" s="25"/>
      <c r="I135" s="25"/>
    </row>
    <row r="136" spans="2:9" ht="12" customHeight="1" thickBot="1" x14ac:dyDescent="0.25">
      <c r="B136" s="28" t="s">
        <v>8</v>
      </c>
      <c r="C136" s="29"/>
      <c r="D136" s="30"/>
      <c r="E136" s="30" t="s">
        <v>33</v>
      </c>
      <c r="F136" s="30"/>
      <c r="G136" s="29"/>
      <c r="H136" s="29"/>
      <c r="I136" s="29"/>
    </row>
    <row r="137" spans="2:9" ht="12" customHeight="1" thickTop="1" x14ac:dyDescent="0.2">
      <c r="B137" s="24" t="s">
        <v>140</v>
      </c>
      <c r="C137" s="25"/>
      <c r="D137" s="25"/>
      <c r="E137" s="25"/>
      <c r="F137" s="25"/>
      <c r="G137" s="25"/>
      <c r="H137" s="25"/>
      <c r="I137" s="25"/>
    </row>
    <row r="138" spans="2:9" x14ac:dyDescent="0.2">
      <c r="B138" s="26" t="s">
        <v>1093</v>
      </c>
      <c r="C138" s="27"/>
      <c r="D138" s="27"/>
      <c r="E138" s="27"/>
      <c r="F138" s="25"/>
      <c r="G138" s="25"/>
      <c r="H138" s="25"/>
      <c r="I138" s="25"/>
    </row>
    <row r="139" spans="2:9" ht="12" customHeight="1" thickBot="1" x14ac:dyDescent="0.25">
      <c r="B139" s="28" t="s">
        <v>8</v>
      </c>
      <c r="C139" s="30"/>
      <c r="D139" s="30"/>
      <c r="E139" s="30"/>
      <c r="F139" s="29"/>
      <c r="G139" s="29"/>
      <c r="H139" s="29"/>
      <c r="I139" s="29"/>
    </row>
    <row r="140" spans="2:9" ht="12.6" customHeight="1" thickTop="1" thickBot="1" x14ac:dyDescent="0.25"/>
    <row r="141" spans="2:9" ht="12" customHeight="1" thickTop="1" x14ac:dyDescent="0.25">
      <c r="B141" s="83" t="s">
        <v>0</v>
      </c>
      <c r="C141" s="84"/>
      <c r="D141" s="84"/>
      <c r="E141" s="84"/>
      <c r="F141" s="84"/>
      <c r="G141" s="84"/>
      <c r="H141" s="84"/>
      <c r="I141" s="85"/>
    </row>
    <row r="142" spans="2:9" ht="15" x14ac:dyDescent="0.25">
      <c r="B142" s="80" t="s">
        <v>1082</v>
      </c>
      <c r="C142" s="81"/>
      <c r="D142" s="81"/>
      <c r="E142" s="81"/>
      <c r="F142" s="81"/>
      <c r="G142" s="81"/>
      <c r="H142" s="81"/>
      <c r="I142" s="82"/>
    </row>
    <row r="143" spans="2:9" ht="12" customHeight="1" thickBot="1" x14ac:dyDescent="0.3">
      <c r="B143" s="77" t="s">
        <v>1145</v>
      </c>
      <c r="C143" s="78"/>
      <c r="D143" s="78"/>
      <c r="E143" s="78"/>
      <c r="F143" s="78"/>
      <c r="G143" s="78"/>
      <c r="H143" s="78"/>
      <c r="I143" s="79"/>
    </row>
    <row r="144" spans="2:9" ht="12.6" customHeight="1" thickTop="1" thickBot="1" x14ac:dyDescent="0.25">
      <c r="B144" s="19"/>
      <c r="C144" s="20" t="s">
        <v>1084</v>
      </c>
      <c r="D144" s="21" t="s">
        <v>1085</v>
      </c>
      <c r="E144" s="21" t="s">
        <v>1086</v>
      </c>
      <c r="F144" s="21" t="s">
        <v>1087</v>
      </c>
      <c r="G144" s="21" t="s">
        <v>1088</v>
      </c>
      <c r="H144" s="21" t="s">
        <v>1089</v>
      </c>
      <c r="I144" s="22" t="s">
        <v>1090</v>
      </c>
    </row>
    <row r="145" spans="2:9" ht="35.1" customHeight="1" thickTop="1" x14ac:dyDescent="0.2">
      <c r="B145" s="24" t="s">
        <v>10</v>
      </c>
      <c r="C145" s="25"/>
      <c r="D145" s="25" t="s">
        <v>1091</v>
      </c>
      <c r="E145" s="25" t="s">
        <v>1111</v>
      </c>
      <c r="F145" s="25"/>
      <c r="G145" s="25"/>
      <c r="H145" s="25"/>
      <c r="I145" s="25"/>
    </row>
    <row r="146" spans="2:9" x14ac:dyDescent="0.2">
      <c r="B146" s="26" t="s">
        <v>1093</v>
      </c>
      <c r="C146" s="25"/>
      <c r="D146" s="27" t="s">
        <v>1094</v>
      </c>
      <c r="E146" s="27" t="s">
        <v>1112</v>
      </c>
      <c r="F146" s="27"/>
      <c r="G146" s="25"/>
      <c r="H146" s="25"/>
      <c r="I146" s="25"/>
    </row>
    <row r="147" spans="2:9" ht="12" customHeight="1" thickBot="1" x14ac:dyDescent="0.25">
      <c r="B147" s="28" t="s">
        <v>8</v>
      </c>
      <c r="C147" s="29"/>
      <c r="D147" s="30" t="s">
        <v>46</v>
      </c>
      <c r="E147" s="30" t="s">
        <v>20</v>
      </c>
      <c r="F147" s="30"/>
      <c r="G147" s="29"/>
      <c r="H147" s="29"/>
      <c r="I147" s="29"/>
    </row>
    <row r="148" spans="2:9" ht="23.45" customHeight="1" thickTop="1" x14ac:dyDescent="0.2">
      <c r="B148" s="24" t="s">
        <v>47</v>
      </c>
      <c r="C148" s="25"/>
      <c r="D148" s="25" t="s">
        <v>1107</v>
      </c>
      <c r="E148" s="25"/>
      <c r="F148" s="25"/>
      <c r="G148" s="25" t="s">
        <v>1146</v>
      </c>
      <c r="H148" s="25"/>
      <c r="I148" s="25"/>
    </row>
    <row r="149" spans="2:9" x14ac:dyDescent="0.2">
      <c r="B149" s="26" t="s">
        <v>1093</v>
      </c>
      <c r="C149" s="25"/>
      <c r="D149" s="27" t="s">
        <v>1108</v>
      </c>
      <c r="E149" s="27"/>
      <c r="F149" s="27"/>
      <c r="G149" s="27" t="s">
        <v>1147</v>
      </c>
      <c r="H149" s="25"/>
      <c r="I149" s="25"/>
    </row>
    <row r="150" spans="2:9" ht="12" customHeight="1" thickBot="1" x14ac:dyDescent="0.25">
      <c r="B150" s="28" t="s">
        <v>8</v>
      </c>
      <c r="C150" s="29"/>
      <c r="D150" s="30" t="s">
        <v>70</v>
      </c>
      <c r="E150" s="30"/>
      <c r="F150" s="30"/>
      <c r="G150" s="30" t="s">
        <v>267</v>
      </c>
      <c r="H150" s="29"/>
      <c r="I150" s="29"/>
    </row>
    <row r="151" spans="2:9" ht="46.5" customHeight="1" thickTop="1" x14ac:dyDescent="0.2">
      <c r="B151" s="24" t="s">
        <v>96</v>
      </c>
      <c r="C151" s="25"/>
      <c r="D151" s="25" t="s">
        <v>1109</v>
      </c>
      <c r="E151" s="25" t="s">
        <v>1100</v>
      </c>
      <c r="F151" s="25"/>
      <c r="G151" s="25"/>
      <c r="H151" s="25"/>
      <c r="I151" s="25"/>
    </row>
    <row r="152" spans="2:9" x14ac:dyDescent="0.2">
      <c r="B152" s="26" t="s">
        <v>1093</v>
      </c>
      <c r="C152" s="25"/>
      <c r="D152" s="27" t="s">
        <v>1108</v>
      </c>
      <c r="E152" s="27" t="s">
        <v>1102</v>
      </c>
      <c r="F152" s="27"/>
      <c r="G152" s="25"/>
      <c r="H152" s="25"/>
      <c r="I152" s="25"/>
    </row>
    <row r="153" spans="2:9" ht="12" customHeight="1" thickBot="1" x14ac:dyDescent="0.25">
      <c r="B153" s="28" t="s">
        <v>8</v>
      </c>
      <c r="C153" s="29"/>
      <c r="D153" s="30" t="s">
        <v>267</v>
      </c>
      <c r="E153" s="30" t="s">
        <v>33</v>
      </c>
      <c r="F153" s="30"/>
      <c r="G153" s="29"/>
      <c r="H153" s="29"/>
      <c r="I153" s="29"/>
    </row>
    <row r="154" spans="2:9" ht="12" customHeight="1" thickTop="1" x14ac:dyDescent="0.2">
      <c r="B154" s="24" t="s">
        <v>140</v>
      </c>
      <c r="C154" s="25"/>
      <c r="D154" s="25"/>
      <c r="E154" s="25"/>
      <c r="F154" s="25"/>
      <c r="G154" s="25"/>
      <c r="H154" s="25"/>
      <c r="I154" s="25"/>
    </row>
    <row r="155" spans="2:9" x14ac:dyDescent="0.2">
      <c r="B155" s="26" t="s">
        <v>1093</v>
      </c>
      <c r="C155" s="27"/>
      <c r="D155" s="27"/>
      <c r="E155" s="27"/>
      <c r="F155" s="25"/>
      <c r="G155" s="25"/>
      <c r="H155" s="25"/>
      <c r="I155" s="25"/>
    </row>
    <row r="156" spans="2:9" ht="12" customHeight="1" thickBot="1" x14ac:dyDescent="0.25">
      <c r="B156" s="28" t="s">
        <v>8</v>
      </c>
      <c r="C156" s="30"/>
      <c r="D156" s="30"/>
      <c r="E156" s="30"/>
      <c r="F156" s="29"/>
      <c r="G156" s="29"/>
      <c r="H156" s="29"/>
      <c r="I156" s="29"/>
    </row>
    <row r="157" spans="2:9" ht="12" customHeight="1" thickTop="1" x14ac:dyDescent="0.2"/>
    <row r="158" spans="2:9" ht="15" x14ac:dyDescent="0.25">
      <c r="B158" s="80" t="s">
        <v>1082</v>
      </c>
      <c r="C158" s="81"/>
      <c r="D158" s="81"/>
      <c r="E158" s="81"/>
      <c r="F158" s="81"/>
      <c r="G158" s="81"/>
      <c r="H158" s="81"/>
      <c r="I158" s="82"/>
    </row>
    <row r="159" spans="2:9" ht="12" customHeight="1" thickBot="1" x14ac:dyDescent="0.3">
      <c r="B159" s="77" t="s">
        <v>1148</v>
      </c>
      <c r="C159" s="78"/>
      <c r="D159" s="78"/>
      <c r="E159" s="78"/>
      <c r="F159" s="78"/>
      <c r="G159" s="78"/>
      <c r="H159" s="78"/>
      <c r="I159" s="79"/>
    </row>
    <row r="160" spans="2:9" ht="12.6" customHeight="1" thickTop="1" thickBot="1" x14ac:dyDescent="0.25">
      <c r="B160" s="19"/>
      <c r="C160" s="20" t="s">
        <v>1084</v>
      </c>
      <c r="D160" s="21" t="s">
        <v>1085</v>
      </c>
      <c r="E160" s="21" t="s">
        <v>1086</v>
      </c>
      <c r="F160" s="21" t="s">
        <v>1087</v>
      </c>
      <c r="G160" s="21" t="s">
        <v>1088</v>
      </c>
      <c r="H160" s="21" t="s">
        <v>1089</v>
      </c>
      <c r="I160" s="22" t="s">
        <v>1090</v>
      </c>
    </row>
    <row r="161" spans="2:9" ht="35.1" customHeight="1" thickTop="1" x14ac:dyDescent="0.2">
      <c r="B161" s="24" t="s">
        <v>10</v>
      </c>
      <c r="C161" s="25" t="s">
        <v>1149</v>
      </c>
      <c r="D161" s="25" t="s">
        <v>1091</v>
      </c>
      <c r="E161" s="25"/>
      <c r="F161" s="25" t="s">
        <v>1150</v>
      </c>
      <c r="G161" s="25"/>
      <c r="H161" s="25"/>
      <c r="I161" s="25"/>
    </row>
    <row r="162" spans="2:9" x14ac:dyDescent="0.2">
      <c r="B162" s="26" t="s">
        <v>1093</v>
      </c>
      <c r="C162" s="27" t="s">
        <v>1151</v>
      </c>
      <c r="D162" s="27" t="s">
        <v>1094</v>
      </c>
      <c r="E162" s="27"/>
      <c r="F162" s="27" t="s">
        <v>1106</v>
      </c>
      <c r="G162" s="25"/>
      <c r="H162" s="25"/>
      <c r="I162" s="25"/>
    </row>
    <row r="163" spans="2:9" ht="12" customHeight="1" thickBot="1" x14ac:dyDescent="0.25">
      <c r="B163" s="28" t="s">
        <v>8</v>
      </c>
      <c r="C163" s="30" t="s">
        <v>15</v>
      </c>
      <c r="D163" s="30" t="s">
        <v>46</v>
      </c>
      <c r="E163" s="30"/>
      <c r="F163" s="30" t="s">
        <v>70</v>
      </c>
      <c r="G163" s="29"/>
      <c r="H163" s="29"/>
      <c r="I163" s="29"/>
    </row>
    <row r="164" spans="2:9" ht="23.45" customHeight="1" thickTop="1" x14ac:dyDescent="0.2">
      <c r="B164" s="24" t="s">
        <v>47</v>
      </c>
      <c r="C164" s="25" t="s">
        <v>1143</v>
      </c>
      <c r="D164" s="25"/>
      <c r="E164" s="25"/>
      <c r="F164" s="25"/>
      <c r="G164" s="25"/>
      <c r="H164" s="25"/>
      <c r="I164" s="25"/>
    </row>
    <row r="165" spans="2:9" x14ac:dyDescent="0.2">
      <c r="B165" s="26" t="s">
        <v>1093</v>
      </c>
      <c r="C165" s="27" t="s">
        <v>1144</v>
      </c>
      <c r="D165" s="27"/>
      <c r="E165" s="27"/>
      <c r="F165" s="27"/>
      <c r="G165" s="25"/>
      <c r="H165" s="25"/>
      <c r="I165" s="25"/>
    </row>
    <row r="166" spans="2:9" ht="12" customHeight="1" thickBot="1" x14ac:dyDescent="0.25">
      <c r="B166" s="28" t="s">
        <v>8</v>
      </c>
      <c r="C166" s="30" t="s">
        <v>70</v>
      </c>
      <c r="D166" s="30"/>
      <c r="E166" s="30"/>
      <c r="F166" s="30"/>
      <c r="G166" s="29"/>
      <c r="H166" s="29"/>
      <c r="I166" s="29"/>
    </row>
    <row r="167" spans="2:9" ht="46.5" customHeight="1" thickTop="1" x14ac:dyDescent="0.2">
      <c r="B167" s="24" t="s">
        <v>96</v>
      </c>
      <c r="C167" s="25"/>
      <c r="D167" s="25"/>
      <c r="E167" s="25" t="s">
        <v>1100</v>
      </c>
      <c r="F167" s="25"/>
      <c r="G167" s="25"/>
      <c r="H167" s="25"/>
      <c r="I167" s="25"/>
    </row>
    <row r="168" spans="2:9" x14ac:dyDescent="0.2">
      <c r="B168" s="26" t="s">
        <v>1093</v>
      </c>
      <c r="C168" s="25"/>
      <c r="D168" s="27"/>
      <c r="E168" s="27" t="s">
        <v>1102</v>
      </c>
      <c r="F168" s="27"/>
      <c r="G168" s="25"/>
      <c r="H168" s="25"/>
      <c r="I168" s="25"/>
    </row>
    <row r="169" spans="2:9" ht="12" customHeight="1" thickBot="1" x14ac:dyDescent="0.25">
      <c r="B169" s="28" t="s">
        <v>8</v>
      </c>
      <c r="C169" s="29"/>
      <c r="D169" s="30"/>
      <c r="E169" s="30" t="s">
        <v>33</v>
      </c>
      <c r="F169" s="30"/>
      <c r="G169" s="29"/>
      <c r="H169" s="29"/>
      <c r="I169" s="29"/>
    </row>
    <row r="170" spans="2:9" ht="12" customHeight="1" thickTop="1" x14ac:dyDescent="0.2">
      <c r="B170" s="24" t="s">
        <v>140</v>
      </c>
      <c r="C170" s="25"/>
      <c r="D170" s="25"/>
      <c r="E170" s="25"/>
      <c r="F170" s="25"/>
      <c r="G170" s="25"/>
      <c r="H170" s="25"/>
      <c r="I170" s="25"/>
    </row>
    <row r="171" spans="2:9" x14ac:dyDescent="0.2">
      <c r="B171" s="26" t="s">
        <v>1093</v>
      </c>
      <c r="C171" s="27"/>
      <c r="D171" s="27"/>
      <c r="E171" s="27"/>
      <c r="F171" s="25"/>
      <c r="G171" s="25"/>
      <c r="H171" s="25"/>
      <c r="I171" s="25"/>
    </row>
    <row r="172" spans="2:9" ht="12" customHeight="1" thickBot="1" x14ac:dyDescent="0.25">
      <c r="B172" s="28" t="s">
        <v>8</v>
      </c>
      <c r="C172" s="30"/>
      <c r="D172" s="30"/>
      <c r="E172" s="30"/>
      <c r="F172" s="29"/>
      <c r="G172" s="29"/>
      <c r="H172" s="29"/>
      <c r="I172" s="29"/>
    </row>
    <row r="173" spans="2:9" ht="12" customHeight="1" thickTop="1" x14ac:dyDescent="0.2"/>
    <row r="175" spans="2:9" ht="15" x14ac:dyDescent="0.25">
      <c r="B175" s="80" t="s">
        <v>1082</v>
      </c>
      <c r="C175" s="81"/>
      <c r="D175" s="81"/>
      <c r="E175" s="81"/>
      <c r="F175" s="81"/>
      <c r="G175" s="81"/>
      <c r="H175" s="81"/>
      <c r="I175" s="82"/>
    </row>
    <row r="176" spans="2:9" ht="12" customHeight="1" thickBot="1" x14ac:dyDescent="0.3">
      <c r="B176" s="77" t="s">
        <v>1152</v>
      </c>
      <c r="C176" s="78"/>
      <c r="D176" s="78"/>
      <c r="E176" s="78"/>
      <c r="F176" s="78"/>
      <c r="G176" s="78"/>
      <c r="H176" s="78"/>
      <c r="I176" s="79"/>
    </row>
    <row r="177" spans="2:9" ht="12.6" customHeight="1" thickTop="1" thickBot="1" x14ac:dyDescent="0.25">
      <c r="B177" s="19"/>
      <c r="C177" s="20" t="s">
        <v>1084</v>
      </c>
      <c r="D177" s="21" t="s">
        <v>1085</v>
      </c>
      <c r="E177" s="21" t="s">
        <v>1086</v>
      </c>
      <c r="F177" s="21" t="s">
        <v>1087</v>
      </c>
      <c r="G177" s="21" t="s">
        <v>1088</v>
      </c>
      <c r="H177" s="21" t="s">
        <v>1089</v>
      </c>
      <c r="I177" s="22" t="s">
        <v>1090</v>
      </c>
    </row>
    <row r="178" spans="2:9" ht="23.45" customHeight="1" thickTop="1" x14ac:dyDescent="0.2">
      <c r="B178" s="24" t="s">
        <v>10</v>
      </c>
      <c r="C178" s="25" t="s">
        <v>1153</v>
      </c>
      <c r="D178" s="25"/>
      <c r="E178" s="25"/>
      <c r="F178" s="25"/>
      <c r="G178" s="25" t="s">
        <v>1154</v>
      </c>
      <c r="H178" s="25"/>
      <c r="I178" s="25"/>
    </row>
    <row r="179" spans="2:9" x14ac:dyDescent="0.2">
      <c r="B179" s="26" t="s">
        <v>1093</v>
      </c>
      <c r="C179" s="27" t="s">
        <v>1094</v>
      </c>
      <c r="D179" s="27"/>
      <c r="E179" s="27"/>
      <c r="F179" s="27"/>
      <c r="G179" s="27" t="s">
        <v>1155</v>
      </c>
      <c r="H179" s="25"/>
      <c r="I179" s="25"/>
    </row>
    <row r="180" spans="2:9" ht="12" customHeight="1" thickBot="1" x14ac:dyDescent="0.25">
      <c r="B180" s="28" t="s">
        <v>8</v>
      </c>
      <c r="C180" s="30" t="s">
        <v>46</v>
      </c>
      <c r="D180" s="30"/>
      <c r="E180" s="30"/>
      <c r="F180" s="30"/>
      <c r="G180" s="30" t="s">
        <v>33</v>
      </c>
      <c r="H180" s="29"/>
      <c r="I180" s="29"/>
    </row>
    <row r="181" spans="2:9" ht="23.45" customHeight="1" thickTop="1" x14ac:dyDescent="0.2">
      <c r="B181" s="24" t="s">
        <v>47</v>
      </c>
      <c r="C181" s="25"/>
      <c r="D181" s="25" t="s">
        <v>1156</v>
      </c>
      <c r="E181" s="25"/>
      <c r="F181" s="25"/>
      <c r="G181" s="25"/>
      <c r="H181" s="25"/>
      <c r="I181" s="25"/>
    </row>
    <row r="182" spans="2:9" x14ac:dyDescent="0.2">
      <c r="B182" s="26" t="s">
        <v>1093</v>
      </c>
      <c r="C182" s="25"/>
      <c r="D182" s="27" t="s">
        <v>1123</v>
      </c>
      <c r="E182" s="27"/>
      <c r="F182" s="27"/>
      <c r="G182" s="27"/>
      <c r="H182" s="25"/>
      <c r="I182" s="25"/>
    </row>
    <row r="183" spans="2:9" ht="12" customHeight="1" thickBot="1" x14ac:dyDescent="0.25">
      <c r="B183" s="28" t="s">
        <v>8</v>
      </c>
      <c r="C183" s="29"/>
      <c r="D183" s="30" t="s">
        <v>112</v>
      </c>
      <c r="E183" s="30"/>
      <c r="F183" s="30"/>
      <c r="G183" s="30"/>
      <c r="H183" s="29"/>
      <c r="I183" s="29"/>
    </row>
    <row r="184" spans="2:9" ht="23.45" customHeight="1" thickTop="1" x14ac:dyDescent="0.2">
      <c r="B184" s="24" t="s">
        <v>96</v>
      </c>
      <c r="C184" s="25"/>
      <c r="D184" s="25" t="s">
        <v>1157</v>
      </c>
      <c r="E184" s="25"/>
      <c r="F184" s="25" t="s">
        <v>1158</v>
      </c>
      <c r="G184" s="25"/>
      <c r="H184" s="25"/>
      <c r="I184" s="25"/>
    </row>
    <row r="185" spans="2:9" x14ac:dyDescent="0.2">
      <c r="B185" s="26" t="s">
        <v>1093</v>
      </c>
      <c r="C185" s="25"/>
      <c r="D185" s="27" t="s">
        <v>1094</v>
      </c>
      <c r="E185" s="27"/>
      <c r="F185" s="27" t="s">
        <v>1106</v>
      </c>
      <c r="G185" s="25"/>
      <c r="H185" s="25"/>
      <c r="I185" s="25"/>
    </row>
    <row r="186" spans="2:9" ht="12" customHeight="1" thickBot="1" x14ac:dyDescent="0.25">
      <c r="B186" s="28" t="s">
        <v>8</v>
      </c>
      <c r="C186" s="29"/>
      <c r="D186" s="30" t="s">
        <v>46</v>
      </c>
      <c r="E186" s="30"/>
      <c r="F186" s="30" t="s">
        <v>46</v>
      </c>
      <c r="G186" s="29"/>
      <c r="H186" s="29"/>
      <c r="I186" s="29"/>
    </row>
    <row r="187" spans="2:9" ht="12" customHeight="1" thickTop="1" x14ac:dyDescent="0.2">
      <c r="B187" s="24" t="s">
        <v>140</v>
      </c>
      <c r="C187" s="25"/>
      <c r="D187" s="25"/>
      <c r="E187" s="25"/>
      <c r="F187" s="25"/>
      <c r="G187" s="25"/>
      <c r="H187" s="25"/>
      <c r="I187" s="25"/>
    </row>
    <row r="188" spans="2:9" x14ac:dyDescent="0.2">
      <c r="B188" s="26" t="s">
        <v>1093</v>
      </c>
      <c r="C188" s="27"/>
      <c r="D188" s="27"/>
      <c r="E188" s="27"/>
      <c r="F188" s="25"/>
      <c r="G188" s="25"/>
      <c r="H188" s="25"/>
      <c r="I188" s="25"/>
    </row>
    <row r="189" spans="2:9" ht="12" customHeight="1" thickBot="1" x14ac:dyDescent="0.25">
      <c r="B189" s="28" t="s">
        <v>8</v>
      </c>
      <c r="C189" s="30"/>
      <c r="D189" s="30"/>
      <c r="E189" s="30"/>
      <c r="F189" s="29"/>
      <c r="G189" s="29"/>
      <c r="H189" s="29"/>
      <c r="I189" s="29"/>
    </row>
    <row r="190" spans="2:9" ht="12" customHeight="1" thickTop="1" x14ac:dyDescent="0.2"/>
    <row r="193" spans="2:9" ht="15" x14ac:dyDescent="0.25">
      <c r="B193" s="80" t="s">
        <v>1082</v>
      </c>
      <c r="C193" s="81"/>
      <c r="D193" s="81"/>
      <c r="E193" s="81"/>
      <c r="F193" s="81"/>
      <c r="G193" s="81"/>
      <c r="H193" s="81"/>
      <c r="I193" s="82"/>
    </row>
    <row r="194" spans="2:9" ht="12" customHeight="1" thickBot="1" x14ac:dyDescent="0.3">
      <c r="B194" s="77" t="s">
        <v>1159</v>
      </c>
      <c r="C194" s="78"/>
      <c r="D194" s="78"/>
      <c r="E194" s="78"/>
      <c r="F194" s="78"/>
      <c r="G194" s="78"/>
      <c r="H194" s="78"/>
      <c r="I194" s="79"/>
    </row>
    <row r="195" spans="2:9" ht="12.6" customHeight="1" thickTop="1" thickBot="1" x14ac:dyDescent="0.25">
      <c r="B195" s="19"/>
      <c r="C195" s="20" t="s">
        <v>1084</v>
      </c>
      <c r="D195" s="21" t="s">
        <v>1085</v>
      </c>
      <c r="E195" s="21" t="s">
        <v>1086</v>
      </c>
      <c r="F195" s="21" t="s">
        <v>1087</v>
      </c>
      <c r="G195" s="21" t="s">
        <v>1088</v>
      </c>
      <c r="H195" s="21" t="s">
        <v>1089</v>
      </c>
      <c r="I195" s="22" t="s">
        <v>1090</v>
      </c>
    </row>
    <row r="196" spans="2:9" ht="23.45" customHeight="1" thickTop="1" x14ac:dyDescent="0.2">
      <c r="B196" s="24" t="s">
        <v>10</v>
      </c>
      <c r="C196" s="25" t="s">
        <v>1153</v>
      </c>
      <c r="D196" s="25"/>
      <c r="E196" s="25"/>
      <c r="F196" s="25"/>
      <c r="G196" s="25" t="s">
        <v>1154</v>
      </c>
      <c r="H196" s="25"/>
      <c r="I196" s="25"/>
    </row>
    <row r="197" spans="2:9" x14ac:dyDescent="0.2">
      <c r="B197" s="26" t="s">
        <v>1093</v>
      </c>
      <c r="C197" s="27" t="s">
        <v>1094</v>
      </c>
      <c r="D197" s="27"/>
      <c r="E197" s="27"/>
      <c r="F197" s="27"/>
      <c r="G197" s="27" t="s">
        <v>1155</v>
      </c>
      <c r="H197" s="25"/>
      <c r="I197" s="25"/>
    </row>
    <row r="198" spans="2:9" ht="12" customHeight="1" thickBot="1" x14ac:dyDescent="0.25">
      <c r="B198" s="28" t="s">
        <v>8</v>
      </c>
      <c r="C198" s="30" t="s">
        <v>46</v>
      </c>
      <c r="D198" s="30"/>
      <c r="E198" s="30"/>
      <c r="F198" s="30"/>
      <c r="G198" s="30" t="s">
        <v>33</v>
      </c>
      <c r="H198" s="29"/>
      <c r="I198" s="29"/>
    </row>
    <row r="199" spans="2:9" ht="35.1" customHeight="1" thickTop="1" x14ac:dyDescent="0.2">
      <c r="B199" s="24" t="s">
        <v>47</v>
      </c>
      <c r="C199" s="25"/>
      <c r="D199" s="25"/>
      <c r="E199" s="25"/>
      <c r="F199" s="25" t="s">
        <v>1160</v>
      </c>
      <c r="G199" s="25" t="s">
        <v>1161</v>
      </c>
      <c r="H199" s="25"/>
      <c r="I199" s="25"/>
    </row>
    <row r="200" spans="2:9" x14ac:dyDescent="0.2">
      <c r="B200" s="26" t="s">
        <v>1093</v>
      </c>
      <c r="C200" s="25"/>
      <c r="D200" s="27"/>
      <c r="E200" s="27"/>
      <c r="F200" s="27" t="s">
        <v>1162</v>
      </c>
      <c r="G200" s="27" t="s">
        <v>1163</v>
      </c>
      <c r="H200" s="25"/>
      <c r="I200" s="25"/>
    </row>
    <row r="201" spans="2:9" ht="12" customHeight="1" thickBot="1" x14ac:dyDescent="0.25">
      <c r="B201" s="28" t="s">
        <v>8</v>
      </c>
      <c r="C201" s="29"/>
      <c r="D201" s="30"/>
      <c r="E201" s="30"/>
      <c r="F201" s="30" t="s">
        <v>492</v>
      </c>
      <c r="G201" s="30" t="s">
        <v>363</v>
      </c>
      <c r="H201" s="29"/>
      <c r="I201" s="29"/>
    </row>
    <row r="202" spans="2:9" ht="23.45" customHeight="1" thickTop="1" x14ac:dyDescent="0.2">
      <c r="B202" s="24" t="s">
        <v>96</v>
      </c>
      <c r="C202" s="25"/>
      <c r="D202" s="25" t="s">
        <v>1157</v>
      </c>
      <c r="E202" s="25"/>
      <c r="F202" s="25" t="s">
        <v>1158</v>
      </c>
      <c r="G202" s="25"/>
      <c r="H202" s="25"/>
      <c r="I202" s="25"/>
    </row>
    <row r="203" spans="2:9" x14ac:dyDescent="0.2">
      <c r="B203" s="26" t="s">
        <v>1093</v>
      </c>
      <c r="C203" s="25"/>
      <c r="D203" s="27" t="s">
        <v>1094</v>
      </c>
      <c r="E203" s="27"/>
      <c r="F203" s="27" t="s">
        <v>1106</v>
      </c>
      <c r="G203" s="25"/>
      <c r="H203" s="25"/>
      <c r="I203" s="25"/>
    </row>
    <row r="204" spans="2:9" ht="12" customHeight="1" thickBot="1" x14ac:dyDescent="0.25">
      <c r="B204" s="28" t="s">
        <v>8</v>
      </c>
      <c r="C204" s="29"/>
      <c r="D204" s="30" t="s">
        <v>46</v>
      </c>
      <c r="E204" s="30"/>
      <c r="F204" s="30" t="s">
        <v>46</v>
      </c>
      <c r="G204" s="29"/>
      <c r="H204" s="29"/>
      <c r="I204" s="29"/>
    </row>
    <row r="205" spans="2:9" ht="12" customHeight="1" thickTop="1" x14ac:dyDescent="0.2">
      <c r="B205" s="24" t="s">
        <v>140</v>
      </c>
      <c r="C205" s="25"/>
      <c r="D205" s="25"/>
      <c r="E205" s="25"/>
      <c r="F205" s="25"/>
      <c r="G205" s="25"/>
      <c r="H205" s="25"/>
      <c r="I205" s="25"/>
    </row>
    <row r="206" spans="2:9" x14ac:dyDescent="0.2">
      <c r="B206" s="26" t="s">
        <v>1093</v>
      </c>
      <c r="C206" s="27"/>
      <c r="D206" s="27"/>
      <c r="E206" s="27"/>
      <c r="F206" s="25"/>
      <c r="G206" s="25"/>
      <c r="H206" s="25"/>
      <c r="I206" s="25"/>
    </row>
    <row r="207" spans="2:9" ht="12" customHeight="1" thickBot="1" x14ac:dyDescent="0.25">
      <c r="B207" s="28" t="s">
        <v>8</v>
      </c>
      <c r="C207" s="30"/>
      <c r="D207" s="30"/>
      <c r="E207" s="30"/>
      <c r="F207" s="29"/>
      <c r="G207" s="29"/>
      <c r="H207" s="29"/>
      <c r="I207" s="29"/>
    </row>
    <row r="208" spans="2:9" ht="12" customHeight="1" thickTop="1" x14ac:dyDescent="0.2"/>
    <row r="213" spans="2:9" ht="15" x14ac:dyDescent="0.25">
      <c r="B213" s="80" t="s">
        <v>1082</v>
      </c>
      <c r="C213" s="81"/>
      <c r="D213" s="81"/>
      <c r="E213" s="81"/>
      <c r="F213" s="81"/>
      <c r="G213" s="81"/>
      <c r="H213" s="81"/>
      <c r="I213" s="82"/>
    </row>
    <row r="214" spans="2:9" ht="12" customHeight="1" thickBot="1" x14ac:dyDescent="0.3">
      <c r="B214" s="77" t="s">
        <v>1159</v>
      </c>
      <c r="C214" s="78"/>
      <c r="D214" s="78"/>
      <c r="E214" s="78"/>
      <c r="F214" s="78"/>
      <c r="G214" s="78"/>
      <c r="H214" s="78"/>
      <c r="I214" s="79"/>
    </row>
    <row r="215" spans="2:9" ht="12.6" customHeight="1" thickTop="1" thickBot="1" x14ac:dyDescent="0.25">
      <c r="B215" s="19"/>
      <c r="C215" s="20" t="s">
        <v>1084</v>
      </c>
      <c r="D215" s="21" t="s">
        <v>1085</v>
      </c>
      <c r="E215" s="21" t="s">
        <v>1086</v>
      </c>
      <c r="F215" s="21" t="s">
        <v>1087</v>
      </c>
      <c r="G215" s="21" t="s">
        <v>1088</v>
      </c>
      <c r="H215" s="21" t="s">
        <v>1089</v>
      </c>
      <c r="I215" s="22" t="s">
        <v>1090</v>
      </c>
    </row>
    <row r="216" spans="2:9" ht="23.45" customHeight="1" thickTop="1" x14ac:dyDescent="0.2">
      <c r="B216" s="24" t="s">
        <v>10</v>
      </c>
      <c r="C216" s="25" t="s">
        <v>1153</v>
      </c>
      <c r="D216" s="25"/>
      <c r="E216" s="25"/>
      <c r="F216" s="25"/>
      <c r="G216" s="25" t="s">
        <v>1154</v>
      </c>
      <c r="H216" s="25"/>
      <c r="I216" s="25"/>
    </row>
    <row r="217" spans="2:9" x14ac:dyDescent="0.2">
      <c r="B217" s="26" t="s">
        <v>1093</v>
      </c>
      <c r="C217" s="27" t="s">
        <v>1094</v>
      </c>
      <c r="D217" s="27"/>
      <c r="E217" s="27"/>
      <c r="F217" s="27"/>
      <c r="G217" s="27" t="s">
        <v>1155</v>
      </c>
      <c r="H217" s="25"/>
      <c r="I217" s="25"/>
    </row>
    <row r="218" spans="2:9" ht="12" customHeight="1" thickBot="1" x14ac:dyDescent="0.25">
      <c r="B218" s="28" t="s">
        <v>8</v>
      </c>
      <c r="C218" s="30" t="s">
        <v>46</v>
      </c>
      <c r="D218" s="30"/>
      <c r="E218" s="30"/>
      <c r="F218" s="30"/>
      <c r="G218" s="30" t="s">
        <v>33</v>
      </c>
      <c r="H218" s="29"/>
      <c r="I218" s="29"/>
    </row>
    <row r="219" spans="2:9" ht="35.1" customHeight="1" thickTop="1" x14ac:dyDescent="0.2">
      <c r="B219" s="24" t="s">
        <v>47</v>
      </c>
      <c r="C219" s="25"/>
      <c r="D219" s="25"/>
      <c r="E219" s="25"/>
      <c r="F219" s="25" t="s">
        <v>1160</v>
      </c>
      <c r="G219" s="25" t="s">
        <v>1161</v>
      </c>
      <c r="H219" s="25"/>
      <c r="I219" s="25"/>
    </row>
    <row r="220" spans="2:9" x14ac:dyDescent="0.2">
      <c r="B220" s="26" t="s">
        <v>1093</v>
      </c>
      <c r="C220" s="25"/>
      <c r="D220" s="27"/>
      <c r="E220" s="27"/>
      <c r="F220" s="27" t="s">
        <v>1162</v>
      </c>
      <c r="G220" s="27" t="s">
        <v>1163</v>
      </c>
      <c r="H220" s="25"/>
      <c r="I220" s="25"/>
    </row>
    <row r="221" spans="2:9" ht="12" customHeight="1" thickBot="1" x14ac:dyDescent="0.25">
      <c r="B221" s="28" t="s">
        <v>8</v>
      </c>
      <c r="C221" s="29"/>
      <c r="D221" s="30"/>
      <c r="E221" s="30"/>
      <c r="F221" s="30" t="s">
        <v>492</v>
      </c>
      <c r="G221" s="30" t="s">
        <v>363</v>
      </c>
      <c r="H221" s="29"/>
      <c r="I221" s="29"/>
    </row>
    <row r="222" spans="2:9" ht="23.45" customHeight="1" thickTop="1" x14ac:dyDescent="0.2">
      <c r="B222" s="24" t="s">
        <v>96</v>
      </c>
      <c r="C222" s="25"/>
      <c r="D222" s="25" t="s">
        <v>1157</v>
      </c>
      <c r="E222" s="25"/>
      <c r="F222" s="25" t="s">
        <v>1158</v>
      </c>
      <c r="G222" s="25"/>
      <c r="H222" s="25"/>
      <c r="I222" s="25"/>
    </row>
    <row r="223" spans="2:9" x14ac:dyDescent="0.2">
      <c r="B223" s="26" t="s">
        <v>1093</v>
      </c>
      <c r="C223" s="25"/>
      <c r="D223" s="27" t="s">
        <v>1094</v>
      </c>
      <c r="E223" s="27"/>
      <c r="F223" s="27" t="s">
        <v>1106</v>
      </c>
      <c r="G223" s="25"/>
      <c r="H223" s="25"/>
      <c r="I223" s="25"/>
    </row>
    <row r="224" spans="2:9" ht="12" customHeight="1" thickBot="1" x14ac:dyDescent="0.25">
      <c r="B224" s="28" t="s">
        <v>8</v>
      </c>
      <c r="C224" s="29"/>
      <c r="D224" s="30" t="s">
        <v>46</v>
      </c>
      <c r="E224" s="30"/>
      <c r="F224" s="30" t="s">
        <v>46</v>
      </c>
      <c r="G224" s="29"/>
      <c r="H224" s="29"/>
      <c r="I224" s="29"/>
    </row>
    <row r="225" spans="2:9" ht="12" customHeight="1" thickTop="1" x14ac:dyDescent="0.2">
      <c r="B225" s="24" t="s">
        <v>140</v>
      </c>
      <c r="C225" s="25"/>
      <c r="D225" s="25"/>
      <c r="E225" s="25"/>
      <c r="F225" s="25"/>
      <c r="G225" s="25"/>
      <c r="H225" s="25"/>
      <c r="I225" s="25"/>
    </row>
    <row r="226" spans="2:9" x14ac:dyDescent="0.2">
      <c r="B226" s="26" t="s">
        <v>1093</v>
      </c>
      <c r="C226" s="27"/>
      <c r="D226" s="27"/>
      <c r="E226" s="27"/>
      <c r="F226" s="25"/>
      <c r="G226" s="25"/>
      <c r="H226" s="25"/>
      <c r="I226" s="25"/>
    </row>
    <row r="227" spans="2:9" ht="12" customHeight="1" thickBot="1" x14ac:dyDescent="0.25">
      <c r="B227" s="28" t="s">
        <v>8</v>
      </c>
      <c r="C227" s="30"/>
      <c r="D227" s="30"/>
      <c r="E227" s="30"/>
      <c r="F227" s="29"/>
      <c r="G227" s="29"/>
      <c r="H227" s="29"/>
      <c r="I227" s="29"/>
    </row>
    <row r="228" spans="2:9" ht="12" customHeight="1" thickTop="1" x14ac:dyDescent="0.2"/>
  </sheetData>
  <mergeCells count="35">
    <mergeCell ref="B21:I21"/>
    <mergeCell ref="B2:I2"/>
    <mergeCell ref="B3:I3"/>
    <mergeCell ref="B4:I4"/>
    <mergeCell ref="B19:I19"/>
    <mergeCell ref="B20:I20"/>
    <mergeCell ref="B91:I91"/>
    <mergeCell ref="B36:I36"/>
    <mergeCell ref="B37:I37"/>
    <mergeCell ref="B38:I38"/>
    <mergeCell ref="B54:I54"/>
    <mergeCell ref="B55:I55"/>
    <mergeCell ref="B56:I56"/>
    <mergeCell ref="B72:I72"/>
    <mergeCell ref="B73:I73"/>
    <mergeCell ref="B74:I74"/>
    <mergeCell ref="B89:I89"/>
    <mergeCell ref="B90:I90"/>
    <mergeCell ref="B175:I175"/>
    <mergeCell ref="B106:I106"/>
    <mergeCell ref="B107:I107"/>
    <mergeCell ref="B108:I108"/>
    <mergeCell ref="B124:I124"/>
    <mergeCell ref="B125:I125"/>
    <mergeCell ref="B126:I126"/>
    <mergeCell ref="B141:I141"/>
    <mergeCell ref="B142:I142"/>
    <mergeCell ref="B143:I143"/>
    <mergeCell ref="B158:I158"/>
    <mergeCell ref="B159:I159"/>
    <mergeCell ref="B176:I176"/>
    <mergeCell ref="B193:I193"/>
    <mergeCell ref="B194:I194"/>
    <mergeCell ref="B213:I213"/>
    <mergeCell ref="B214:I214"/>
  </mergeCells>
  <pageMargins left="0.7" right="0.7" top="0.75" bottom="0.75" header="0.3" footer="0.3"/>
  <pageSetup scale="14" orientation="landscape" r:id="rId1"/>
  <rowBreaks count="5" manualBreakCount="5">
    <brk id="18" min="1" max="8" man="1"/>
    <brk id="69" min="1" max="8" man="1"/>
    <brk id="104" min="1" max="8" man="1"/>
    <brk id="139" min="1" max="8" man="1"/>
    <brk id="180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5"/>
  <sheetViews>
    <sheetView showGridLines="0" topLeftCell="B1" zoomScale="90" zoomScaleNormal="90" workbookViewId="0">
      <selection activeCell="I22" sqref="I22"/>
    </sheetView>
  </sheetViews>
  <sheetFormatPr defaultRowHeight="15" x14ac:dyDescent="0.25"/>
  <cols>
    <col min="1" max="1" width="8.7109375" hidden="1" customWidth="1"/>
    <col min="2" max="2" width="6.42578125" customWidth="1"/>
    <col min="3" max="3" width="10.5703125" bestFit="1" customWidth="1"/>
    <col min="4" max="4" width="10.140625" customWidth="1"/>
    <col min="5" max="5" width="9.5703125" customWidth="1"/>
    <col min="6" max="6" width="45.7109375" customWidth="1"/>
    <col min="8" max="8" width="9.42578125" bestFit="1" customWidth="1"/>
    <col min="9" max="9" width="34.7109375" bestFit="1" customWidth="1"/>
    <col min="10" max="10" width="10.140625" customWidth="1"/>
    <col min="14" max="14" width="9.42578125" bestFit="1" customWidth="1"/>
    <col min="15" max="15" width="17" bestFit="1" customWidth="1"/>
  </cols>
  <sheetData>
    <row r="1" spans="1:15" ht="20.45" customHeight="1" x14ac:dyDescent="0.35">
      <c r="B1" s="75" t="s">
        <v>0</v>
      </c>
      <c r="C1" s="76"/>
      <c r="D1" s="76"/>
      <c r="E1" s="76"/>
      <c r="F1" s="76"/>
      <c r="G1" s="76"/>
      <c r="H1" s="76"/>
      <c r="I1" s="76"/>
      <c r="J1" s="76"/>
    </row>
    <row r="2" spans="1:15" ht="20.45" customHeight="1" x14ac:dyDescent="0.35">
      <c r="B2" s="89" t="s">
        <v>1164</v>
      </c>
      <c r="C2" s="90"/>
      <c r="D2" s="90"/>
      <c r="E2" s="90"/>
      <c r="F2" s="90"/>
      <c r="G2" s="90"/>
      <c r="H2" s="90"/>
      <c r="I2" s="90"/>
      <c r="J2" s="90"/>
    </row>
    <row r="3" spans="1:15" x14ac:dyDescent="0.25"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8" t="s">
        <v>8</v>
      </c>
      <c r="I3" s="38" t="s">
        <v>1165</v>
      </c>
      <c r="J3" s="38" t="s">
        <v>1166</v>
      </c>
    </row>
    <row r="4" spans="1:15" x14ac:dyDescent="0.25">
      <c r="A4" t="str">
        <f t="shared" ref="A4:A67" si="0">E4</f>
        <v>BPA125/IRDS214</v>
      </c>
      <c r="B4" s="39" t="s">
        <v>56</v>
      </c>
      <c r="C4" s="39" t="s">
        <v>47</v>
      </c>
      <c r="D4" s="39" t="s">
        <v>342</v>
      </c>
      <c r="E4" s="39" t="s">
        <v>343</v>
      </c>
      <c r="F4" s="39" t="s">
        <v>344</v>
      </c>
      <c r="G4" s="39" t="s">
        <v>28</v>
      </c>
      <c r="H4" s="39" t="s">
        <v>79</v>
      </c>
      <c r="I4" s="39" t="e">
        <f>VLOOKUP(E4,#REF!,3,FALSE)</f>
        <v>#REF!</v>
      </c>
      <c r="J4" s="39" t="s">
        <v>1167</v>
      </c>
    </row>
    <row r="5" spans="1:15" x14ac:dyDescent="0.25">
      <c r="A5" t="str">
        <f t="shared" si="0"/>
        <v>IRDS223</v>
      </c>
      <c r="B5" s="39" t="s">
        <v>56</v>
      </c>
      <c r="C5" s="39" t="s">
        <v>96</v>
      </c>
      <c r="D5" s="39" t="s">
        <v>390</v>
      </c>
      <c r="E5" s="39" t="s">
        <v>391</v>
      </c>
      <c r="F5" s="39" t="s">
        <v>392</v>
      </c>
      <c r="G5" s="39" t="s">
        <v>28</v>
      </c>
      <c r="H5" s="39" t="s">
        <v>65</v>
      </c>
      <c r="I5" s="39" t="e">
        <f>VLOOKUP(E5,#REF!,3,FALSE)</f>
        <v>#REF!</v>
      </c>
      <c r="J5" s="39" t="s">
        <v>1167</v>
      </c>
      <c r="L5" s="40"/>
      <c r="M5" s="41" t="s">
        <v>1168</v>
      </c>
      <c r="N5" s="41" t="s">
        <v>1169</v>
      </c>
      <c r="O5" s="41" t="s">
        <v>1170</v>
      </c>
    </row>
    <row r="6" spans="1:15" x14ac:dyDescent="0.25">
      <c r="A6" t="str">
        <f t="shared" si="0"/>
        <v>BPA122</v>
      </c>
      <c r="B6" s="39" t="s">
        <v>66</v>
      </c>
      <c r="C6" s="39" t="s">
        <v>47</v>
      </c>
      <c r="D6" s="39" t="s">
        <v>444</v>
      </c>
      <c r="E6" s="39" t="s">
        <v>467</v>
      </c>
      <c r="F6" s="39" t="s">
        <v>468</v>
      </c>
      <c r="G6" s="39" t="s">
        <v>28</v>
      </c>
      <c r="H6" s="39" t="s">
        <v>79</v>
      </c>
      <c r="I6" s="39" t="e">
        <f>VLOOKUP(E6,#REF!,3,FALSE)</f>
        <v>#REF!</v>
      </c>
      <c r="J6" s="39" t="s">
        <v>1167</v>
      </c>
      <c r="L6" s="41" t="s">
        <v>14</v>
      </c>
      <c r="M6" s="40">
        <f>COUNTIFS(G:G,L6)</f>
        <v>156</v>
      </c>
      <c r="N6" s="40">
        <f>COUNTIFS(G:G,L6,J:J,"Yes")</f>
        <v>137</v>
      </c>
      <c r="O6" s="42">
        <f>N6/M6</f>
        <v>0.87820512820512819</v>
      </c>
    </row>
    <row r="7" spans="1:15" x14ac:dyDescent="0.25">
      <c r="A7" t="str">
        <f t="shared" si="0"/>
        <v>IRDS211</v>
      </c>
      <c r="B7" s="39" t="s">
        <v>66</v>
      </c>
      <c r="C7" s="39" t="s">
        <v>96</v>
      </c>
      <c r="D7" s="39" t="s">
        <v>501</v>
      </c>
      <c r="E7" s="39" t="s">
        <v>531</v>
      </c>
      <c r="F7" s="39" t="s">
        <v>532</v>
      </c>
      <c r="G7" s="39" t="s">
        <v>28</v>
      </c>
      <c r="H7" s="39" t="s">
        <v>29</v>
      </c>
      <c r="I7" s="39" t="e">
        <f>VLOOKUP(E7,#REF!,3,FALSE)</f>
        <v>#REF!</v>
      </c>
      <c r="J7" s="39" t="s">
        <v>1167</v>
      </c>
      <c r="L7" s="41" t="s">
        <v>28</v>
      </c>
      <c r="M7" s="40">
        <f>COUNTIFS(G:G,L7)</f>
        <v>129</v>
      </c>
      <c r="N7" s="40">
        <f>COUNTIFS(G:G,L7,J:J,"Yes")</f>
        <v>126</v>
      </c>
      <c r="O7" s="42">
        <f>N7/M7</f>
        <v>0.97674418604651159</v>
      </c>
    </row>
    <row r="8" spans="1:15" x14ac:dyDescent="0.25">
      <c r="A8" t="str">
        <f t="shared" si="0"/>
        <v>IRDS122/BPA225</v>
      </c>
      <c r="B8" s="39" t="s">
        <v>66</v>
      </c>
      <c r="C8" s="39" t="s">
        <v>140</v>
      </c>
      <c r="D8" s="39" t="s">
        <v>313</v>
      </c>
      <c r="E8" s="39" t="s">
        <v>314</v>
      </c>
      <c r="F8" s="39" t="s">
        <v>315</v>
      </c>
      <c r="G8" s="39" t="s">
        <v>28</v>
      </c>
      <c r="H8" s="39" t="s">
        <v>65</v>
      </c>
      <c r="I8" s="39" t="e">
        <f>VLOOKUP(E8,#REF!,3,FALSE)</f>
        <v>#REF!</v>
      </c>
      <c r="J8" s="39" t="s">
        <v>1167</v>
      </c>
      <c r="L8" s="41" t="s">
        <v>19</v>
      </c>
      <c r="M8" s="40">
        <f>COUNTIFS(G:G,L8)</f>
        <v>137</v>
      </c>
      <c r="N8" s="40">
        <f>COUNTIFS(G:G,L8,J:J,"Yes")</f>
        <v>130</v>
      </c>
      <c r="O8" s="42">
        <f>N8/M8</f>
        <v>0.94890510948905105</v>
      </c>
    </row>
    <row r="9" spans="1:15" x14ac:dyDescent="0.25">
      <c r="A9" t="str">
        <f t="shared" si="0"/>
        <v>MED723</v>
      </c>
      <c r="B9" s="39" t="s">
        <v>781</v>
      </c>
      <c r="C9" s="39" t="s">
        <v>96</v>
      </c>
      <c r="D9" s="39" t="s">
        <v>850</v>
      </c>
      <c r="E9" s="39" t="s">
        <v>876</v>
      </c>
      <c r="F9" s="39" t="s">
        <v>877</v>
      </c>
      <c r="G9" s="39" t="s">
        <v>28</v>
      </c>
      <c r="H9" s="39" t="s">
        <v>70</v>
      </c>
      <c r="I9" s="39" t="e">
        <f>VLOOKUP(E9,#REF!,3,FALSE)</f>
        <v>#REF!</v>
      </c>
      <c r="J9" s="39" t="s">
        <v>1171</v>
      </c>
    </row>
    <row r="10" spans="1:15" x14ac:dyDescent="0.25">
      <c r="A10" t="str">
        <f t="shared" si="0"/>
        <v>BSF323</v>
      </c>
      <c r="B10" s="39" t="s">
        <v>66</v>
      </c>
      <c r="C10" s="39" t="s">
        <v>10</v>
      </c>
      <c r="D10" s="39" t="s">
        <v>441</v>
      </c>
      <c r="E10" s="39" t="s">
        <v>442</v>
      </c>
      <c r="F10" s="39" t="s">
        <v>443</v>
      </c>
      <c r="G10" s="39" t="s">
        <v>19</v>
      </c>
      <c r="H10" s="39" t="s">
        <v>287</v>
      </c>
      <c r="I10" s="39" t="e">
        <f>VLOOKUP(E10,#REF!,3,FALSE)</f>
        <v>#REF!</v>
      </c>
      <c r="J10" s="39" t="s">
        <v>1167</v>
      </c>
    </row>
    <row r="11" spans="1:15" x14ac:dyDescent="0.25">
      <c r="A11" t="str">
        <f t="shared" si="0"/>
        <v>BBA223</v>
      </c>
      <c r="B11" s="39" t="s">
        <v>66</v>
      </c>
      <c r="C11" s="39" t="s">
        <v>47</v>
      </c>
      <c r="D11" s="39" t="s">
        <v>251</v>
      </c>
      <c r="E11" s="39" t="s">
        <v>511</v>
      </c>
      <c r="F11" s="39" t="s">
        <v>512</v>
      </c>
      <c r="G11" s="39" t="s">
        <v>19</v>
      </c>
      <c r="H11" s="39" t="s">
        <v>237</v>
      </c>
      <c r="I11" s="39" t="e">
        <f>VLOOKUP(E11,#REF!,3,FALSE)</f>
        <v>#REF!</v>
      </c>
      <c r="J11" s="39" t="s">
        <v>1167</v>
      </c>
    </row>
    <row r="12" spans="1:15" x14ac:dyDescent="0.25">
      <c r="A12" t="str">
        <f t="shared" si="0"/>
        <v>MBA711/MPM715</v>
      </c>
      <c r="B12" s="39" t="s">
        <v>781</v>
      </c>
      <c r="C12" s="39" t="s">
        <v>47</v>
      </c>
      <c r="D12" s="39" t="s">
        <v>863</v>
      </c>
      <c r="E12" s="39" t="s">
        <v>864</v>
      </c>
      <c r="F12" s="39" t="s">
        <v>865</v>
      </c>
      <c r="G12" s="39" t="s">
        <v>14</v>
      </c>
      <c r="H12" s="39" t="s">
        <v>46</v>
      </c>
      <c r="I12" s="39" t="e">
        <f>VLOOKUP(E12,#REF!,3,FALSE)</f>
        <v>#REF!</v>
      </c>
      <c r="J12" s="39" t="s">
        <v>1167</v>
      </c>
    </row>
    <row r="13" spans="1:15" x14ac:dyDescent="0.25">
      <c r="A13" t="str">
        <f t="shared" si="0"/>
        <v>MBF813</v>
      </c>
      <c r="B13" s="39" t="s">
        <v>781</v>
      </c>
      <c r="C13" s="39" t="s">
        <v>96</v>
      </c>
      <c r="D13" s="39" t="s">
        <v>914</v>
      </c>
      <c r="E13" s="39" t="s">
        <v>915</v>
      </c>
      <c r="F13" s="39" t="s">
        <v>916</v>
      </c>
      <c r="G13" s="39" t="s">
        <v>19</v>
      </c>
      <c r="H13" s="39" t="s">
        <v>792</v>
      </c>
      <c r="I13" s="39" t="e">
        <f>VLOOKUP(E13,#REF!,3,FALSE)</f>
        <v>#REF!</v>
      </c>
      <c r="J13" s="39" t="s">
        <v>1167</v>
      </c>
    </row>
    <row r="14" spans="1:15" x14ac:dyDescent="0.25">
      <c r="A14" t="str">
        <f t="shared" si="0"/>
        <v>BBA223</v>
      </c>
      <c r="B14" s="39" t="s">
        <v>781</v>
      </c>
      <c r="C14" s="39" t="s">
        <v>140</v>
      </c>
      <c r="D14" s="39" t="s">
        <v>919</v>
      </c>
      <c r="E14" s="39" t="s">
        <v>511</v>
      </c>
      <c r="F14" s="39" t="s">
        <v>512</v>
      </c>
      <c r="G14" s="39" t="s">
        <v>19</v>
      </c>
      <c r="H14" s="39" t="s">
        <v>83</v>
      </c>
      <c r="I14" s="39" t="e">
        <f>VLOOKUP(E14,#REF!,3,FALSE)</f>
        <v>#REF!</v>
      </c>
      <c r="J14" s="39" t="s">
        <v>1167</v>
      </c>
    </row>
    <row r="15" spans="1:15" x14ac:dyDescent="0.25">
      <c r="A15" t="str">
        <f t="shared" si="0"/>
        <v>MSS722</v>
      </c>
      <c r="B15" s="39" t="s">
        <v>812</v>
      </c>
      <c r="C15" s="39" t="s">
        <v>10</v>
      </c>
      <c r="D15" s="39" t="s">
        <v>819</v>
      </c>
      <c r="E15" s="39" t="s">
        <v>853</v>
      </c>
      <c r="F15" s="39" t="s">
        <v>854</v>
      </c>
      <c r="G15" s="39" t="s">
        <v>28</v>
      </c>
      <c r="H15" s="39" t="s">
        <v>70</v>
      </c>
      <c r="I15" s="39" t="e">
        <f>VLOOKUP(E15,#REF!,3,FALSE)</f>
        <v>#REF!</v>
      </c>
      <c r="J15" s="39" t="s">
        <v>1167</v>
      </c>
    </row>
    <row r="16" spans="1:15" x14ac:dyDescent="0.25">
      <c r="A16" t="str">
        <f t="shared" si="0"/>
        <v>MSS712</v>
      </c>
      <c r="B16" s="39" t="s">
        <v>812</v>
      </c>
      <c r="C16" s="39" t="s">
        <v>47</v>
      </c>
      <c r="D16" s="39" t="s">
        <v>1004</v>
      </c>
      <c r="E16" s="39" t="s">
        <v>1005</v>
      </c>
      <c r="F16" s="39" t="s">
        <v>1006</v>
      </c>
      <c r="G16" s="39" t="s">
        <v>28</v>
      </c>
      <c r="H16" s="39" t="s">
        <v>51</v>
      </c>
      <c r="I16" s="39" t="e">
        <f>VLOOKUP(E16,#REF!,3,FALSE)</f>
        <v>#REF!</v>
      </c>
      <c r="J16" s="39" t="s">
        <v>1167</v>
      </c>
    </row>
    <row r="17" spans="1:10" x14ac:dyDescent="0.25">
      <c r="A17" t="str">
        <f t="shared" si="0"/>
        <v>MIR711</v>
      </c>
      <c r="B17" s="39" t="s">
        <v>812</v>
      </c>
      <c r="C17" s="39" t="s">
        <v>96</v>
      </c>
      <c r="D17" s="39" t="s">
        <v>1004</v>
      </c>
      <c r="E17" s="39" t="s">
        <v>1036</v>
      </c>
      <c r="F17" s="39" t="s">
        <v>1037</v>
      </c>
      <c r="G17" s="39" t="s">
        <v>28</v>
      </c>
      <c r="H17" s="39" t="s">
        <v>51</v>
      </c>
      <c r="I17" s="39" t="e">
        <f>VLOOKUP(E17,#REF!,3,FALSE)</f>
        <v>#REF!</v>
      </c>
      <c r="J17" s="39" t="s">
        <v>1167</v>
      </c>
    </row>
    <row r="18" spans="1:10" x14ac:dyDescent="0.25">
      <c r="A18" t="str">
        <f t="shared" si="0"/>
        <v>MSS721</v>
      </c>
      <c r="B18" s="39" t="s">
        <v>812</v>
      </c>
      <c r="C18" s="39" t="s">
        <v>140</v>
      </c>
      <c r="D18" s="39" t="s">
        <v>819</v>
      </c>
      <c r="E18" s="39" t="s">
        <v>897</v>
      </c>
      <c r="F18" s="39" t="s">
        <v>898</v>
      </c>
      <c r="G18" s="39" t="s">
        <v>28</v>
      </c>
      <c r="H18" s="39" t="s">
        <v>70</v>
      </c>
      <c r="I18" s="39" t="e">
        <f>VLOOKUP(E18,#REF!,3,FALSE)</f>
        <v>#REF!</v>
      </c>
      <c r="J18" s="39" t="s">
        <v>1167</v>
      </c>
    </row>
    <row r="19" spans="1:10" x14ac:dyDescent="0.25">
      <c r="A19" t="str">
        <f t="shared" si="0"/>
        <v>PLM324</v>
      </c>
      <c r="B19" s="39" t="s">
        <v>170</v>
      </c>
      <c r="C19" s="39" t="s">
        <v>10</v>
      </c>
      <c r="D19" s="39" t="s">
        <v>187</v>
      </c>
      <c r="E19" s="39" t="s">
        <v>188</v>
      </c>
      <c r="F19" s="39" t="s">
        <v>189</v>
      </c>
      <c r="G19" s="39" t="s">
        <v>19</v>
      </c>
      <c r="H19" s="39" t="s">
        <v>24</v>
      </c>
      <c r="I19" s="39" t="e">
        <f>VLOOKUP(E19,#REF!,3,FALSE)</f>
        <v>#REF!</v>
      </c>
      <c r="J19" s="39" t="s">
        <v>1167</v>
      </c>
    </row>
    <row r="20" spans="1:10" x14ac:dyDescent="0.25">
      <c r="A20" t="str">
        <f t="shared" si="0"/>
        <v>BBA313</v>
      </c>
      <c r="B20" s="39" t="s">
        <v>170</v>
      </c>
      <c r="C20" s="39" t="s">
        <v>47</v>
      </c>
      <c r="D20" s="39" t="s">
        <v>210</v>
      </c>
      <c r="E20" s="39" t="s">
        <v>211</v>
      </c>
      <c r="F20" s="39" t="s">
        <v>212</v>
      </c>
      <c r="G20" s="39" t="s">
        <v>19</v>
      </c>
      <c r="H20" s="39" t="s">
        <v>83</v>
      </c>
      <c r="I20" s="39" t="e">
        <f>VLOOKUP(E20,#REF!,3,FALSE)</f>
        <v>#REF!</v>
      </c>
      <c r="J20" s="39" t="s">
        <v>1167</v>
      </c>
    </row>
    <row r="21" spans="1:10" x14ac:dyDescent="0.25">
      <c r="A21" t="str">
        <f t="shared" si="0"/>
        <v>PLM318</v>
      </c>
      <c r="B21" s="39" t="s">
        <v>170</v>
      </c>
      <c r="C21" s="39" t="s">
        <v>140</v>
      </c>
      <c r="D21" s="39" t="s">
        <v>276</v>
      </c>
      <c r="E21" s="39" t="s">
        <v>1172</v>
      </c>
      <c r="F21" s="39" t="s">
        <v>278</v>
      </c>
      <c r="G21" s="39" t="s">
        <v>19</v>
      </c>
      <c r="H21" s="39" t="s">
        <v>79</v>
      </c>
      <c r="I21" s="39" t="e">
        <f>VLOOKUP(E21,#REF!,3,FALSE)</f>
        <v>#REF!</v>
      </c>
      <c r="J21" s="39" t="s">
        <v>1167</v>
      </c>
    </row>
    <row r="22" spans="1:10" x14ac:dyDescent="0.25">
      <c r="A22" t="str">
        <f t="shared" si="0"/>
        <v>PLM319</v>
      </c>
      <c r="B22" s="39" t="s">
        <v>216</v>
      </c>
      <c r="C22" s="39" t="s">
        <v>10</v>
      </c>
      <c r="D22" s="39" t="s">
        <v>276</v>
      </c>
      <c r="E22" s="39" t="s">
        <v>1173</v>
      </c>
      <c r="F22" s="39" t="s">
        <v>1174</v>
      </c>
      <c r="G22" s="39" t="s">
        <v>19</v>
      </c>
      <c r="H22" s="39" t="s">
        <v>24</v>
      </c>
      <c r="I22" s="39" t="e">
        <f>VLOOKUP(E22,#REF!,3,FALSE)</f>
        <v>#REF!</v>
      </c>
      <c r="J22" s="39" t="s">
        <v>1171</v>
      </c>
    </row>
    <row r="23" spans="1:10" x14ac:dyDescent="0.25">
      <c r="A23" t="str">
        <f t="shared" si="0"/>
        <v>BBA113/DBA113</v>
      </c>
      <c r="B23" s="39" t="s">
        <v>56</v>
      </c>
      <c r="C23" s="39" t="s">
        <v>10</v>
      </c>
      <c r="D23" s="39" t="s">
        <v>1175</v>
      </c>
      <c r="E23" s="39" t="s">
        <v>316</v>
      </c>
      <c r="F23" s="39" t="s">
        <v>317</v>
      </c>
      <c r="G23" s="39" t="s">
        <v>19</v>
      </c>
      <c r="H23" s="39" t="s">
        <v>237</v>
      </c>
      <c r="I23" s="39" t="e">
        <f>VLOOKUP(E23,#REF!,3,FALSE)</f>
        <v>#REF!</v>
      </c>
      <c r="J23" s="39" t="s">
        <v>1167</v>
      </c>
    </row>
    <row r="24" spans="1:10" x14ac:dyDescent="0.25">
      <c r="A24" t="str">
        <f t="shared" si="0"/>
        <v>BBA311/DBA127</v>
      </c>
      <c r="B24" s="39" t="s">
        <v>56</v>
      </c>
      <c r="C24" s="39" t="s">
        <v>47</v>
      </c>
      <c r="D24" s="39" t="s">
        <v>221</v>
      </c>
      <c r="E24" s="39" t="s">
        <v>346</v>
      </c>
      <c r="F24" s="39" t="s">
        <v>347</v>
      </c>
      <c r="G24" s="39" t="s">
        <v>19</v>
      </c>
      <c r="H24" s="39" t="s">
        <v>112</v>
      </c>
      <c r="I24" s="39" t="e">
        <f>VLOOKUP(E24,#REF!,3,FALSE)</f>
        <v>#REF!</v>
      </c>
      <c r="J24" s="39" t="s">
        <v>1167</v>
      </c>
    </row>
    <row r="25" spans="1:10" x14ac:dyDescent="0.25">
      <c r="A25" t="str">
        <f t="shared" si="0"/>
        <v>BBA113/DBA113</v>
      </c>
      <c r="B25" s="39" t="s">
        <v>56</v>
      </c>
      <c r="C25" s="39" t="s">
        <v>96</v>
      </c>
      <c r="D25" s="39" t="s">
        <v>1176</v>
      </c>
      <c r="E25" s="39" t="s">
        <v>316</v>
      </c>
      <c r="F25" s="39" t="s">
        <v>317</v>
      </c>
      <c r="G25" s="39" t="s">
        <v>19</v>
      </c>
      <c r="H25" s="39" t="s">
        <v>20</v>
      </c>
      <c r="I25" s="39" t="e">
        <f>VLOOKUP(E25,#REF!,3,FALSE)</f>
        <v>#REF!</v>
      </c>
      <c r="J25" s="39" t="s">
        <v>1167</v>
      </c>
    </row>
    <row r="26" spans="1:10" x14ac:dyDescent="0.25">
      <c r="A26" t="str">
        <f t="shared" si="0"/>
        <v>BBA113/DBA113</v>
      </c>
      <c r="B26" s="39" t="s">
        <v>812</v>
      </c>
      <c r="C26" s="39" t="s">
        <v>10</v>
      </c>
      <c r="D26" s="39" t="s">
        <v>784</v>
      </c>
      <c r="E26" s="39" t="s">
        <v>316</v>
      </c>
      <c r="F26" s="39" t="s">
        <v>317</v>
      </c>
      <c r="G26" s="39" t="s">
        <v>19</v>
      </c>
      <c r="H26" s="39" t="s">
        <v>20</v>
      </c>
      <c r="I26" s="39" t="e">
        <f>VLOOKUP(E26,#REF!,3,FALSE)</f>
        <v>#REF!</v>
      </c>
      <c r="J26" s="39" t="s">
        <v>1167</v>
      </c>
    </row>
    <row r="27" spans="1:10" x14ac:dyDescent="0.25">
      <c r="A27" t="str">
        <f t="shared" si="0"/>
        <v>MBA716</v>
      </c>
      <c r="B27" s="39" t="s">
        <v>812</v>
      </c>
      <c r="C27" s="39" t="s">
        <v>96</v>
      </c>
      <c r="D27" s="39" t="s">
        <v>1001</v>
      </c>
      <c r="E27" s="39" t="s">
        <v>1002</v>
      </c>
      <c r="F27" s="39" t="s">
        <v>381</v>
      </c>
      <c r="G27" s="39" t="s">
        <v>19</v>
      </c>
      <c r="H27" s="39" t="s">
        <v>20</v>
      </c>
      <c r="I27" s="39" t="e">
        <f>VLOOKUP(E27,#REF!,3,FALSE)</f>
        <v>#REF!</v>
      </c>
      <c r="J27" s="39" t="s">
        <v>1167</v>
      </c>
    </row>
    <row r="28" spans="1:10" x14ac:dyDescent="0.25">
      <c r="A28" t="str">
        <f t="shared" si="0"/>
        <v>BBA311/DBA127</v>
      </c>
      <c r="B28" s="39" t="s">
        <v>812</v>
      </c>
      <c r="C28" s="39" t="s">
        <v>140</v>
      </c>
      <c r="D28" s="39" t="s">
        <v>811</v>
      </c>
      <c r="E28" s="39" t="s">
        <v>346</v>
      </c>
      <c r="F28" s="39" t="s">
        <v>347</v>
      </c>
      <c r="G28" s="39" t="s">
        <v>19</v>
      </c>
      <c r="H28" s="39" t="s">
        <v>237</v>
      </c>
      <c r="I28" s="39" t="e">
        <f>VLOOKUP(E28,#REF!,3,FALSE)</f>
        <v>#REF!</v>
      </c>
      <c r="J28" s="39" t="s">
        <v>1167</v>
      </c>
    </row>
    <row r="29" spans="1:10" x14ac:dyDescent="0.25">
      <c r="A29" t="str">
        <f t="shared" si="0"/>
        <v>BIT311</v>
      </c>
      <c r="B29" s="39" t="s">
        <v>9</v>
      </c>
      <c r="C29" s="39" t="s">
        <v>96</v>
      </c>
      <c r="D29" s="39" t="s">
        <v>48</v>
      </c>
      <c r="E29" s="39" t="s">
        <v>49</v>
      </c>
      <c r="F29" s="39" t="s">
        <v>50</v>
      </c>
      <c r="G29" s="39" t="s">
        <v>14</v>
      </c>
      <c r="H29" s="39" t="s">
        <v>51</v>
      </c>
      <c r="I29" s="39" t="e">
        <f>VLOOKUP(E29,#REF!,3,FALSE)</f>
        <v>#REF!</v>
      </c>
      <c r="J29" s="39" t="s">
        <v>1167</v>
      </c>
    </row>
    <row r="30" spans="1:10" x14ac:dyDescent="0.25">
      <c r="A30" t="str">
        <f t="shared" si="0"/>
        <v>BIT321/BSE427</v>
      </c>
      <c r="B30" s="39" t="s">
        <v>170</v>
      </c>
      <c r="C30" s="39" t="s">
        <v>47</v>
      </c>
      <c r="D30" s="39" t="s">
        <v>1177</v>
      </c>
      <c r="E30" s="39" t="s">
        <v>1178</v>
      </c>
      <c r="F30" s="39" t="s">
        <v>627</v>
      </c>
      <c r="G30" s="39" t="s">
        <v>14</v>
      </c>
      <c r="H30" s="39" t="s">
        <v>51</v>
      </c>
      <c r="I30" s="39" t="e">
        <f>VLOOKUP(E30,#REF!,3,FALSE)</f>
        <v>#REF!</v>
      </c>
      <c r="J30" s="39" t="s">
        <v>1167</v>
      </c>
    </row>
    <row r="31" spans="1:10" x14ac:dyDescent="0.25">
      <c r="A31" t="str">
        <f t="shared" si="0"/>
        <v>MIT718</v>
      </c>
      <c r="B31" s="39" t="s">
        <v>781</v>
      </c>
      <c r="C31" s="39" t="s">
        <v>47</v>
      </c>
      <c r="D31" s="39" t="s">
        <v>1179</v>
      </c>
      <c r="E31" s="39" t="s">
        <v>1180</v>
      </c>
      <c r="F31" s="39" t="s">
        <v>1181</v>
      </c>
      <c r="G31" s="39" t="s">
        <v>14</v>
      </c>
      <c r="H31" s="39" t="s">
        <v>792</v>
      </c>
      <c r="I31" s="39" t="e">
        <f>VLOOKUP(E31,#REF!,3,FALSE)</f>
        <v>#REF!</v>
      </c>
      <c r="J31" s="39" t="s">
        <v>1167</v>
      </c>
    </row>
    <row r="32" spans="1:10" x14ac:dyDescent="0.25">
      <c r="A32" t="str">
        <f t="shared" si="0"/>
        <v>MIT727</v>
      </c>
      <c r="B32" s="39" t="s">
        <v>781</v>
      </c>
      <c r="C32" s="39" t="s">
        <v>96</v>
      </c>
      <c r="D32" s="39" t="s">
        <v>1182</v>
      </c>
      <c r="E32" s="39" t="s">
        <v>1183</v>
      </c>
      <c r="F32" s="39" t="s">
        <v>1184</v>
      </c>
      <c r="G32" s="39" t="s">
        <v>14</v>
      </c>
      <c r="H32" s="39" t="s">
        <v>241</v>
      </c>
      <c r="I32" s="39" t="e">
        <f>VLOOKUP(E32,#REF!,3,FALSE)</f>
        <v>#REF!</v>
      </c>
      <c r="J32" s="39" t="s">
        <v>1167</v>
      </c>
    </row>
    <row r="33" spans="1:10" x14ac:dyDescent="0.25">
      <c r="A33" t="str">
        <f t="shared" si="0"/>
        <v>BBA112/DBA112</v>
      </c>
      <c r="B33" s="39" t="s">
        <v>9</v>
      </c>
      <c r="C33" s="39" t="s">
        <v>10</v>
      </c>
      <c r="D33" s="39" t="s">
        <v>1185</v>
      </c>
      <c r="E33" s="39" t="s">
        <v>17</v>
      </c>
      <c r="F33" s="39" t="s">
        <v>18</v>
      </c>
      <c r="G33" s="39" t="s">
        <v>19</v>
      </c>
      <c r="H33" s="39" t="s">
        <v>20</v>
      </c>
      <c r="I33" s="39" t="e">
        <f>VLOOKUP(E33,#REF!,3,FALSE)</f>
        <v>#REF!</v>
      </c>
      <c r="J33" s="39" t="s">
        <v>1167</v>
      </c>
    </row>
    <row r="34" spans="1:10" x14ac:dyDescent="0.25">
      <c r="A34" t="str">
        <f t="shared" si="0"/>
        <v>BBA325</v>
      </c>
      <c r="B34" s="39" t="s">
        <v>9</v>
      </c>
      <c r="C34" s="39" t="s">
        <v>47</v>
      </c>
      <c r="D34" s="39" t="s">
        <v>52</v>
      </c>
      <c r="E34" s="39" t="s">
        <v>53</v>
      </c>
      <c r="F34" s="39" t="s">
        <v>54</v>
      </c>
      <c r="G34" s="39" t="s">
        <v>19</v>
      </c>
      <c r="H34" s="39" t="s">
        <v>55</v>
      </c>
      <c r="I34" s="39" t="e">
        <f>VLOOKUP(E34,#REF!,3,FALSE)</f>
        <v>#REF!</v>
      </c>
      <c r="J34" s="39" t="s">
        <v>1167</v>
      </c>
    </row>
    <row r="35" spans="1:10" x14ac:dyDescent="0.25">
      <c r="A35" t="str">
        <f t="shared" si="0"/>
        <v>HRM312</v>
      </c>
      <c r="B35" s="39" t="s">
        <v>56</v>
      </c>
      <c r="C35" s="39" t="s">
        <v>10</v>
      </c>
      <c r="D35" s="39" t="s">
        <v>229</v>
      </c>
      <c r="E35" s="39" t="s">
        <v>615</v>
      </c>
      <c r="F35" s="39" t="s">
        <v>616</v>
      </c>
      <c r="G35" s="39" t="s">
        <v>19</v>
      </c>
      <c r="H35" s="39" t="s">
        <v>83</v>
      </c>
      <c r="I35" s="39" t="e">
        <f>VLOOKUP(E35,#REF!,3,FALSE)</f>
        <v>#REF!</v>
      </c>
      <c r="J35" s="39" t="s">
        <v>1167</v>
      </c>
    </row>
    <row r="36" spans="1:10" x14ac:dyDescent="0.25">
      <c r="A36" t="str">
        <f t="shared" si="0"/>
        <v>BBA112/DBA112</v>
      </c>
      <c r="B36" s="39" t="s">
        <v>56</v>
      </c>
      <c r="C36" s="39" t="s">
        <v>47</v>
      </c>
      <c r="D36" s="39" t="s">
        <v>1175</v>
      </c>
      <c r="E36" s="39" t="s">
        <v>17</v>
      </c>
      <c r="F36" s="39" t="s">
        <v>18</v>
      </c>
      <c r="G36" s="39" t="s">
        <v>19</v>
      </c>
      <c r="H36" s="39" t="s">
        <v>20</v>
      </c>
      <c r="I36" s="39" t="e">
        <f>VLOOKUP(E36,#REF!,3,FALSE)</f>
        <v>#REF!</v>
      </c>
      <c r="J36" s="39" t="s">
        <v>1167</v>
      </c>
    </row>
    <row r="37" spans="1:10" x14ac:dyDescent="0.25">
      <c r="A37" t="str">
        <f t="shared" si="0"/>
        <v>BBA112/DBA112</v>
      </c>
      <c r="B37" s="39" t="s">
        <v>781</v>
      </c>
      <c r="C37" s="39" t="s">
        <v>10</v>
      </c>
      <c r="D37" s="39" t="s">
        <v>784</v>
      </c>
      <c r="E37" s="39" t="s">
        <v>17</v>
      </c>
      <c r="F37" s="39" t="s">
        <v>18</v>
      </c>
      <c r="G37" s="39" t="s">
        <v>19</v>
      </c>
      <c r="H37" s="39" t="s">
        <v>20</v>
      </c>
      <c r="I37" s="39" t="e">
        <f>VLOOKUP(E37,#REF!,3,FALSE)</f>
        <v>#REF!</v>
      </c>
      <c r="J37" s="39" t="s">
        <v>1167</v>
      </c>
    </row>
    <row r="38" spans="1:10" x14ac:dyDescent="0.25">
      <c r="A38" t="str">
        <f t="shared" si="0"/>
        <v>BAC215</v>
      </c>
      <c r="B38" s="39" t="s">
        <v>216</v>
      </c>
      <c r="C38" s="39" t="s">
        <v>10</v>
      </c>
      <c r="D38" s="39" t="s">
        <v>438</v>
      </c>
      <c r="E38" s="39" t="s">
        <v>628</v>
      </c>
      <c r="F38" s="39" t="s">
        <v>629</v>
      </c>
      <c r="G38" s="39" t="s">
        <v>19</v>
      </c>
      <c r="H38" s="39" t="s">
        <v>20</v>
      </c>
      <c r="I38" s="39" t="e">
        <f>VLOOKUP(E38,#REF!,3,FALSE)</f>
        <v>#REF!</v>
      </c>
      <c r="J38" s="39" t="s">
        <v>1167</v>
      </c>
    </row>
    <row r="39" spans="1:10" x14ac:dyDescent="0.25">
      <c r="A39" t="str">
        <f t="shared" si="0"/>
        <v>BAC314</v>
      </c>
      <c r="B39" s="39" t="s">
        <v>216</v>
      </c>
      <c r="C39" s="39" t="s">
        <v>47</v>
      </c>
      <c r="D39" s="39" t="s">
        <v>535</v>
      </c>
      <c r="E39" s="39" t="s">
        <v>661</v>
      </c>
      <c r="F39" s="39" t="s">
        <v>662</v>
      </c>
      <c r="G39" s="39" t="s">
        <v>19</v>
      </c>
      <c r="H39" s="39" t="s">
        <v>287</v>
      </c>
      <c r="I39" s="39" t="e">
        <f>VLOOKUP(E39,#REF!,3,FALSE)</f>
        <v>#REF!</v>
      </c>
      <c r="J39" s="39" t="s">
        <v>1167</v>
      </c>
    </row>
    <row r="40" spans="1:10" x14ac:dyDescent="0.25">
      <c r="A40" t="str">
        <f t="shared" si="0"/>
        <v>BBF311</v>
      </c>
      <c r="B40" s="39" t="s">
        <v>216</v>
      </c>
      <c r="C40" s="39" t="s">
        <v>96</v>
      </c>
      <c r="D40" s="39" t="s">
        <v>688</v>
      </c>
      <c r="E40" s="39" t="s">
        <v>707</v>
      </c>
      <c r="F40" s="39" t="s">
        <v>708</v>
      </c>
      <c r="G40" s="39" t="s">
        <v>19</v>
      </c>
      <c r="H40" s="39" t="s">
        <v>83</v>
      </c>
      <c r="I40" s="39" t="e">
        <f>VLOOKUP(E40,#REF!,3,FALSE)</f>
        <v>#REF!</v>
      </c>
      <c r="J40" s="39" t="s">
        <v>1167</v>
      </c>
    </row>
    <row r="41" spans="1:10" x14ac:dyDescent="0.25">
      <c r="A41" t="str">
        <f t="shared" si="0"/>
        <v>BBF322</v>
      </c>
      <c r="B41" s="39" t="s">
        <v>216</v>
      </c>
      <c r="C41" s="39" t="s">
        <v>140</v>
      </c>
      <c r="D41" s="39" t="s">
        <v>1186</v>
      </c>
      <c r="E41" s="39" t="s">
        <v>744</v>
      </c>
      <c r="F41" s="39" t="s">
        <v>745</v>
      </c>
      <c r="G41" s="39" t="s">
        <v>19</v>
      </c>
      <c r="H41" s="39" t="s">
        <v>20</v>
      </c>
      <c r="I41" s="39" t="e">
        <f>VLOOKUP(E41,#REF!,3,FALSE)</f>
        <v>#REF!</v>
      </c>
      <c r="J41" s="39" t="s">
        <v>1167</v>
      </c>
    </row>
    <row r="42" spans="1:10" x14ac:dyDescent="0.25">
      <c r="A42" t="str">
        <f t="shared" si="0"/>
        <v>BAC215</v>
      </c>
      <c r="B42" s="39" t="s">
        <v>781</v>
      </c>
      <c r="C42" s="39" t="s">
        <v>10</v>
      </c>
      <c r="D42" s="39" t="s">
        <v>785</v>
      </c>
      <c r="E42" s="39" t="s">
        <v>628</v>
      </c>
      <c r="F42" s="39" t="s">
        <v>629</v>
      </c>
      <c r="G42" s="39" t="s">
        <v>19</v>
      </c>
      <c r="H42" s="39" t="s">
        <v>79</v>
      </c>
      <c r="I42" s="39" t="e">
        <f>VLOOKUP(E42,#REF!,3,FALSE)</f>
        <v>#REF!</v>
      </c>
      <c r="J42" s="39" t="s">
        <v>1167</v>
      </c>
    </row>
    <row r="43" spans="1:10" x14ac:dyDescent="0.25">
      <c r="A43" t="str">
        <f t="shared" si="0"/>
        <v>BAC314</v>
      </c>
      <c r="B43" s="39" t="s">
        <v>781</v>
      </c>
      <c r="C43" s="39" t="s">
        <v>47</v>
      </c>
      <c r="D43" s="39" t="s">
        <v>535</v>
      </c>
      <c r="E43" s="39" t="s">
        <v>661</v>
      </c>
      <c r="F43" s="39" t="s">
        <v>662</v>
      </c>
      <c r="G43" s="39" t="s">
        <v>19</v>
      </c>
      <c r="H43" s="39" t="s">
        <v>79</v>
      </c>
      <c r="I43" s="39" t="e">
        <f>VLOOKUP(E43,#REF!,3,FALSE)</f>
        <v>#REF!</v>
      </c>
      <c r="J43" s="39" t="s">
        <v>1167</v>
      </c>
    </row>
    <row r="44" spans="1:10" x14ac:dyDescent="0.25">
      <c r="A44" t="str">
        <f t="shared" si="0"/>
        <v>EHS313</v>
      </c>
      <c r="B44" s="39" t="s">
        <v>216</v>
      </c>
      <c r="C44" s="39" t="s">
        <v>10</v>
      </c>
      <c r="D44" s="39" t="s">
        <v>476</v>
      </c>
      <c r="E44" s="39" t="s">
        <v>630</v>
      </c>
      <c r="F44" s="39" t="s">
        <v>631</v>
      </c>
      <c r="G44" s="39" t="s">
        <v>14</v>
      </c>
      <c r="H44" s="39" t="s">
        <v>65</v>
      </c>
      <c r="I44" s="39" t="e">
        <f>VLOOKUP(E44,#REF!,3,FALSE)</f>
        <v>#REF!</v>
      </c>
      <c r="J44" s="39" t="s">
        <v>1167</v>
      </c>
    </row>
    <row r="45" spans="1:10" x14ac:dyDescent="0.25">
      <c r="A45" t="str">
        <f t="shared" si="0"/>
        <v>BPH314</v>
      </c>
      <c r="B45" s="39" t="s">
        <v>216</v>
      </c>
      <c r="C45" s="39" t="s">
        <v>47</v>
      </c>
      <c r="D45" s="39" t="s">
        <v>476</v>
      </c>
      <c r="E45" s="39" t="s">
        <v>663</v>
      </c>
      <c r="F45" s="39" t="s">
        <v>664</v>
      </c>
      <c r="G45" s="39" t="s">
        <v>14</v>
      </c>
      <c r="H45" s="39" t="s">
        <v>65</v>
      </c>
      <c r="I45" s="39" t="e">
        <f>VLOOKUP(E45,#REF!,3,FALSE)</f>
        <v>#REF!</v>
      </c>
      <c r="J45" s="39" t="s">
        <v>1167</v>
      </c>
    </row>
    <row r="46" spans="1:10" x14ac:dyDescent="0.25">
      <c r="A46" t="str">
        <f t="shared" si="0"/>
        <v>BPH124</v>
      </c>
      <c r="B46" s="39" t="s">
        <v>216</v>
      </c>
      <c r="C46" s="39" t="s">
        <v>96</v>
      </c>
      <c r="D46" s="39" t="s">
        <v>354</v>
      </c>
      <c r="E46" s="39" t="s">
        <v>709</v>
      </c>
      <c r="F46" s="39" t="s">
        <v>710</v>
      </c>
      <c r="G46" s="39" t="s">
        <v>14</v>
      </c>
      <c r="H46" s="39" t="s">
        <v>220</v>
      </c>
      <c r="I46" s="39" t="e">
        <f>VLOOKUP(E46,#REF!,3,FALSE)</f>
        <v>#REF!</v>
      </c>
      <c r="J46" s="39" t="s">
        <v>1167</v>
      </c>
    </row>
    <row r="47" spans="1:10" x14ac:dyDescent="0.25">
      <c r="A47" t="str">
        <f t="shared" si="0"/>
        <v>BPH121</v>
      </c>
      <c r="B47" s="39" t="s">
        <v>216</v>
      </c>
      <c r="C47" s="39" t="s">
        <v>140</v>
      </c>
      <c r="D47" s="39" t="s">
        <v>354</v>
      </c>
      <c r="E47" s="39" t="s">
        <v>746</v>
      </c>
      <c r="F47" s="39" t="s">
        <v>747</v>
      </c>
      <c r="G47" s="39" t="s">
        <v>14</v>
      </c>
      <c r="H47" s="39" t="s">
        <v>220</v>
      </c>
      <c r="I47" s="39" t="e">
        <f>VLOOKUP(E47,#REF!,3,FALSE)</f>
        <v>#REF!</v>
      </c>
      <c r="J47" s="39" t="s">
        <v>1167</v>
      </c>
    </row>
    <row r="48" spans="1:10" x14ac:dyDescent="0.25">
      <c r="A48" t="str">
        <f t="shared" si="0"/>
        <v>EHS313</v>
      </c>
      <c r="B48" s="39" t="s">
        <v>781</v>
      </c>
      <c r="C48" s="39" t="s">
        <v>10</v>
      </c>
      <c r="D48" s="39" t="s">
        <v>786</v>
      </c>
      <c r="E48" s="39" t="s">
        <v>630</v>
      </c>
      <c r="F48" s="39" t="s">
        <v>631</v>
      </c>
      <c r="G48" s="39" t="s">
        <v>14</v>
      </c>
      <c r="H48" s="39" t="s">
        <v>492</v>
      </c>
      <c r="I48" s="39" t="e">
        <f>VLOOKUP(E48,#REF!,3,FALSE)</f>
        <v>#REF!</v>
      </c>
      <c r="J48" s="39" t="s">
        <v>1167</v>
      </c>
    </row>
    <row r="49" spans="1:10" x14ac:dyDescent="0.25">
      <c r="A49" t="str">
        <f t="shared" si="0"/>
        <v>MPH727</v>
      </c>
      <c r="B49" s="39" t="s">
        <v>781</v>
      </c>
      <c r="C49" s="39" t="s">
        <v>96</v>
      </c>
      <c r="D49" s="39" t="s">
        <v>794</v>
      </c>
      <c r="E49" s="39" t="s">
        <v>878</v>
      </c>
      <c r="F49" s="39" t="s">
        <v>879</v>
      </c>
      <c r="G49" s="39" t="s">
        <v>14</v>
      </c>
      <c r="H49" s="39" t="s">
        <v>220</v>
      </c>
      <c r="I49" s="39" t="e">
        <f>VLOOKUP(E49,#REF!,3,FALSE)</f>
        <v>#REF!</v>
      </c>
      <c r="J49" s="39" t="s">
        <v>1167</v>
      </c>
    </row>
    <row r="50" spans="1:10" x14ac:dyDescent="0.25">
      <c r="A50" t="str">
        <f t="shared" si="0"/>
        <v>BPH124</v>
      </c>
      <c r="B50" s="39" t="s">
        <v>781</v>
      </c>
      <c r="C50" s="39" t="s">
        <v>140</v>
      </c>
      <c r="D50" s="39" t="s">
        <v>805</v>
      </c>
      <c r="E50" s="39" t="s">
        <v>709</v>
      </c>
      <c r="F50" s="39" t="s">
        <v>928</v>
      </c>
      <c r="G50" s="39" t="s">
        <v>14</v>
      </c>
      <c r="H50" s="39" t="s">
        <v>103</v>
      </c>
      <c r="I50" s="39" t="e">
        <f>VLOOKUP(E50,#REF!,3,FALSE)</f>
        <v>#REF!</v>
      </c>
      <c r="J50" s="39" t="s">
        <v>1167</v>
      </c>
    </row>
    <row r="51" spans="1:10" x14ac:dyDescent="0.25">
      <c r="A51" t="str">
        <f t="shared" si="0"/>
        <v>BAC313</v>
      </c>
      <c r="B51" s="39" t="s">
        <v>170</v>
      </c>
      <c r="C51" s="39" t="s">
        <v>96</v>
      </c>
      <c r="D51" s="39" t="s">
        <v>535</v>
      </c>
      <c r="E51" s="39" t="s">
        <v>536</v>
      </c>
      <c r="F51" s="39" t="s">
        <v>537</v>
      </c>
      <c r="G51" s="39" t="s">
        <v>19</v>
      </c>
      <c r="H51" s="39" t="s">
        <v>87</v>
      </c>
      <c r="I51" s="39" t="e">
        <f>VLOOKUP(E51,#REF!,3,FALSE)</f>
        <v>#REF!</v>
      </c>
      <c r="J51" s="39" t="s">
        <v>1171</v>
      </c>
    </row>
    <row r="52" spans="1:10" x14ac:dyDescent="0.25">
      <c r="A52" t="str">
        <f t="shared" si="0"/>
        <v>BAC316</v>
      </c>
      <c r="B52" s="39" t="s">
        <v>170</v>
      </c>
      <c r="C52" s="39" t="s">
        <v>140</v>
      </c>
      <c r="D52" s="39" t="s">
        <v>357</v>
      </c>
      <c r="E52" s="39" t="s">
        <v>580</v>
      </c>
      <c r="F52" s="39" t="s">
        <v>581</v>
      </c>
      <c r="G52" s="39" t="s">
        <v>19</v>
      </c>
      <c r="H52" s="39" t="s">
        <v>24</v>
      </c>
      <c r="I52" s="39" t="e">
        <f>VLOOKUP(E52,#REF!,3,FALSE)</f>
        <v>#REF!</v>
      </c>
      <c r="J52" s="39" t="s">
        <v>1171</v>
      </c>
    </row>
    <row r="53" spans="1:10" x14ac:dyDescent="0.25">
      <c r="A53" t="str">
        <f t="shared" si="0"/>
        <v>BAC316</v>
      </c>
      <c r="B53" s="39" t="s">
        <v>812</v>
      </c>
      <c r="C53" s="39" t="s">
        <v>47</v>
      </c>
      <c r="D53" s="39" t="s">
        <v>357</v>
      </c>
      <c r="E53" s="39" t="s">
        <v>580</v>
      </c>
      <c r="F53" s="39" t="s">
        <v>581</v>
      </c>
      <c r="G53" s="39" t="s">
        <v>19</v>
      </c>
      <c r="H53" s="39" t="s">
        <v>287</v>
      </c>
      <c r="I53" s="39" t="e">
        <f>VLOOKUP(E53,#REF!,3,FALSE)</f>
        <v>#REF!</v>
      </c>
      <c r="J53" s="39" t="s">
        <v>1167</v>
      </c>
    </row>
    <row r="54" spans="1:10" x14ac:dyDescent="0.25">
      <c r="A54" t="str">
        <f t="shared" si="0"/>
        <v>BAC313</v>
      </c>
      <c r="B54" s="39" t="s">
        <v>812</v>
      </c>
      <c r="C54" s="39" t="s">
        <v>96</v>
      </c>
      <c r="D54" s="39" t="s">
        <v>535</v>
      </c>
      <c r="E54" s="39" t="s">
        <v>536</v>
      </c>
      <c r="F54" s="39" t="s">
        <v>537</v>
      </c>
      <c r="G54" s="39" t="s">
        <v>19</v>
      </c>
      <c r="H54" s="39" t="s">
        <v>87</v>
      </c>
      <c r="I54" s="39" t="e">
        <f>VLOOKUP(E54,#REF!,3,FALSE)</f>
        <v>#REF!</v>
      </c>
      <c r="J54" s="39" t="s">
        <v>1167</v>
      </c>
    </row>
    <row r="55" spans="1:10" x14ac:dyDescent="0.25">
      <c r="A55" t="str">
        <f t="shared" si="0"/>
        <v>MBF816</v>
      </c>
      <c r="B55" s="39" t="s">
        <v>812</v>
      </c>
      <c r="C55" s="39" t="s">
        <v>140</v>
      </c>
      <c r="D55" s="39" t="s">
        <v>914</v>
      </c>
      <c r="E55" s="39" t="s">
        <v>1051</v>
      </c>
      <c r="F55" s="39" t="s">
        <v>1052</v>
      </c>
      <c r="G55" s="39" t="s">
        <v>19</v>
      </c>
      <c r="H55" s="39" t="s">
        <v>792</v>
      </c>
      <c r="I55" s="39" t="e">
        <f>VLOOKUP(E55,#REF!,3,FALSE)</f>
        <v>#REF!</v>
      </c>
      <c r="J55" s="39" t="s">
        <v>1167</v>
      </c>
    </row>
    <row r="56" spans="1:10" x14ac:dyDescent="0.25">
      <c r="A56" t="str">
        <f t="shared" si="0"/>
        <v>BJC315</v>
      </c>
      <c r="B56" s="39" t="s">
        <v>170</v>
      </c>
      <c r="C56" s="39" t="s">
        <v>96</v>
      </c>
      <c r="D56" s="39" t="s">
        <v>396</v>
      </c>
      <c r="E56" s="39" t="s">
        <v>611</v>
      </c>
      <c r="F56" s="39" t="s">
        <v>612</v>
      </c>
      <c r="G56" s="39" t="s">
        <v>28</v>
      </c>
      <c r="H56" s="39" t="s">
        <v>103</v>
      </c>
      <c r="I56" s="39" t="e">
        <f>VLOOKUP(E56,#REF!,3,FALSE)</f>
        <v>#REF!</v>
      </c>
      <c r="J56" s="39" t="s">
        <v>1167</v>
      </c>
    </row>
    <row r="57" spans="1:10" x14ac:dyDescent="0.25">
      <c r="A57" t="str">
        <f t="shared" si="0"/>
        <v>BJC323</v>
      </c>
      <c r="B57" s="39" t="s">
        <v>170</v>
      </c>
      <c r="C57" s="39" t="s">
        <v>140</v>
      </c>
      <c r="D57" s="39" t="s">
        <v>1187</v>
      </c>
      <c r="E57" s="39" t="s">
        <v>421</v>
      </c>
      <c r="F57" s="39" t="s">
        <v>422</v>
      </c>
      <c r="G57" s="39" t="s">
        <v>28</v>
      </c>
      <c r="H57" s="39" t="s">
        <v>103</v>
      </c>
      <c r="I57" s="39" t="e">
        <f>VLOOKUP(E57,#REF!,3,FALSE)</f>
        <v>#REF!</v>
      </c>
      <c r="J57" s="39" t="s">
        <v>1167</v>
      </c>
    </row>
    <row r="58" spans="1:10" x14ac:dyDescent="0.25">
      <c r="A58" t="str">
        <f t="shared" si="0"/>
        <v>BJC122</v>
      </c>
      <c r="B58" s="39" t="s">
        <v>216</v>
      </c>
      <c r="C58" s="39" t="s">
        <v>10</v>
      </c>
      <c r="D58" s="39" t="s">
        <v>84</v>
      </c>
      <c r="E58" s="39" t="s">
        <v>632</v>
      </c>
      <c r="F58" s="39" t="s">
        <v>633</v>
      </c>
      <c r="G58" s="39" t="s">
        <v>28</v>
      </c>
      <c r="H58" s="39" t="s">
        <v>55</v>
      </c>
      <c r="I58" s="39" t="e">
        <f>VLOOKUP(E58,#REF!,3,FALSE)</f>
        <v>#REF!</v>
      </c>
      <c r="J58" s="39" t="s">
        <v>1167</v>
      </c>
    </row>
    <row r="59" spans="1:10" x14ac:dyDescent="0.25">
      <c r="A59" t="str">
        <f t="shared" si="0"/>
        <v>BJC312</v>
      </c>
      <c r="B59" s="39" t="s">
        <v>216</v>
      </c>
      <c r="C59" s="39" t="s">
        <v>47</v>
      </c>
      <c r="D59" s="39" t="s">
        <v>396</v>
      </c>
      <c r="E59" s="39" t="s">
        <v>665</v>
      </c>
      <c r="F59" s="39" t="s">
        <v>666</v>
      </c>
      <c r="G59" s="39" t="s">
        <v>28</v>
      </c>
      <c r="H59" s="39" t="s">
        <v>87</v>
      </c>
      <c r="I59" s="39" t="e">
        <f>VLOOKUP(E59,#REF!,3,FALSE)</f>
        <v>#REF!</v>
      </c>
      <c r="J59" s="39" t="s">
        <v>1167</v>
      </c>
    </row>
    <row r="60" spans="1:10" x14ac:dyDescent="0.25">
      <c r="A60" t="str">
        <f t="shared" si="0"/>
        <v>BPR323</v>
      </c>
      <c r="B60" s="39" t="s">
        <v>216</v>
      </c>
      <c r="C60" s="39" t="s">
        <v>96</v>
      </c>
      <c r="D60" s="39" t="s">
        <v>1188</v>
      </c>
      <c r="E60" s="39" t="s">
        <v>711</v>
      </c>
      <c r="F60" s="39" t="s">
        <v>712</v>
      </c>
      <c r="G60" s="39" t="s">
        <v>28</v>
      </c>
      <c r="H60" s="39" t="s">
        <v>87</v>
      </c>
      <c r="I60" s="39" t="e">
        <f>VLOOKUP(E60,#REF!,3,FALSE)</f>
        <v>#REF!</v>
      </c>
      <c r="J60" s="39" t="s">
        <v>1167</v>
      </c>
    </row>
    <row r="61" spans="1:10" x14ac:dyDescent="0.25">
      <c r="A61" t="str">
        <f t="shared" si="0"/>
        <v>BPR322</v>
      </c>
      <c r="B61" s="39" t="s">
        <v>216</v>
      </c>
      <c r="C61" s="39" t="s">
        <v>140</v>
      </c>
      <c r="D61" s="39" t="s">
        <v>1188</v>
      </c>
      <c r="E61" s="39" t="s">
        <v>748</v>
      </c>
      <c r="F61" s="39" t="s">
        <v>749</v>
      </c>
      <c r="G61" s="39" t="s">
        <v>28</v>
      </c>
      <c r="H61" s="39" t="s">
        <v>24</v>
      </c>
      <c r="I61" s="39" t="e">
        <f>VLOOKUP(E61,#REF!,3,FALSE)</f>
        <v>#REF!</v>
      </c>
      <c r="J61" s="39" t="s">
        <v>1167</v>
      </c>
    </row>
    <row r="62" spans="1:10" x14ac:dyDescent="0.25">
      <c r="A62" t="str">
        <f t="shared" si="0"/>
        <v>EHS112</v>
      </c>
      <c r="B62" s="39" t="s">
        <v>216</v>
      </c>
      <c r="C62" s="39" t="s">
        <v>10</v>
      </c>
      <c r="D62" s="39" t="s">
        <v>354</v>
      </c>
      <c r="E62" s="39" t="s">
        <v>640</v>
      </c>
      <c r="F62" s="39" t="s">
        <v>641</v>
      </c>
      <c r="G62" s="39" t="s">
        <v>14</v>
      </c>
      <c r="H62" s="39" t="s">
        <v>103</v>
      </c>
      <c r="I62" s="39" t="e">
        <f>VLOOKUP(E62,#REF!,3,FALSE)</f>
        <v>#REF!</v>
      </c>
      <c r="J62" s="39" t="s">
        <v>1167</v>
      </c>
    </row>
    <row r="63" spans="1:10" x14ac:dyDescent="0.25">
      <c r="A63" t="str">
        <f t="shared" si="0"/>
        <v>EHS121</v>
      </c>
      <c r="B63" s="39" t="s">
        <v>216</v>
      </c>
      <c r="C63" s="39" t="s">
        <v>47</v>
      </c>
      <c r="D63" s="39" t="s">
        <v>354</v>
      </c>
      <c r="E63" s="39" t="s">
        <v>669</v>
      </c>
      <c r="F63" s="39" t="s">
        <v>670</v>
      </c>
      <c r="G63" s="39" t="s">
        <v>14</v>
      </c>
      <c r="H63" s="39" t="s">
        <v>29</v>
      </c>
      <c r="I63" s="39" t="e">
        <f>VLOOKUP(E63,#REF!,3,FALSE)</f>
        <v>#REF!</v>
      </c>
      <c r="J63" s="39" t="s">
        <v>1167</v>
      </c>
    </row>
    <row r="64" spans="1:10" x14ac:dyDescent="0.25">
      <c r="A64" t="str">
        <f t="shared" si="0"/>
        <v>EHS322</v>
      </c>
      <c r="B64" s="39" t="s">
        <v>216</v>
      </c>
      <c r="C64" s="39" t="s">
        <v>140</v>
      </c>
      <c r="D64" s="39" t="s">
        <v>325</v>
      </c>
      <c r="E64" s="39" t="s">
        <v>750</v>
      </c>
      <c r="F64" s="39" t="s">
        <v>751</v>
      </c>
      <c r="G64" s="39" t="s">
        <v>14</v>
      </c>
      <c r="H64" s="39" t="s">
        <v>29</v>
      </c>
      <c r="I64" s="39" t="e">
        <f>VLOOKUP(E64,#REF!,3,FALSE)</f>
        <v>#REF!</v>
      </c>
      <c r="J64" s="39" t="s">
        <v>1167</v>
      </c>
    </row>
    <row r="65" spans="1:10" x14ac:dyDescent="0.25">
      <c r="A65" t="str">
        <f t="shared" si="0"/>
        <v>EHS112</v>
      </c>
      <c r="B65" s="39" t="s">
        <v>781</v>
      </c>
      <c r="C65" s="39" t="s">
        <v>10</v>
      </c>
      <c r="D65" s="39" t="s">
        <v>787</v>
      </c>
      <c r="E65" s="39" t="s">
        <v>640</v>
      </c>
      <c r="F65" s="39" t="s">
        <v>788</v>
      </c>
      <c r="G65" s="39" t="s">
        <v>14</v>
      </c>
      <c r="H65" s="39" t="s">
        <v>112</v>
      </c>
      <c r="I65" s="39" t="e">
        <f>VLOOKUP(E65,#REF!,3,FALSE)</f>
        <v>#REF!</v>
      </c>
      <c r="J65" s="39" t="s">
        <v>1167</v>
      </c>
    </row>
    <row r="66" spans="1:10" x14ac:dyDescent="0.25">
      <c r="A66" t="str">
        <f t="shared" si="0"/>
        <v>MPH813</v>
      </c>
      <c r="B66" s="39" t="s">
        <v>781</v>
      </c>
      <c r="C66" s="39" t="s">
        <v>47</v>
      </c>
      <c r="D66" s="39" t="s">
        <v>880</v>
      </c>
      <c r="E66" s="39" t="s">
        <v>881</v>
      </c>
      <c r="F66" s="39" t="s">
        <v>882</v>
      </c>
      <c r="G66" s="39" t="s">
        <v>14</v>
      </c>
      <c r="H66" s="39" t="s">
        <v>363</v>
      </c>
      <c r="I66" s="39" t="e">
        <f>VLOOKUP(E66,#REF!,3,FALSE)</f>
        <v>#REF!</v>
      </c>
      <c r="J66" s="39" t="s">
        <v>1167</v>
      </c>
    </row>
    <row r="67" spans="1:10" x14ac:dyDescent="0.25">
      <c r="A67" t="str">
        <f t="shared" si="0"/>
        <v>EHS322</v>
      </c>
      <c r="B67" s="39" t="s">
        <v>781</v>
      </c>
      <c r="C67" s="39" t="s">
        <v>140</v>
      </c>
      <c r="D67" s="39" t="s">
        <v>826</v>
      </c>
      <c r="E67" s="39" t="s">
        <v>750</v>
      </c>
      <c r="F67" s="39" t="s">
        <v>751</v>
      </c>
      <c r="G67" s="39" t="s">
        <v>14</v>
      </c>
      <c r="H67" s="39" t="s">
        <v>65</v>
      </c>
      <c r="I67" s="39" t="e">
        <f>VLOOKUP(E67,#REF!,3,FALSE)</f>
        <v>#REF!</v>
      </c>
      <c r="J67" s="39" t="s">
        <v>1167</v>
      </c>
    </row>
    <row r="68" spans="1:10" x14ac:dyDescent="0.25">
      <c r="A68" t="str">
        <f t="shared" ref="A68:A131" si="1">E68</f>
        <v>EHS121</v>
      </c>
      <c r="B68" s="39" t="s">
        <v>812</v>
      </c>
      <c r="C68" s="39" t="s">
        <v>47</v>
      </c>
      <c r="D68" s="39" t="s">
        <v>805</v>
      </c>
      <c r="E68" s="39" t="s">
        <v>669</v>
      </c>
      <c r="F68" s="39" t="s">
        <v>670</v>
      </c>
      <c r="G68" s="39" t="s">
        <v>14</v>
      </c>
      <c r="H68" s="39" t="s">
        <v>103</v>
      </c>
      <c r="I68" s="39" t="e">
        <f>VLOOKUP(E68,#REF!,3,FALSE)</f>
        <v>#REF!</v>
      </c>
      <c r="J68" s="39" t="s">
        <v>1167</v>
      </c>
    </row>
    <row r="69" spans="1:10" x14ac:dyDescent="0.25">
      <c r="A69" t="str">
        <f t="shared" si="1"/>
        <v>BPH313</v>
      </c>
      <c r="B69" s="39" t="s">
        <v>66</v>
      </c>
      <c r="C69" s="39" t="s">
        <v>47</v>
      </c>
      <c r="D69" s="39" t="s">
        <v>476</v>
      </c>
      <c r="E69" s="39" t="s">
        <v>477</v>
      </c>
      <c r="F69" s="39" t="s">
        <v>478</v>
      </c>
      <c r="G69" s="39" t="s">
        <v>14</v>
      </c>
      <c r="H69" s="39" t="s">
        <v>220</v>
      </c>
      <c r="I69" s="39" t="e">
        <f>VLOOKUP(E69,#REF!,3,FALSE)</f>
        <v>#REF!</v>
      </c>
      <c r="J69" s="39" t="s">
        <v>1167</v>
      </c>
    </row>
    <row r="70" spans="1:10" x14ac:dyDescent="0.25">
      <c r="A70" t="str">
        <f t="shared" si="1"/>
        <v>MPH715</v>
      </c>
      <c r="B70" s="39" t="s">
        <v>781</v>
      </c>
      <c r="C70" s="39" t="s">
        <v>96</v>
      </c>
      <c r="D70" s="39" t="s">
        <v>890</v>
      </c>
      <c r="E70" s="39" t="s">
        <v>891</v>
      </c>
      <c r="F70" s="39" t="s">
        <v>892</v>
      </c>
      <c r="G70" s="39" t="s">
        <v>14</v>
      </c>
      <c r="H70" s="39" t="s">
        <v>103</v>
      </c>
      <c r="I70" s="39" t="e">
        <f>VLOOKUP(E70,#REF!,3,FALSE)</f>
        <v>#REF!</v>
      </c>
      <c r="J70" s="39" t="s">
        <v>1167</v>
      </c>
    </row>
    <row r="71" spans="1:10" x14ac:dyDescent="0.25">
      <c r="A71" t="str">
        <f t="shared" si="1"/>
        <v>MPH815</v>
      </c>
      <c r="B71" s="39" t="s">
        <v>781</v>
      </c>
      <c r="C71" s="39" t="s">
        <v>140</v>
      </c>
      <c r="D71" s="39" t="s">
        <v>880</v>
      </c>
      <c r="E71" s="39" t="s">
        <v>935</v>
      </c>
      <c r="F71" s="39" t="s">
        <v>936</v>
      </c>
      <c r="G71" s="39" t="s">
        <v>14</v>
      </c>
      <c r="H71" s="39" t="s">
        <v>220</v>
      </c>
      <c r="I71" s="39" t="e">
        <f>VLOOKUP(E71,#REF!,3,FALSE)</f>
        <v>#REF!</v>
      </c>
      <c r="J71" s="39" t="s">
        <v>1167</v>
      </c>
    </row>
    <row r="72" spans="1:10" x14ac:dyDescent="0.25">
      <c r="A72" t="str">
        <f t="shared" si="1"/>
        <v>MPH725</v>
      </c>
      <c r="B72" s="39" t="s">
        <v>812</v>
      </c>
      <c r="C72" s="39" t="s">
        <v>96</v>
      </c>
      <c r="D72" s="39" t="s">
        <v>794</v>
      </c>
      <c r="E72" s="39" t="s">
        <v>1003</v>
      </c>
      <c r="F72" s="39" t="s">
        <v>478</v>
      </c>
      <c r="G72" s="39" t="s">
        <v>14</v>
      </c>
      <c r="H72" s="39" t="s">
        <v>220</v>
      </c>
      <c r="I72" s="39" t="e">
        <f>VLOOKUP(E72,#REF!,3,FALSE)</f>
        <v>#REF!</v>
      </c>
      <c r="J72" s="39" t="s">
        <v>1167</v>
      </c>
    </row>
    <row r="73" spans="1:10" x14ac:dyDescent="0.25">
      <c r="A73" t="str">
        <f t="shared" si="1"/>
        <v>EHS214</v>
      </c>
      <c r="B73" s="39" t="s">
        <v>216</v>
      </c>
      <c r="C73" s="39" t="s">
        <v>10</v>
      </c>
      <c r="D73" s="39" t="s">
        <v>281</v>
      </c>
      <c r="E73" s="39" t="s">
        <v>282</v>
      </c>
      <c r="F73" s="39" t="s">
        <v>283</v>
      </c>
      <c r="G73" s="39" t="s">
        <v>14</v>
      </c>
      <c r="H73" s="39" t="s">
        <v>220</v>
      </c>
      <c r="I73" s="39" t="e">
        <f>VLOOKUP(E73,#REF!,3,FALSE)</f>
        <v>#REF!</v>
      </c>
      <c r="J73" s="39" t="s">
        <v>1167</v>
      </c>
    </row>
    <row r="74" spans="1:10" x14ac:dyDescent="0.25">
      <c r="A74" t="str">
        <f t="shared" si="1"/>
        <v>BPH113</v>
      </c>
      <c r="B74" s="39" t="s">
        <v>216</v>
      </c>
      <c r="C74" s="39" t="s">
        <v>96</v>
      </c>
      <c r="D74" s="39" t="s">
        <v>217</v>
      </c>
      <c r="E74" s="39" t="s">
        <v>533</v>
      </c>
      <c r="F74" s="39" t="s">
        <v>534</v>
      </c>
      <c r="G74" s="39" t="s">
        <v>14</v>
      </c>
      <c r="H74" s="39" t="s">
        <v>103</v>
      </c>
      <c r="I74" s="39" t="e">
        <f>VLOOKUP(E74,#REF!,3,FALSE)</f>
        <v>#REF!</v>
      </c>
      <c r="J74" s="39" t="s">
        <v>1167</v>
      </c>
    </row>
    <row r="75" spans="1:10" x14ac:dyDescent="0.25">
      <c r="A75" t="str">
        <f t="shared" si="1"/>
        <v>MPH814</v>
      </c>
      <c r="B75" s="39" t="s">
        <v>781</v>
      </c>
      <c r="C75" s="39" t="s">
        <v>10</v>
      </c>
      <c r="D75" s="39" t="s">
        <v>880</v>
      </c>
      <c r="E75" s="39" t="s">
        <v>1022</v>
      </c>
      <c r="F75" s="39" t="s">
        <v>1023</v>
      </c>
      <c r="G75" s="39" t="s">
        <v>14</v>
      </c>
      <c r="H75" s="39" t="s">
        <v>368</v>
      </c>
      <c r="I75" s="39" t="e">
        <f>VLOOKUP(E75,#REF!,3,FALSE)</f>
        <v>#REF!</v>
      </c>
      <c r="J75" s="39" t="s">
        <v>1167</v>
      </c>
    </row>
    <row r="76" spans="1:10" x14ac:dyDescent="0.25">
      <c r="A76" t="str">
        <f t="shared" si="1"/>
        <v>BPH113</v>
      </c>
      <c r="B76" s="39" t="s">
        <v>781</v>
      </c>
      <c r="C76" s="39" t="s">
        <v>47</v>
      </c>
      <c r="D76" s="39" t="s">
        <v>787</v>
      </c>
      <c r="E76" s="39" t="s">
        <v>533</v>
      </c>
      <c r="F76" s="39" t="s">
        <v>534</v>
      </c>
      <c r="G76" s="39" t="s">
        <v>14</v>
      </c>
      <c r="H76" s="39" t="s">
        <v>492</v>
      </c>
      <c r="I76" s="39" t="e">
        <f>VLOOKUP(E76,#REF!,3,FALSE)</f>
        <v>#REF!</v>
      </c>
      <c r="J76" s="39" t="s">
        <v>1167</v>
      </c>
    </row>
    <row r="77" spans="1:10" x14ac:dyDescent="0.25">
      <c r="A77" t="str">
        <f t="shared" si="1"/>
        <v>MPH810</v>
      </c>
      <c r="B77" s="39" t="s">
        <v>781</v>
      </c>
      <c r="C77" s="39" t="s">
        <v>96</v>
      </c>
      <c r="D77" s="39" t="s">
        <v>880</v>
      </c>
      <c r="E77" s="39" t="s">
        <v>993</v>
      </c>
      <c r="F77" s="39" t="s">
        <v>994</v>
      </c>
      <c r="G77" s="39" t="s">
        <v>14</v>
      </c>
      <c r="H77" s="39" t="s">
        <v>492</v>
      </c>
      <c r="I77" s="39" t="e">
        <f>VLOOKUP(E77,#REF!,3,FALSE)</f>
        <v>#REF!</v>
      </c>
      <c r="J77" s="39" t="s">
        <v>1167</v>
      </c>
    </row>
    <row r="78" spans="1:10" x14ac:dyDescent="0.25">
      <c r="A78" t="str">
        <f t="shared" si="1"/>
        <v>EHS214</v>
      </c>
      <c r="B78" s="39" t="s">
        <v>781</v>
      </c>
      <c r="C78" s="39" t="s">
        <v>140</v>
      </c>
      <c r="D78" s="39" t="s">
        <v>808</v>
      </c>
      <c r="E78" s="39" t="s">
        <v>282</v>
      </c>
      <c r="F78" s="39" t="s">
        <v>283</v>
      </c>
      <c r="G78" s="39" t="s">
        <v>14</v>
      </c>
      <c r="H78" s="39" t="s">
        <v>368</v>
      </c>
      <c r="I78" s="39" t="e">
        <f>VLOOKUP(E78,#REF!,3,FALSE)</f>
        <v>#REF!</v>
      </c>
      <c r="J78" s="39" t="s">
        <v>1167</v>
      </c>
    </row>
    <row r="79" spans="1:10" x14ac:dyDescent="0.25">
      <c r="A79" t="str">
        <f t="shared" si="1"/>
        <v>BPA215</v>
      </c>
      <c r="B79" s="39" t="s">
        <v>9</v>
      </c>
      <c r="C79" s="39" t="s">
        <v>47</v>
      </c>
      <c r="D79" s="39" t="s">
        <v>62</v>
      </c>
      <c r="E79" s="39" t="s">
        <v>63</v>
      </c>
      <c r="F79" s="39" t="s">
        <v>64</v>
      </c>
      <c r="G79" s="39" t="s">
        <v>28</v>
      </c>
      <c r="H79" s="39" t="s">
        <v>65</v>
      </c>
      <c r="I79" s="39" t="e">
        <f>VLOOKUP(E79,#REF!,3,FALSE)</f>
        <v>#REF!</v>
      </c>
      <c r="J79" s="39" t="s">
        <v>1167</v>
      </c>
    </row>
    <row r="80" spans="1:10" x14ac:dyDescent="0.25">
      <c r="A80" t="str">
        <f t="shared" si="1"/>
        <v>BJC324</v>
      </c>
      <c r="B80" s="39" t="s">
        <v>9</v>
      </c>
      <c r="C80" s="39" t="s">
        <v>96</v>
      </c>
      <c r="D80" s="39" t="s">
        <v>1187</v>
      </c>
      <c r="E80" s="39" t="s">
        <v>540</v>
      </c>
      <c r="F80" s="39" t="s">
        <v>541</v>
      </c>
      <c r="G80" s="39" t="s">
        <v>28</v>
      </c>
      <c r="H80" s="39" t="s">
        <v>29</v>
      </c>
      <c r="I80" s="39" t="e">
        <f>VLOOKUP(E80,#REF!,3,FALSE)</f>
        <v>#REF!</v>
      </c>
      <c r="J80" s="39" t="s">
        <v>1167</v>
      </c>
    </row>
    <row r="81" spans="1:10" x14ac:dyDescent="0.25">
      <c r="A81" t="str">
        <f t="shared" si="1"/>
        <v>BPA112</v>
      </c>
      <c r="B81" s="39" t="s">
        <v>170</v>
      </c>
      <c r="C81" s="39" t="s">
        <v>47</v>
      </c>
      <c r="D81" s="39" t="s">
        <v>605</v>
      </c>
      <c r="E81" s="39" t="s">
        <v>671</v>
      </c>
      <c r="F81" s="39" t="s">
        <v>672</v>
      </c>
      <c r="G81" s="39" t="s">
        <v>28</v>
      </c>
      <c r="H81" s="39" t="s">
        <v>103</v>
      </c>
      <c r="I81" s="39" t="e">
        <f>VLOOKUP(E81,#REF!,3,FALSE)</f>
        <v>#REF!</v>
      </c>
      <c r="J81" s="39" t="s">
        <v>1167</v>
      </c>
    </row>
    <row r="82" spans="1:10" x14ac:dyDescent="0.25">
      <c r="A82" t="str">
        <f t="shared" si="1"/>
        <v>IRDS225</v>
      </c>
      <c r="B82" s="39" t="s">
        <v>170</v>
      </c>
      <c r="C82" s="39" t="s">
        <v>96</v>
      </c>
      <c r="D82" s="39" t="s">
        <v>390</v>
      </c>
      <c r="E82" s="39" t="s">
        <v>705</v>
      </c>
      <c r="F82" s="39" t="s">
        <v>706</v>
      </c>
      <c r="G82" s="39" t="s">
        <v>28</v>
      </c>
      <c r="H82" s="39" t="s">
        <v>55</v>
      </c>
      <c r="I82" s="39" t="e">
        <f>VLOOKUP(E82,#REF!,3,FALSE)</f>
        <v>#REF!</v>
      </c>
      <c r="J82" s="39" t="s">
        <v>1167</v>
      </c>
    </row>
    <row r="83" spans="1:10" x14ac:dyDescent="0.25">
      <c r="A83" t="str">
        <f t="shared" si="1"/>
        <v>FOU113</v>
      </c>
      <c r="B83" s="39" t="s">
        <v>56</v>
      </c>
      <c r="C83" s="39" t="s">
        <v>10</v>
      </c>
      <c r="D83" s="39" t="s">
        <v>1189</v>
      </c>
      <c r="E83" s="39" t="s">
        <v>321</v>
      </c>
      <c r="F83" s="39" t="s">
        <v>322</v>
      </c>
      <c r="G83" s="39" t="s">
        <v>28</v>
      </c>
      <c r="H83" s="39" t="s">
        <v>51</v>
      </c>
      <c r="I83" s="39" t="e">
        <f>VLOOKUP(E83,#REF!,3,FALSE)</f>
        <v>#REF!</v>
      </c>
      <c r="J83" s="39" t="s">
        <v>1167</v>
      </c>
    </row>
    <row r="84" spans="1:10" x14ac:dyDescent="0.25">
      <c r="A84" t="str">
        <f t="shared" si="1"/>
        <v>BJC226</v>
      </c>
      <c r="B84" s="39" t="s">
        <v>56</v>
      </c>
      <c r="C84" s="39" t="s">
        <v>10</v>
      </c>
      <c r="D84" s="39" t="s">
        <v>150</v>
      </c>
      <c r="E84" s="39" t="s">
        <v>673</v>
      </c>
      <c r="F84" s="39" t="s">
        <v>674</v>
      </c>
      <c r="G84" s="39" t="s">
        <v>28</v>
      </c>
      <c r="H84" s="39" t="s">
        <v>55</v>
      </c>
      <c r="I84" s="39" t="e">
        <f>VLOOKUP(E84,#REF!,3,FALSE)</f>
        <v>#REF!</v>
      </c>
      <c r="J84" s="39" t="s">
        <v>1167</v>
      </c>
    </row>
    <row r="85" spans="1:10" x14ac:dyDescent="0.25">
      <c r="A85" t="str">
        <f t="shared" si="1"/>
        <v>BJC116</v>
      </c>
      <c r="B85" s="39" t="s">
        <v>56</v>
      </c>
      <c r="C85" s="39" t="s">
        <v>96</v>
      </c>
      <c r="D85" s="39" t="s">
        <v>471</v>
      </c>
      <c r="E85" s="39" t="s">
        <v>472</v>
      </c>
      <c r="F85" s="39" t="s">
        <v>473</v>
      </c>
      <c r="G85" s="39" t="s">
        <v>28</v>
      </c>
      <c r="H85" s="39" t="s">
        <v>112</v>
      </c>
      <c r="I85" s="39" t="e">
        <f>VLOOKUP(E85,#REF!,3,FALSE)</f>
        <v>#REF!</v>
      </c>
      <c r="J85" s="39" t="s">
        <v>1167</v>
      </c>
    </row>
    <row r="86" spans="1:10" x14ac:dyDescent="0.25">
      <c r="A86" t="str">
        <f t="shared" si="1"/>
        <v>BJC311</v>
      </c>
      <c r="B86" s="39" t="s">
        <v>66</v>
      </c>
      <c r="C86" s="39" t="s">
        <v>47</v>
      </c>
      <c r="D86" s="39" t="s">
        <v>396</v>
      </c>
      <c r="E86" s="39" t="s">
        <v>469</v>
      </c>
      <c r="F86" s="39" t="s">
        <v>470</v>
      </c>
      <c r="G86" s="39" t="s">
        <v>28</v>
      </c>
      <c r="H86" s="39" t="s">
        <v>55</v>
      </c>
      <c r="I86" s="39" t="e">
        <f>VLOOKUP(E86,#REF!,3,FALSE)</f>
        <v>#REF!</v>
      </c>
      <c r="J86" s="39" t="s">
        <v>1167</v>
      </c>
    </row>
    <row r="87" spans="1:10" x14ac:dyDescent="0.25">
      <c r="A87" t="str">
        <f t="shared" si="1"/>
        <v>BJC217</v>
      </c>
      <c r="B87" s="39" t="s">
        <v>66</v>
      </c>
      <c r="C87" s="39" t="s">
        <v>96</v>
      </c>
      <c r="D87" s="39" t="s">
        <v>351</v>
      </c>
      <c r="E87" s="39" t="s">
        <v>542</v>
      </c>
      <c r="F87" s="39" t="s">
        <v>543</v>
      </c>
      <c r="G87" s="39" t="s">
        <v>28</v>
      </c>
      <c r="H87" s="39" t="s">
        <v>368</v>
      </c>
      <c r="I87" s="39" t="e">
        <f>VLOOKUP(E87,#REF!,3,FALSE)</f>
        <v>#REF!</v>
      </c>
      <c r="J87" s="39" t="s">
        <v>1167</v>
      </c>
    </row>
    <row r="88" spans="1:10" x14ac:dyDescent="0.25">
      <c r="A88" t="str">
        <f t="shared" si="1"/>
        <v>BJC123</v>
      </c>
      <c r="B88" s="39" t="s">
        <v>216</v>
      </c>
      <c r="C88" s="39" t="s">
        <v>140</v>
      </c>
      <c r="D88" s="39" t="s">
        <v>84</v>
      </c>
      <c r="E88" s="39" t="s">
        <v>752</v>
      </c>
      <c r="F88" s="39" t="s">
        <v>753</v>
      </c>
      <c r="G88" s="39" t="s">
        <v>28</v>
      </c>
      <c r="H88" s="39" t="s">
        <v>83</v>
      </c>
      <c r="I88" s="39" t="e">
        <f>VLOOKUP(E88,#REF!,3,FALSE)</f>
        <v>#REF!</v>
      </c>
      <c r="J88" s="39" t="s">
        <v>1167</v>
      </c>
    </row>
    <row r="89" spans="1:10" x14ac:dyDescent="0.25">
      <c r="A89" t="str">
        <f t="shared" si="1"/>
        <v>COM312</v>
      </c>
      <c r="B89" s="39" t="s">
        <v>9</v>
      </c>
      <c r="C89" s="39" t="s">
        <v>10</v>
      </c>
      <c r="D89" s="39" t="s">
        <v>97</v>
      </c>
      <c r="E89" s="39" t="s">
        <v>98</v>
      </c>
      <c r="F89" s="39" t="s">
        <v>99</v>
      </c>
      <c r="G89" s="39" t="s">
        <v>14</v>
      </c>
      <c r="H89" s="39" t="s">
        <v>91</v>
      </c>
      <c r="I89" s="39" t="e">
        <f>VLOOKUP(E89,#REF!,3,FALSE)</f>
        <v>#REF!</v>
      </c>
      <c r="J89" s="39" t="s">
        <v>1167</v>
      </c>
    </row>
    <row r="90" spans="1:10" x14ac:dyDescent="0.25">
      <c r="A90" t="str">
        <f t="shared" si="1"/>
        <v>BSE326</v>
      </c>
      <c r="B90" s="39" t="s">
        <v>9</v>
      </c>
      <c r="C90" s="39" t="s">
        <v>47</v>
      </c>
      <c r="D90" s="39" t="s">
        <v>58</v>
      </c>
      <c r="E90" s="39" t="s">
        <v>59</v>
      </c>
      <c r="F90" s="39" t="s">
        <v>60</v>
      </c>
      <c r="G90" s="39" t="s">
        <v>14</v>
      </c>
      <c r="H90" s="39" t="s">
        <v>61</v>
      </c>
      <c r="I90" s="39" t="e">
        <f>VLOOKUP(E90,#REF!,3,FALSE)</f>
        <v>#REF!</v>
      </c>
      <c r="J90" s="39" t="s">
        <v>1167</v>
      </c>
    </row>
    <row r="91" spans="1:10" x14ac:dyDescent="0.25">
      <c r="A91" t="str">
        <f t="shared" si="1"/>
        <v>COM324</v>
      </c>
      <c r="B91" s="39" t="s">
        <v>170</v>
      </c>
      <c r="C91" s="39" t="s">
        <v>96</v>
      </c>
      <c r="D91" s="39" t="s">
        <v>58</v>
      </c>
      <c r="E91" s="39" t="s">
        <v>244</v>
      </c>
      <c r="F91" s="39" t="s">
        <v>245</v>
      </c>
      <c r="G91" s="39" t="s">
        <v>14</v>
      </c>
      <c r="H91" s="39" t="s">
        <v>61</v>
      </c>
      <c r="I91" s="39" t="e">
        <f>VLOOKUP(E91,#REF!,3,FALSE)</f>
        <v>#REF!</v>
      </c>
      <c r="J91" s="39" t="s">
        <v>1167</v>
      </c>
    </row>
    <row r="92" spans="1:10" x14ac:dyDescent="0.25">
      <c r="A92" t="str">
        <f t="shared" si="1"/>
        <v>BIT222</v>
      </c>
      <c r="B92" s="39" t="s">
        <v>66</v>
      </c>
      <c r="C92" s="39" t="s">
        <v>10</v>
      </c>
      <c r="D92" s="39" t="s">
        <v>1190</v>
      </c>
      <c r="E92" s="39" t="s">
        <v>436</v>
      </c>
      <c r="F92" s="39" t="s">
        <v>437</v>
      </c>
      <c r="G92" s="39" t="s">
        <v>14</v>
      </c>
      <c r="H92" s="39" t="s">
        <v>91</v>
      </c>
      <c r="I92" s="39" t="e">
        <f>VLOOKUP(E92,#REF!,3,FALSE)</f>
        <v>#REF!</v>
      </c>
      <c r="J92" s="39" t="s">
        <v>1167</v>
      </c>
    </row>
    <row r="93" spans="1:10" x14ac:dyDescent="0.25">
      <c r="A93" t="str">
        <f t="shared" si="1"/>
        <v>MIT728</v>
      </c>
      <c r="B93" s="39" t="s">
        <v>812</v>
      </c>
      <c r="C93" s="39" t="s">
        <v>1191</v>
      </c>
      <c r="D93" s="39" t="s">
        <v>1182</v>
      </c>
      <c r="E93" s="39" t="s">
        <v>1192</v>
      </c>
      <c r="F93" s="39" t="s">
        <v>1193</v>
      </c>
      <c r="G93" s="39" t="s">
        <v>14</v>
      </c>
      <c r="H93" s="39" t="s">
        <v>241</v>
      </c>
      <c r="I93" s="39" t="e">
        <f>VLOOKUP(E93,#REF!,3,FALSE)</f>
        <v>#REF!</v>
      </c>
      <c r="J93" s="39" t="s">
        <v>1167</v>
      </c>
    </row>
    <row r="94" spans="1:10" x14ac:dyDescent="0.25">
      <c r="A94" t="str">
        <f t="shared" si="1"/>
        <v>BPR324</v>
      </c>
      <c r="B94" s="39" t="s">
        <v>9</v>
      </c>
      <c r="C94" s="39" t="s">
        <v>96</v>
      </c>
      <c r="D94" s="39" t="s">
        <v>504</v>
      </c>
      <c r="E94" s="39" t="s">
        <v>701</v>
      </c>
      <c r="F94" s="39" t="s">
        <v>702</v>
      </c>
      <c r="G94" s="39" t="s">
        <v>28</v>
      </c>
      <c r="H94" s="39" t="s">
        <v>55</v>
      </c>
      <c r="I94" s="39" t="e">
        <f>VLOOKUP(E94,#REF!,3,FALSE)</f>
        <v>#REF!</v>
      </c>
      <c r="J94" s="39" t="s">
        <v>1167</v>
      </c>
    </row>
    <row r="95" spans="1:10" x14ac:dyDescent="0.25">
      <c r="A95" t="str">
        <f t="shared" si="1"/>
        <v>IRDS325</v>
      </c>
      <c r="B95" s="39" t="s">
        <v>9</v>
      </c>
      <c r="C95" s="39" t="s">
        <v>140</v>
      </c>
      <c r="D95" s="39" t="s">
        <v>144</v>
      </c>
      <c r="E95" s="39" t="s">
        <v>145</v>
      </c>
      <c r="F95" s="39" t="s">
        <v>146</v>
      </c>
      <c r="G95" s="39" t="s">
        <v>28</v>
      </c>
      <c r="H95" s="39" t="s">
        <v>103</v>
      </c>
      <c r="I95" s="39" t="e">
        <f>VLOOKUP(E95,#REF!,3,FALSE)</f>
        <v>#REF!</v>
      </c>
      <c r="J95" s="39" t="s">
        <v>1167</v>
      </c>
    </row>
    <row r="96" spans="1:10" x14ac:dyDescent="0.25">
      <c r="A96" t="str">
        <f t="shared" si="1"/>
        <v>HEC122</v>
      </c>
      <c r="B96" s="39" t="s">
        <v>66</v>
      </c>
      <c r="C96" s="39" t="s">
        <v>140</v>
      </c>
      <c r="D96" s="39" t="s">
        <v>1194</v>
      </c>
      <c r="E96" s="39" t="s">
        <v>584</v>
      </c>
      <c r="F96" s="39" t="s">
        <v>585</v>
      </c>
      <c r="G96" s="39" t="s">
        <v>28</v>
      </c>
      <c r="H96" s="39" t="s">
        <v>112</v>
      </c>
      <c r="I96" s="39" t="e">
        <f>VLOOKUP(E96,#REF!,3,FALSE)</f>
        <v>#REF!</v>
      </c>
      <c r="J96" s="39" t="s">
        <v>1167</v>
      </c>
    </row>
    <row r="97" spans="1:10" x14ac:dyDescent="0.25">
      <c r="A97" t="str">
        <f t="shared" si="1"/>
        <v>IRDS222</v>
      </c>
      <c r="B97" s="39" t="s">
        <v>216</v>
      </c>
      <c r="C97" s="39" t="s">
        <v>47</v>
      </c>
      <c r="D97" s="39" t="s">
        <v>390</v>
      </c>
      <c r="E97" s="39" t="s">
        <v>684</v>
      </c>
      <c r="F97" s="39" t="s">
        <v>685</v>
      </c>
      <c r="G97" s="39" t="s">
        <v>28</v>
      </c>
      <c r="H97" s="39" t="s">
        <v>112</v>
      </c>
      <c r="I97" s="39" t="e">
        <f>VLOOKUP(E97,#REF!,3,FALSE)</f>
        <v>#REF!</v>
      </c>
      <c r="J97" s="39" t="s">
        <v>1167</v>
      </c>
    </row>
    <row r="98" spans="1:10" x14ac:dyDescent="0.25">
      <c r="A98" t="str">
        <f t="shared" si="1"/>
        <v>MIR722</v>
      </c>
      <c r="B98" s="39" t="s">
        <v>812</v>
      </c>
      <c r="C98" s="39" t="s">
        <v>96</v>
      </c>
      <c r="D98" s="39" t="s">
        <v>904</v>
      </c>
      <c r="E98" s="39" t="s">
        <v>1034</v>
      </c>
      <c r="F98" s="39" t="s">
        <v>1035</v>
      </c>
      <c r="G98" s="39" t="s">
        <v>28</v>
      </c>
      <c r="H98" s="39" t="s">
        <v>55</v>
      </c>
      <c r="I98" s="39" t="e">
        <f>VLOOKUP(E98,#REF!,3,FALSE)</f>
        <v>#REF!</v>
      </c>
      <c r="J98" s="39" t="s">
        <v>1167</v>
      </c>
    </row>
    <row r="99" spans="1:10" x14ac:dyDescent="0.25">
      <c r="A99" t="str">
        <f t="shared" si="1"/>
        <v>BIT212</v>
      </c>
      <c r="B99" s="39" t="s">
        <v>9</v>
      </c>
      <c r="C99" s="39" t="s">
        <v>10</v>
      </c>
      <c r="D99" s="39" t="s">
        <v>1195</v>
      </c>
      <c r="E99" s="39" t="s">
        <v>138</v>
      </c>
      <c r="F99" s="39" t="s">
        <v>139</v>
      </c>
      <c r="G99" s="39" t="s">
        <v>14</v>
      </c>
      <c r="H99" s="39" t="s">
        <v>51</v>
      </c>
      <c r="I99" s="39" t="e">
        <f>VLOOKUP(E99,#REF!,3,FALSE)</f>
        <v>#REF!</v>
      </c>
      <c r="J99" s="39" t="s">
        <v>1171</v>
      </c>
    </row>
    <row r="100" spans="1:10" x14ac:dyDescent="0.25">
      <c r="A100" t="str">
        <f t="shared" si="1"/>
        <v>BSE414</v>
      </c>
      <c r="B100" s="39" t="s">
        <v>170</v>
      </c>
      <c r="C100" s="39" t="s">
        <v>10</v>
      </c>
      <c r="D100" s="39" t="s">
        <v>156</v>
      </c>
      <c r="E100" s="39" t="s">
        <v>242</v>
      </c>
      <c r="F100" s="39" t="s">
        <v>243</v>
      </c>
      <c r="G100" s="39" t="s">
        <v>14</v>
      </c>
      <c r="H100" s="39" t="s">
        <v>822</v>
      </c>
      <c r="I100" s="39" t="e">
        <f>VLOOKUP(E100,#REF!,3,FALSE)</f>
        <v>#REF!</v>
      </c>
      <c r="J100" s="39" t="s">
        <v>1171</v>
      </c>
    </row>
    <row r="101" spans="1:10" x14ac:dyDescent="0.25">
      <c r="A101" t="str">
        <f t="shared" si="1"/>
        <v>BIT124</v>
      </c>
      <c r="B101" s="39" t="s">
        <v>66</v>
      </c>
      <c r="C101" s="39" t="s">
        <v>10</v>
      </c>
      <c r="D101" s="39" t="s">
        <v>73</v>
      </c>
      <c r="E101" s="39" t="s">
        <v>74</v>
      </c>
      <c r="F101" s="39" t="s">
        <v>75</v>
      </c>
      <c r="G101" s="39" t="s">
        <v>14</v>
      </c>
      <c r="H101" s="39" t="s">
        <v>51</v>
      </c>
      <c r="I101" s="39" t="e">
        <f>VLOOKUP(E101,#REF!,3,FALSE)</f>
        <v>#REF!</v>
      </c>
      <c r="J101" s="39" t="s">
        <v>1171</v>
      </c>
    </row>
    <row r="102" spans="1:10" x14ac:dyDescent="0.25">
      <c r="A102" t="str">
        <f t="shared" si="1"/>
        <v>BIT125/DBA212</v>
      </c>
      <c r="B102" s="39" t="s">
        <v>216</v>
      </c>
      <c r="C102" s="39" t="s">
        <v>10</v>
      </c>
      <c r="D102" s="39" t="s">
        <v>1196</v>
      </c>
      <c r="E102" s="39" t="s">
        <v>635</v>
      </c>
      <c r="F102" s="39" t="s">
        <v>636</v>
      </c>
      <c r="G102" s="39" t="s">
        <v>14</v>
      </c>
      <c r="H102" s="39" t="s">
        <v>91</v>
      </c>
      <c r="I102" s="39" t="e">
        <f>VLOOKUP(E102,#REF!,3,FALSE)</f>
        <v>#REF!</v>
      </c>
      <c r="J102" s="39" t="s">
        <v>1167</v>
      </c>
    </row>
    <row r="103" spans="1:10" x14ac:dyDescent="0.25">
      <c r="A103" t="str">
        <f t="shared" si="1"/>
        <v>MIT712</v>
      </c>
      <c r="B103" s="39" t="s">
        <v>812</v>
      </c>
      <c r="C103" s="39" t="s">
        <v>10</v>
      </c>
      <c r="D103" s="39" t="s">
        <v>1179</v>
      </c>
      <c r="E103" s="39" t="s">
        <v>1197</v>
      </c>
      <c r="F103" s="39" t="s">
        <v>1198</v>
      </c>
      <c r="G103" s="39" t="s">
        <v>14</v>
      </c>
      <c r="H103" s="39" t="s">
        <v>792</v>
      </c>
      <c r="I103" s="39" t="e">
        <f>VLOOKUP(E103,#REF!,3,FALSE)</f>
        <v>#REF!</v>
      </c>
      <c r="J103" s="39" t="s">
        <v>1171</v>
      </c>
    </row>
    <row r="104" spans="1:10" x14ac:dyDescent="0.25">
      <c r="A104" t="str">
        <f t="shared" si="1"/>
        <v>BPA124</v>
      </c>
      <c r="B104" s="39" t="s">
        <v>56</v>
      </c>
      <c r="C104" s="39" t="s">
        <v>47</v>
      </c>
      <c r="D104" s="39" t="s">
        <v>444</v>
      </c>
      <c r="E104" s="39" t="s">
        <v>582</v>
      </c>
      <c r="F104" s="39" t="s">
        <v>583</v>
      </c>
      <c r="G104" s="39" t="s">
        <v>28</v>
      </c>
      <c r="H104" s="39" t="s">
        <v>103</v>
      </c>
      <c r="I104" s="39" t="e">
        <f>VLOOKUP(E104,#REF!,3,FALSE)</f>
        <v>#REF!</v>
      </c>
      <c r="J104" s="39" t="s">
        <v>1167</v>
      </c>
    </row>
    <row r="105" spans="1:10" x14ac:dyDescent="0.25">
      <c r="A105" t="str">
        <f t="shared" si="1"/>
        <v>BJC225</v>
      </c>
      <c r="B105" s="39" t="s">
        <v>66</v>
      </c>
      <c r="C105" s="39" t="s">
        <v>47</v>
      </c>
      <c r="D105" s="39" t="s">
        <v>351</v>
      </c>
      <c r="E105" s="39" t="s">
        <v>352</v>
      </c>
      <c r="F105" s="39" t="s">
        <v>353</v>
      </c>
      <c r="G105" s="39" t="s">
        <v>28</v>
      </c>
      <c r="H105" s="39" t="s">
        <v>65</v>
      </c>
      <c r="I105" s="39" t="e">
        <f>VLOOKUP(E105,#REF!,3,FALSE)</f>
        <v>#REF!</v>
      </c>
      <c r="J105" s="39" t="s">
        <v>1167</v>
      </c>
    </row>
    <row r="106" spans="1:10" x14ac:dyDescent="0.25">
      <c r="A106" t="str">
        <f t="shared" si="1"/>
        <v>BJC112</v>
      </c>
      <c r="B106" s="39" t="s">
        <v>66</v>
      </c>
      <c r="C106" s="39" t="s">
        <v>96</v>
      </c>
      <c r="D106" s="39" t="s">
        <v>113</v>
      </c>
      <c r="E106" s="39" t="s">
        <v>544</v>
      </c>
      <c r="F106" s="39" t="s">
        <v>545</v>
      </c>
      <c r="G106" s="39" t="s">
        <v>28</v>
      </c>
      <c r="H106" s="39" t="s">
        <v>79</v>
      </c>
      <c r="I106" s="39" t="e">
        <f>VLOOKUP(E106,#REF!,3,FALSE)</f>
        <v>#REF!</v>
      </c>
      <c r="J106" s="39" t="s">
        <v>1167</v>
      </c>
    </row>
    <row r="107" spans="1:10" x14ac:dyDescent="0.25">
      <c r="A107" t="str">
        <f t="shared" si="1"/>
        <v>BIT113</v>
      </c>
      <c r="B107" s="39" t="s">
        <v>66</v>
      </c>
      <c r="C107" s="39" t="s">
        <v>47</v>
      </c>
      <c r="D107" s="39" t="s">
        <v>67</v>
      </c>
      <c r="E107" s="39" t="s">
        <v>68</v>
      </c>
      <c r="F107" s="39" t="s">
        <v>69</v>
      </c>
      <c r="G107" s="39" t="s">
        <v>14</v>
      </c>
      <c r="H107" s="39" t="s">
        <v>70</v>
      </c>
      <c r="I107" s="39" t="e">
        <f>VLOOKUP(E107,#REF!,3,FALSE)</f>
        <v>#REF!</v>
      </c>
      <c r="J107" s="39" t="s">
        <v>1167</v>
      </c>
    </row>
    <row r="108" spans="1:10" x14ac:dyDescent="0.25">
      <c r="A108" t="str">
        <f t="shared" si="1"/>
        <v>MIT729</v>
      </c>
      <c r="B108" s="39" t="s">
        <v>781</v>
      </c>
      <c r="C108" s="39" t="s">
        <v>10</v>
      </c>
      <c r="D108" s="39" t="s">
        <v>1182</v>
      </c>
      <c r="E108" s="39" t="s">
        <v>1199</v>
      </c>
      <c r="F108" s="39" t="s">
        <v>1200</v>
      </c>
      <c r="G108" s="39" t="s">
        <v>14</v>
      </c>
      <c r="H108" s="39" t="s">
        <v>241</v>
      </c>
      <c r="I108" s="39" t="e">
        <f>VLOOKUP(E108,#REF!,3,FALSE)</f>
        <v>#REF!</v>
      </c>
      <c r="J108" s="39" t="s">
        <v>1167</v>
      </c>
    </row>
    <row r="109" spans="1:10" x14ac:dyDescent="0.25">
      <c r="A109" t="str">
        <f t="shared" si="1"/>
        <v>MBA729</v>
      </c>
      <c r="B109" s="39" t="s">
        <v>781</v>
      </c>
      <c r="C109" s="39" t="s">
        <v>47</v>
      </c>
      <c r="D109" s="39" t="s">
        <v>1201</v>
      </c>
      <c r="E109" s="39" t="s">
        <v>1024</v>
      </c>
      <c r="F109" s="39" t="s">
        <v>1025</v>
      </c>
      <c r="G109" s="39" t="s">
        <v>19</v>
      </c>
      <c r="H109" s="39" t="s">
        <v>33</v>
      </c>
      <c r="I109" s="39" t="e">
        <f>VLOOKUP(E109,#REF!,3,FALSE)</f>
        <v>#REF!</v>
      </c>
      <c r="J109" s="39" t="s">
        <v>1167</v>
      </c>
    </row>
    <row r="110" spans="1:10" x14ac:dyDescent="0.25">
      <c r="A110" t="str">
        <f t="shared" si="1"/>
        <v>IRDS112</v>
      </c>
      <c r="B110" s="39" t="s">
        <v>9</v>
      </c>
      <c r="C110" s="39" t="s">
        <v>10</v>
      </c>
      <c r="D110" s="39" t="s">
        <v>25</v>
      </c>
      <c r="E110" s="39" t="s">
        <v>26</v>
      </c>
      <c r="F110" s="39" t="s">
        <v>27</v>
      </c>
      <c r="G110" s="39" t="s">
        <v>28</v>
      </c>
      <c r="H110" s="39" t="s">
        <v>29</v>
      </c>
      <c r="I110" s="39" t="e">
        <f>VLOOKUP(E110,#REF!,3,FALSE)</f>
        <v>#REF!</v>
      </c>
      <c r="J110" s="39" t="s">
        <v>1167</v>
      </c>
    </row>
    <row r="111" spans="1:10" x14ac:dyDescent="0.25">
      <c r="A111" t="str">
        <f t="shared" si="1"/>
        <v>IRDS217</v>
      </c>
      <c r="B111" s="39" t="s">
        <v>9</v>
      </c>
      <c r="C111" s="39" t="s">
        <v>47</v>
      </c>
      <c r="D111" s="39" t="s">
        <v>501</v>
      </c>
      <c r="E111" s="39" t="s">
        <v>642</v>
      </c>
      <c r="F111" s="39" t="s">
        <v>643</v>
      </c>
      <c r="G111" s="39" t="s">
        <v>28</v>
      </c>
      <c r="H111" s="39" t="s">
        <v>103</v>
      </c>
      <c r="I111" s="39" t="e">
        <f>VLOOKUP(E111,#REF!,3,FALSE)</f>
        <v>#REF!</v>
      </c>
      <c r="J111" s="39" t="s">
        <v>1167</v>
      </c>
    </row>
    <row r="112" spans="1:10" x14ac:dyDescent="0.25">
      <c r="A112" t="str">
        <f t="shared" si="1"/>
        <v>IRDS215</v>
      </c>
      <c r="B112" s="39" t="s">
        <v>9</v>
      </c>
      <c r="C112" s="39" t="s">
        <v>96</v>
      </c>
      <c r="D112" s="39" t="s">
        <v>501</v>
      </c>
      <c r="E112" s="39" t="s">
        <v>754</v>
      </c>
      <c r="F112" s="39" t="s">
        <v>755</v>
      </c>
      <c r="G112" s="39" t="s">
        <v>28</v>
      </c>
      <c r="H112" s="39" t="s">
        <v>287</v>
      </c>
      <c r="I112" s="39" t="e">
        <f>VLOOKUP(E112,#REF!,3,FALSE)</f>
        <v>#REF!</v>
      </c>
      <c r="J112" s="39" t="s">
        <v>1167</v>
      </c>
    </row>
    <row r="113" spans="1:10" x14ac:dyDescent="0.25">
      <c r="A113" t="str">
        <f t="shared" si="1"/>
        <v>IRDS315</v>
      </c>
      <c r="B113" s="39" t="s">
        <v>170</v>
      </c>
      <c r="C113" s="39" t="s">
        <v>10</v>
      </c>
      <c r="D113" s="39" t="s">
        <v>76</v>
      </c>
      <c r="E113" s="39" t="s">
        <v>190</v>
      </c>
      <c r="F113" s="39" t="s">
        <v>191</v>
      </c>
      <c r="G113" s="39" t="s">
        <v>28</v>
      </c>
      <c r="H113" s="39" t="s">
        <v>65</v>
      </c>
      <c r="I113" s="39" t="e">
        <f>VLOOKUP(E113,#REF!,3,FALSE)</f>
        <v>#REF!</v>
      </c>
      <c r="J113" s="39" t="s">
        <v>1167</v>
      </c>
    </row>
    <row r="114" spans="1:10" x14ac:dyDescent="0.25">
      <c r="A114" t="str">
        <f t="shared" si="1"/>
        <v>MIR721</v>
      </c>
      <c r="B114" s="39" t="s">
        <v>812</v>
      </c>
      <c r="C114" s="39" t="s">
        <v>47</v>
      </c>
      <c r="D114" s="39" t="s">
        <v>904</v>
      </c>
      <c r="E114" s="39" t="s">
        <v>948</v>
      </c>
      <c r="F114" s="39" t="s">
        <v>949</v>
      </c>
      <c r="G114" s="39" t="s">
        <v>28</v>
      </c>
      <c r="H114" s="39" t="s">
        <v>55</v>
      </c>
      <c r="I114" s="39" t="e">
        <f>VLOOKUP(E114,#REF!,3,FALSE)</f>
        <v>#REF!</v>
      </c>
      <c r="J114" s="39" t="s">
        <v>1167</v>
      </c>
    </row>
    <row r="115" spans="1:10" x14ac:dyDescent="0.25">
      <c r="A115" t="str">
        <f t="shared" si="1"/>
        <v>MSS813</v>
      </c>
      <c r="B115" s="39" t="s">
        <v>812</v>
      </c>
      <c r="C115" s="39" t="s">
        <v>96</v>
      </c>
      <c r="D115" s="39" t="s">
        <v>1038</v>
      </c>
      <c r="E115" s="39" t="s">
        <v>817</v>
      </c>
      <c r="F115" s="39" t="s">
        <v>818</v>
      </c>
      <c r="G115" s="39" t="s">
        <v>28</v>
      </c>
      <c r="H115" s="39" t="s">
        <v>79</v>
      </c>
      <c r="I115" s="39" t="e">
        <f>VLOOKUP(E115,#REF!,3,FALSE)</f>
        <v>#REF!</v>
      </c>
      <c r="J115" s="39" t="s">
        <v>1167</v>
      </c>
    </row>
    <row r="116" spans="1:10" x14ac:dyDescent="0.25">
      <c r="A116" t="str">
        <f t="shared" si="1"/>
        <v>HRM322</v>
      </c>
      <c r="B116" s="39" t="s">
        <v>9</v>
      </c>
      <c r="C116" s="39" t="s">
        <v>10</v>
      </c>
      <c r="D116" s="39" t="s">
        <v>21</v>
      </c>
      <c r="E116" s="39" t="s">
        <v>22</v>
      </c>
      <c r="F116" s="39" t="s">
        <v>23</v>
      </c>
      <c r="G116" s="39" t="s">
        <v>19</v>
      </c>
      <c r="H116" s="39" t="s">
        <v>24</v>
      </c>
      <c r="I116" s="39" t="e">
        <f>VLOOKUP(E116,#REF!,3,FALSE)</f>
        <v>#REF!</v>
      </c>
      <c r="J116" s="39" t="s">
        <v>1167</v>
      </c>
    </row>
    <row r="117" spans="1:10" x14ac:dyDescent="0.25">
      <c r="A117" t="str">
        <f t="shared" si="1"/>
        <v>HRM321</v>
      </c>
      <c r="B117" s="39" t="s">
        <v>9</v>
      </c>
      <c r="C117" s="39" t="s">
        <v>47</v>
      </c>
      <c r="D117" s="39" t="s">
        <v>21</v>
      </c>
      <c r="E117" s="39" t="s">
        <v>71</v>
      </c>
      <c r="F117" s="39" t="s">
        <v>72</v>
      </c>
      <c r="G117" s="39" t="s">
        <v>19</v>
      </c>
      <c r="H117" s="39" t="s">
        <v>24</v>
      </c>
      <c r="I117" s="39" t="e">
        <f>VLOOKUP(E117,#REF!,3,FALSE)</f>
        <v>#REF!</v>
      </c>
      <c r="J117" s="39" t="s">
        <v>1167</v>
      </c>
    </row>
    <row r="118" spans="1:10" x14ac:dyDescent="0.25">
      <c r="A118" t="str">
        <f t="shared" si="1"/>
        <v>BBA212</v>
      </c>
      <c r="B118" s="39" t="s">
        <v>66</v>
      </c>
      <c r="C118" s="39" t="s">
        <v>10</v>
      </c>
      <c r="D118" s="39" t="s">
        <v>438</v>
      </c>
      <c r="E118" s="39" t="s">
        <v>439</v>
      </c>
      <c r="F118" s="39" t="s">
        <v>440</v>
      </c>
      <c r="G118" s="39" t="s">
        <v>19</v>
      </c>
      <c r="H118" s="39" t="s">
        <v>237</v>
      </c>
      <c r="I118" s="39" t="e">
        <f>VLOOKUP(E118,#REF!,3,FALSE)</f>
        <v>#REF!</v>
      </c>
      <c r="J118" s="39" t="s">
        <v>1167</v>
      </c>
    </row>
    <row r="119" spans="1:10" x14ac:dyDescent="0.25">
      <c r="A119" t="str">
        <f t="shared" si="1"/>
        <v>HRM314</v>
      </c>
      <c r="B119" s="39" t="s">
        <v>66</v>
      </c>
      <c r="C119" s="39" t="s">
        <v>47</v>
      </c>
      <c r="D119" s="39" t="s">
        <v>229</v>
      </c>
      <c r="E119" s="39" t="s">
        <v>474</v>
      </c>
      <c r="F119" s="39" t="s">
        <v>475</v>
      </c>
      <c r="G119" s="39" t="s">
        <v>19</v>
      </c>
      <c r="H119" s="39" t="s">
        <v>83</v>
      </c>
      <c r="I119" s="39" t="e">
        <f>VLOOKUP(E119,#REF!,3,FALSE)</f>
        <v>#REF!</v>
      </c>
      <c r="J119" s="39" t="s">
        <v>1167</v>
      </c>
    </row>
    <row r="120" spans="1:10" x14ac:dyDescent="0.25">
      <c r="A120" t="str">
        <f t="shared" si="1"/>
        <v>BBA212</v>
      </c>
      <c r="B120" s="39" t="s">
        <v>812</v>
      </c>
      <c r="C120" s="39" t="s">
        <v>10</v>
      </c>
      <c r="D120" s="39" t="s">
        <v>785</v>
      </c>
      <c r="E120" s="39" t="s">
        <v>439</v>
      </c>
      <c r="F120" s="39" t="s">
        <v>440</v>
      </c>
      <c r="G120" s="39" t="s">
        <v>28</v>
      </c>
      <c r="H120" s="39" t="s">
        <v>287</v>
      </c>
      <c r="I120" s="39" t="e">
        <f>VLOOKUP(E120,#REF!,3,FALSE)</f>
        <v>#REF!</v>
      </c>
      <c r="J120" s="39" t="s">
        <v>1167</v>
      </c>
    </row>
    <row r="121" spans="1:10" x14ac:dyDescent="0.25">
      <c r="A121" t="str">
        <f t="shared" si="1"/>
        <v>MHR722</v>
      </c>
      <c r="B121" s="39" t="s">
        <v>812</v>
      </c>
      <c r="C121" s="39" t="s">
        <v>96</v>
      </c>
      <c r="D121" s="39" t="s">
        <v>1202</v>
      </c>
      <c r="E121" s="39" t="s">
        <v>1043</v>
      </c>
      <c r="F121" s="39" t="s">
        <v>1044</v>
      </c>
      <c r="G121" s="39" t="s">
        <v>19</v>
      </c>
      <c r="H121" s="39" t="s">
        <v>61</v>
      </c>
      <c r="I121" s="39" t="e">
        <f>VLOOKUP(E121,#REF!,3,FALSE)</f>
        <v>#REF!</v>
      </c>
      <c r="J121" s="39" t="s">
        <v>1171</v>
      </c>
    </row>
    <row r="122" spans="1:10" x14ac:dyDescent="0.25">
      <c r="A122" t="str">
        <f t="shared" si="1"/>
        <v>MBA728</v>
      </c>
      <c r="B122" s="39" t="s">
        <v>781</v>
      </c>
      <c r="C122" s="39" t="s">
        <v>140</v>
      </c>
      <c r="D122" s="39" t="s">
        <v>1203</v>
      </c>
      <c r="E122" s="39" t="s">
        <v>930</v>
      </c>
      <c r="F122" s="39" t="s">
        <v>931</v>
      </c>
      <c r="G122" s="39" t="s">
        <v>19</v>
      </c>
      <c r="H122" s="39" t="s">
        <v>91</v>
      </c>
      <c r="I122" s="39" t="e">
        <f>VLOOKUP(E122,#REF!,3,FALSE)</f>
        <v>#REF!</v>
      </c>
      <c r="J122" s="39" t="s">
        <v>1167</v>
      </c>
    </row>
    <row r="123" spans="1:10" x14ac:dyDescent="0.25">
      <c r="A123" t="str">
        <f t="shared" si="1"/>
        <v>MBA710</v>
      </c>
      <c r="B123" s="39" t="s">
        <v>812</v>
      </c>
      <c r="C123" s="39" t="s">
        <v>47</v>
      </c>
      <c r="D123" s="39" t="s">
        <v>986</v>
      </c>
      <c r="E123" s="39" t="s">
        <v>987</v>
      </c>
      <c r="F123" s="39" t="s">
        <v>988</v>
      </c>
      <c r="G123" s="39" t="s">
        <v>19</v>
      </c>
      <c r="H123" s="39" t="s">
        <v>46</v>
      </c>
      <c r="I123" s="39" t="e">
        <f>VLOOKUP(E123,#REF!,3,FALSE)</f>
        <v>#REF!</v>
      </c>
      <c r="J123" s="39" t="s">
        <v>1167</v>
      </c>
    </row>
    <row r="124" spans="1:10" x14ac:dyDescent="0.25">
      <c r="A124" t="str">
        <f t="shared" si="1"/>
        <v>MPM720</v>
      </c>
      <c r="B124" s="39" t="s">
        <v>812</v>
      </c>
      <c r="C124" s="39" t="s">
        <v>96</v>
      </c>
      <c r="D124" s="39" t="s">
        <v>886</v>
      </c>
      <c r="E124" s="39" t="s">
        <v>887</v>
      </c>
      <c r="F124" s="39" t="s">
        <v>888</v>
      </c>
      <c r="G124" s="39" t="s">
        <v>19</v>
      </c>
      <c r="H124" s="39" t="s">
        <v>91</v>
      </c>
      <c r="I124" s="39" t="e">
        <f>VLOOKUP(E124,#REF!,3,FALSE)</f>
        <v>#REF!</v>
      </c>
      <c r="J124" s="39" t="s">
        <v>1167</v>
      </c>
    </row>
    <row r="125" spans="1:10" x14ac:dyDescent="0.25">
      <c r="A125" t="str">
        <f t="shared" si="1"/>
        <v>MPM814</v>
      </c>
      <c r="B125" s="39" t="s">
        <v>812</v>
      </c>
      <c r="C125" s="39" t="s">
        <v>140</v>
      </c>
      <c r="D125" s="39" t="s">
        <v>831</v>
      </c>
      <c r="E125" s="39" t="s">
        <v>1054</v>
      </c>
      <c r="F125" s="39" t="s">
        <v>1055</v>
      </c>
      <c r="G125" s="39" t="s">
        <v>19</v>
      </c>
      <c r="H125" s="39" t="s">
        <v>15</v>
      </c>
      <c r="I125" s="39" t="e">
        <f>VLOOKUP(E125,#REF!,3,FALSE)</f>
        <v>#REF!</v>
      </c>
      <c r="J125" s="39" t="s">
        <v>1167</v>
      </c>
    </row>
    <row r="126" spans="1:10" x14ac:dyDescent="0.25">
      <c r="A126" t="str">
        <f t="shared" si="1"/>
        <v>BPH122</v>
      </c>
      <c r="B126" s="39" t="s">
        <v>56</v>
      </c>
      <c r="C126" s="39" t="s">
        <v>47</v>
      </c>
      <c r="D126" s="39" t="s">
        <v>354</v>
      </c>
      <c r="E126" s="39" t="s">
        <v>355</v>
      </c>
      <c r="F126" s="39" t="s">
        <v>356</v>
      </c>
      <c r="G126" s="39" t="s">
        <v>14</v>
      </c>
      <c r="H126" s="39" t="s">
        <v>220</v>
      </c>
      <c r="I126" s="39" t="e">
        <f>VLOOKUP(E126,#REF!,3,FALSE)</f>
        <v>#REF!</v>
      </c>
      <c r="J126" s="39" t="s">
        <v>1167</v>
      </c>
    </row>
    <row r="127" spans="1:10" x14ac:dyDescent="0.25">
      <c r="A127" t="str">
        <f t="shared" si="1"/>
        <v>BPH216</v>
      </c>
      <c r="B127" s="39" t="s">
        <v>56</v>
      </c>
      <c r="C127" s="39" t="s">
        <v>96</v>
      </c>
      <c r="D127" s="39" t="s">
        <v>281</v>
      </c>
      <c r="E127" s="39" t="s">
        <v>399</v>
      </c>
      <c r="F127" s="39" t="s">
        <v>400</v>
      </c>
      <c r="G127" s="39" t="s">
        <v>14</v>
      </c>
      <c r="H127" s="39" t="s">
        <v>220</v>
      </c>
      <c r="I127" s="39" t="e">
        <f>VLOOKUP(E127,#REF!,3,FALSE)</f>
        <v>#REF!</v>
      </c>
      <c r="J127" s="39" t="s">
        <v>1167</v>
      </c>
    </row>
    <row r="128" spans="1:10" x14ac:dyDescent="0.25">
      <c r="A128" t="str">
        <f t="shared" si="1"/>
        <v>MPH721</v>
      </c>
      <c r="B128" s="39" t="s">
        <v>781</v>
      </c>
      <c r="C128" s="39" t="s">
        <v>10</v>
      </c>
      <c r="D128" s="39" t="s">
        <v>794</v>
      </c>
      <c r="E128" s="39" t="s">
        <v>795</v>
      </c>
      <c r="F128" s="39" t="s">
        <v>796</v>
      </c>
      <c r="G128" s="39" t="s">
        <v>14</v>
      </c>
      <c r="H128" s="39" t="s">
        <v>220</v>
      </c>
      <c r="I128" s="39" t="e">
        <f>VLOOKUP(E128,#REF!,3,FALSE)</f>
        <v>#REF!</v>
      </c>
      <c r="J128" s="39" t="s">
        <v>1167</v>
      </c>
    </row>
    <row r="129" spans="1:10" x14ac:dyDescent="0.25">
      <c r="A129" t="str">
        <f t="shared" si="1"/>
        <v>MPH722</v>
      </c>
      <c r="B129" s="39" t="s">
        <v>781</v>
      </c>
      <c r="C129" s="39" t="s">
        <v>47</v>
      </c>
      <c r="D129" s="39" t="s">
        <v>794</v>
      </c>
      <c r="E129" s="39" t="s">
        <v>836</v>
      </c>
      <c r="F129" s="39" t="s">
        <v>837</v>
      </c>
      <c r="G129" s="39" t="s">
        <v>14</v>
      </c>
      <c r="H129" s="39" t="s">
        <v>220</v>
      </c>
      <c r="I129" s="39" t="e">
        <f>VLOOKUP(E129,#REF!,3,FALSE)</f>
        <v>#REF!</v>
      </c>
      <c r="J129" s="39" t="s">
        <v>1167</v>
      </c>
    </row>
    <row r="130" spans="1:10" x14ac:dyDescent="0.25">
      <c r="A130" t="str">
        <f t="shared" si="1"/>
        <v>EHS125</v>
      </c>
      <c r="B130" s="39" t="s">
        <v>812</v>
      </c>
      <c r="C130" s="39" t="s">
        <v>96</v>
      </c>
      <c r="D130" s="39" t="s">
        <v>805</v>
      </c>
      <c r="E130" s="39" t="s">
        <v>1026</v>
      </c>
      <c r="F130" s="39" t="s">
        <v>1027</v>
      </c>
      <c r="G130" s="39" t="s">
        <v>14</v>
      </c>
      <c r="H130" s="39" t="s">
        <v>103</v>
      </c>
      <c r="I130" s="39" t="e">
        <f>VLOOKUP(E130,#REF!,3,FALSE)</f>
        <v>#REF!</v>
      </c>
      <c r="J130" s="39" t="s">
        <v>1167</v>
      </c>
    </row>
    <row r="131" spans="1:10" x14ac:dyDescent="0.25">
      <c r="A131" t="str">
        <f t="shared" si="1"/>
        <v>IRDS311</v>
      </c>
      <c r="B131" s="39" t="s">
        <v>9</v>
      </c>
      <c r="C131" s="39" t="s">
        <v>96</v>
      </c>
      <c r="D131" s="39" t="s">
        <v>100</v>
      </c>
      <c r="E131" s="39" t="s">
        <v>101</v>
      </c>
      <c r="F131" s="39" t="s">
        <v>102</v>
      </c>
      <c r="G131" s="39" t="s">
        <v>28</v>
      </c>
      <c r="H131" s="39" t="s">
        <v>103</v>
      </c>
      <c r="I131" s="39" t="e">
        <f>VLOOKUP(E131,#REF!,3,FALSE)</f>
        <v>#REF!</v>
      </c>
      <c r="J131" s="39" t="s">
        <v>1167</v>
      </c>
    </row>
    <row r="132" spans="1:10" x14ac:dyDescent="0.25">
      <c r="A132" t="str">
        <f t="shared" ref="A132:A195" si="2">E132</f>
        <v>IRDS128</v>
      </c>
      <c r="B132" s="39" t="s">
        <v>170</v>
      </c>
      <c r="C132" s="39" t="s">
        <v>47</v>
      </c>
      <c r="D132" s="39" t="s">
        <v>80</v>
      </c>
      <c r="E132" s="39" t="s">
        <v>675</v>
      </c>
      <c r="F132" s="39" t="s">
        <v>676</v>
      </c>
      <c r="G132" s="39" t="s">
        <v>28</v>
      </c>
      <c r="H132" s="39" t="s">
        <v>79</v>
      </c>
      <c r="I132" s="39" t="e">
        <f>VLOOKUP(E132,#REF!,3,FALSE)</f>
        <v>#REF!</v>
      </c>
      <c r="J132" s="39" t="s">
        <v>1167</v>
      </c>
    </row>
    <row r="133" spans="1:10" x14ac:dyDescent="0.25">
      <c r="A133" t="str">
        <f t="shared" si="2"/>
        <v>FOA122/BPA113</v>
      </c>
      <c r="B133" s="39" t="s">
        <v>170</v>
      </c>
      <c r="C133" s="39" t="s">
        <v>96</v>
      </c>
      <c r="D133" s="39" t="s">
        <v>1204</v>
      </c>
      <c r="E133" s="39" t="s">
        <v>1205</v>
      </c>
      <c r="F133" s="39" t="s">
        <v>247</v>
      </c>
      <c r="G133" s="39" t="s">
        <v>28</v>
      </c>
      <c r="H133" s="39" t="s">
        <v>112</v>
      </c>
      <c r="I133" s="39" t="e">
        <f>VLOOKUP(E133,#REF!,3,FALSE)</f>
        <v>#REF!</v>
      </c>
      <c r="J133" s="39" t="s">
        <v>1167</v>
      </c>
    </row>
    <row r="134" spans="1:10" x14ac:dyDescent="0.25">
      <c r="A134" t="str">
        <f t="shared" si="2"/>
        <v>MSS723</v>
      </c>
      <c r="B134" s="39" t="s">
        <v>812</v>
      </c>
      <c r="C134" s="39" t="s">
        <v>47</v>
      </c>
      <c r="D134" s="39" t="s">
        <v>819</v>
      </c>
      <c r="E134" s="39" t="s">
        <v>989</v>
      </c>
      <c r="F134" s="39" t="s">
        <v>990</v>
      </c>
      <c r="G134" s="39" t="s">
        <v>28</v>
      </c>
      <c r="H134" s="39" t="s">
        <v>822</v>
      </c>
      <c r="I134" s="39" t="e">
        <f>VLOOKUP(E134,#REF!,3,FALSE)</f>
        <v>#REF!</v>
      </c>
      <c r="J134" s="39" t="s">
        <v>1167</v>
      </c>
    </row>
    <row r="135" spans="1:10" x14ac:dyDescent="0.25">
      <c r="A135" t="str">
        <f t="shared" si="2"/>
        <v>HEC113</v>
      </c>
      <c r="B135" s="39" t="s">
        <v>170</v>
      </c>
      <c r="C135" s="39" t="s">
        <v>47</v>
      </c>
      <c r="D135" s="39" t="s">
        <v>1206</v>
      </c>
      <c r="E135" s="39" t="s">
        <v>214</v>
      </c>
      <c r="F135" s="39" t="s">
        <v>215</v>
      </c>
      <c r="G135" s="39" t="s">
        <v>28</v>
      </c>
      <c r="H135" s="39" t="s">
        <v>112</v>
      </c>
      <c r="I135" s="39" t="e">
        <f>VLOOKUP(E135,#REF!,3,FALSE)</f>
        <v>#REF!</v>
      </c>
      <c r="J135" s="39" t="s">
        <v>1167</v>
      </c>
    </row>
    <row r="136" spans="1:10" x14ac:dyDescent="0.25">
      <c r="A136" t="str">
        <f t="shared" si="2"/>
        <v>BPA324</v>
      </c>
      <c r="B136" s="39" t="s">
        <v>66</v>
      </c>
      <c r="C136" s="39" t="s">
        <v>47</v>
      </c>
      <c r="D136" s="39" t="s">
        <v>479</v>
      </c>
      <c r="E136" s="39" t="s">
        <v>480</v>
      </c>
      <c r="F136" s="39" t="s">
        <v>481</v>
      </c>
      <c r="G136" s="39" t="s">
        <v>28</v>
      </c>
      <c r="H136" s="39" t="s">
        <v>29</v>
      </c>
      <c r="I136" s="39" t="e">
        <f>VLOOKUP(E136,#REF!,3,FALSE)</f>
        <v>#REF!</v>
      </c>
      <c r="J136" s="39" t="s">
        <v>1167</v>
      </c>
    </row>
    <row r="137" spans="1:10" x14ac:dyDescent="0.25">
      <c r="A137" t="str">
        <f t="shared" si="2"/>
        <v>IRDS321</v>
      </c>
      <c r="B137" s="39" t="s">
        <v>66</v>
      </c>
      <c r="C137" s="39" t="s">
        <v>96</v>
      </c>
      <c r="D137" s="39" t="s">
        <v>144</v>
      </c>
      <c r="E137" s="39" t="s">
        <v>722</v>
      </c>
      <c r="F137" s="39" t="s">
        <v>723</v>
      </c>
      <c r="G137" s="39" t="s">
        <v>28</v>
      </c>
      <c r="H137" s="39" t="s">
        <v>103</v>
      </c>
      <c r="I137" s="39" t="e">
        <f>VLOOKUP(E137,#REF!,3,FALSE)</f>
        <v>#REF!</v>
      </c>
      <c r="J137" s="39" t="s">
        <v>1167</v>
      </c>
    </row>
    <row r="138" spans="1:10" x14ac:dyDescent="0.25">
      <c r="A138" t="str">
        <f t="shared" si="2"/>
        <v>BAC322</v>
      </c>
      <c r="B138" s="39" t="s">
        <v>170</v>
      </c>
      <c r="C138" s="39" t="s">
        <v>96</v>
      </c>
      <c r="D138" s="39" t="s">
        <v>284</v>
      </c>
      <c r="E138" s="39" t="s">
        <v>586</v>
      </c>
      <c r="F138" s="39" t="s">
        <v>587</v>
      </c>
      <c r="G138" s="39" t="s">
        <v>19</v>
      </c>
      <c r="H138" s="39" t="s">
        <v>237</v>
      </c>
      <c r="I138" s="39" t="e">
        <f>VLOOKUP(E138,#REF!,3,FALSE)</f>
        <v>#REF!</v>
      </c>
      <c r="J138" s="39" t="s">
        <v>1167</v>
      </c>
    </row>
    <row r="139" spans="1:10" x14ac:dyDescent="0.25">
      <c r="A139" t="str">
        <f t="shared" si="2"/>
        <v>DBA222</v>
      </c>
      <c r="B139" s="39" t="s">
        <v>56</v>
      </c>
      <c r="C139" s="39" t="s">
        <v>47</v>
      </c>
      <c r="D139" s="39" t="s">
        <v>248</v>
      </c>
      <c r="E139" s="39" t="s">
        <v>323</v>
      </c>
      <c r="F139" s="39" t="s">
        <v>253</v>
      </c>
      <c r="G139" s="39" t="s">
        <v>19</v>
      </c>
      <c r="H139" s="39" t="s">
        <v>55</v>
      </c>
      <c r="I139" s="39" t="e">
        <f>VLOOKUP(E139,#REF!,3,FALSE)</f>
        <v>#REF!</v>
      </c>
      <c r="J139" s="39" t="s">
        <v>1167</v>
      </c>
    </row>
    <row r="140" spans="1:10" x14ac:dyDescent="0.25">
      <c r="A140" t="str">
        <f t="shared" si="2"/>
        <v>BBF316</v>
      </c>
      <c r="B140" s="39" t="s">
        <v>56</v>
      </c>
      <c r="C140" s="39" t="s">
        <v>96</v>
      </c>
      <c r="D140" s="39" t="s">
        <v>401</v>
      </c>
      <c r="E140" s="39" t="s">
        <v>402</v>
      </c>
      <c r="F140" s="39" t="s">
        <v>403</v>
      </c>
      <c r="G140" s="39" t="s">
        <v>19</v>
      </c>
      <c r="H140" s="39" t="s">
        <v>287</v>
      </c>
      <c r="I140" s="39" t="e">
        <f>VLOOKUP(E140,#REF!,3,FALSE)</f>
        <v>#REF!</v>
      </c>
      <c r="J140" s="39" t="s">
        <v>1167</v>
      </c>
    </row>
    <row r="141" spans="1:10" x14ac:dyDescent="0.25">
      <c r="A141" t="str">
        <f t="shared" si="2"/>
        <v>BBF316</v>
      </c>
      <c r="B141" s="39" t="s">
        <v>781</v>
      </c>
      <c r="C141" s="39" t="s">
        <v>96</v>
      </c>
      <c r="D141" s="39" t="s">
        <v>401</v>
      </c>
      <c r="E141" s="39" t="s">
        <v>402</v>
      </c>
      <c r="F141" s="39" t="s">
        <v>403</v>
      </c>
      <c r="G141" s="39" t="s">
        <v>19</v>
      </c>
      <c r="H141" s="39" t="s">
        <v>87</v>
      </c>
      <c r="I141" s="39" t="e">
        <f>VLOOKUP(E141,#REF!,3,FALSE)</f>
        <v>#REF!</v>
      </c>
      <c r="J141" s="39" t="s">
        <v>1167</v>
      </c>
    </row>
    <row r="142" spans="1:10" x14ac:dyDescent="0.25">
      <c r="A142" t="str">
        <f t="shared" si="2"/>
        <v>COM224/BSE212</v>
      </c>
      <c r="B142" s="39" t="s">
        <v>9</v>
      </c>
      <c r="C142" s="39" t="s">
        <v>47</v>
      </c>
      <c r="D142" s="39" t="s">
        <v>88</v>
      </c>
      <c r="E142" s="39" t="s">
        <v>89</v>
      </c>
      <c r="F142" s="39" t="s">
        <v>90</v>
      </c>
      <c r="G142" s="39" t="s">
        <v>14</v>
      </c>
      <c r="H142" s="39" t="s">
        <v>91</v>
      </c>
      <c r="I142" s="39" t="e">
        <f>VLOOKUP(E142,#REF!,3,FALSE)</f>
        <v>#REF!</v>
      </c>
      <c r="J142" s="39" t="s">
        <v>1171</v>
      </c>
    </row>
    <row r="143" spans="1:10" x14ac:dyDescent="0.25">
      <c r="A143" t="str">
        <f t="shared" si="2"/>
        <v>BIT122/BSE121</v>
      </c>
      <c r="B143" s="39" t="s">
        <v>9</v>
      </c>
      <c r="C143" s="39" t="s">
        <v>96</v>
      </c>
      <c r="D143" s="39" t="s">
        <v>116</v>
      </c>
      <c r="E143" s="39" t="s">
        <v>117</v>
      </c>
      <c r="F143" s="39" t="s">
        <v>118</v>
      </c>
      <c r="G143" s="39" t="s">
        <v>14</v>
      </c>
      <c r="H143" s="39" t="s">
        <v>33</v>
      </c>
      <c r="I143" s="39" t="e">
        <f>VLOOKUP(E143,#REF!,3,FALSE)</f>
        <v>#REF!</v>
      </c>
      <c r="J143" s="39" t="s">
        <v>1171</v>
      </c>
    </row>
    <row r="144" spans="1:10" x14ac:dyDescent="0.25">
      <c r="A144" t="str">
        <f t="shared" si="2"/>
        <v>BSE221</v>
      </c>
      <c r="B144" s="39" t="s">
        <v>56</v>
      </c>
      <c r="C144" s="39" t="s">
        <v>96</v>
      </c>
      <c r="D144" s="39" t="s">
        <v>238</v>
      </c>
      <c r="E144" s="39" t="s">
        <v>411</v>
      </c>
      <c r="F144" s="39" t="s">
        <v>412</v>
      </c>
      <c r="G144" s="39" t="s">
        <v>14</v>
      </c>
      <c r="H144" s="39" t="s">
        <v>61</v>
      </c>
      <c r="I144" s="39" t="e">
        <f>VLOOKUP(E144,#REF!,3,FALSE)</f>
        <v>#REF!</v>
      </c>
      <c r="J144" s="39" t="s">
        <v>1171</v>
      </c>
    </row>
    <row r="145" spans="1:10" x14ac:dyDescent="0.25">
      <c r="A145" t="str">
        <f t="shared" si="2"/>
        <v>DCS111</v>
      </c>
      <c r="B145" s="39" t="s">
        <v>216</v>
      </c>
      <c r="C145" s="39" t="s">
        <v>47</v>
      </c>
      <c r="D145" s="39" t="s">
        <v>11</v>
      </c>
      <c r="E145" s="39" t="s">
        <v>1207</v>
      </c>
      <c r="F145" s="39" t="s">
        <v>462</v>
      </c>
      <c r="G145" s="39" t="s">
        <v>14</v>
      </c>
      <c r="H145" s="39" t="s">
        <v>70</v>
      </c>
      <c r="I145" s="39" t="e">
        <f>VLOOKUP(E145,#REF!,3,FALSE)</f>
        <v>#REF!</v>
      </c>
      <c r="J145" s="39" t="s">
        <v>1167</v>
      </c>
    </row>
    <row r="146" spans="1:10" x14ac:dyDescent="0.25">
      <c r="A146" t="str">
        <f t="shared" si="2"/>
        <v>FOS126</v>
      </c>
      <c r="B146" s="39" t="s">
        <v>216</v>
      </c>
      <c r="C146" s="39" t="s">
        <v>96</v>
      </c>
      <c r="D146" s="39" t="s">
        <v>1208</v>
      </c>
      <c r="E146" s="39" t="s">
        <v>659</v>
      </c>
      <c r="F146" s="39" t="s">
        <v>660</v>
      </c>
      <c r="G146" s="39" t="s">
        <v>14</v>
      </c>
      <c r="H146" s="39" t="s">
        <v>363</v>
      </c>
      <c r="I146" s="39" t="e">
        <f>VLOOKUP(E146,#REF!,3,FALSE)</f>
        <v>#REF!</v>
      </c>
      <c r="J146" s="39" t="s">
        <v>1171</v>
      </c>
    </row>
    <row r="147" spans="1:10" x14ac:dyDescent="0.25">
      <c r="A147" t="str">
        <f t="shared" si="2"/>
        <v>MIT717</v>
      </c>
      <c r="B147" s="39" t="s">
        <v>812</v>
      </c>
      <c r="C147" s="39" t="s">
        <v>47</v>
      </c>
      <c r="D147" s="39" t="s">
        <v>1179</v>
      </c>
      <c r="E147" s="39" t="s">
        <v>1209</v>
      </c>
      <c r="F147" s="39" t="s">
        <v>1210</v>
      </c>
      <c r="G147" s="39" t="s">
        <v>14</v>
      </c>
      <c r="H147" s="39" t="s">
        <v>792</v>
      </c>
      <c r="I147" s="39" t="e">
        <f>VLOOKUP(E147,#REF!,3,FALSE)</f>
        <v>#REF!</v>
      </c>
      <c r="J147" s="39" t="s">
        <v>1167</v>
      </c>
    </row>
    <row r="148" spans="1:10" x14ac:dyDescent="0.25">
      <c r="A148" t="str">
        <f t="shared" si="2"/>
        <v>PLM315</v>
      </c>
      <c r="B148" s="39" t="s">
        <v>66</v>
      </c>
      <c r="C148" s="39" t="s">
        <v>140</v>
      </c>
      <c r="D148" s="39" t="s">
        <v>276</v>
      </c>
      <c r="E148" s="39" t="s">
        <v>588</v>
      </c>
      <c r="F148" s="39" t="s">
        <v>589</v>
      </c>
      <c r="G148" s="39" t="s">
        <v>19</v>
      </c>
      <c r="H148" s="39" t="s">
        <v>15</v>
      </c>
      <c r="I148" s="39" t="e">
        <f>VLOOKUP(E148,#REF!,3,FALSE)</f>
        <v>#REF!</v>
      </c>
      <c r="J148" s="39" t="s">
        <v>1167</v>
      </c>
    </row>
    <row r="149" spans="1:10" x14ac:dyDescent="0.25">
      <c r="A149" t="str">
        <f t="shared" si="2"/>
        <v>RSC003</v>
      </c>
      <c r="B149" s="39" t="s">
        <v>781</v>
      </c>
      <c r="C149" s="39" t="s">
        <v>10</v>
      </c>
      <c r="D149" s="39" t="s">
        <v>1211</v>
      </c>
      <c r="E149" s="39" t="s">
        <v>800</v>
      </c>
      <c r="F149" s="39" t="s">
        <v>801</v>
      </c>
      <c r="G149" s="39" t="s">
        <v>19</v>
      </c>
      <c r="H149" s="39" t="s">
        <v>46</v>
      </c>
      <c r="I149" s="39" t="e">
        <f>VLOOKUP(E149,#REF!,3,FALSE)</f>
        <v>#REF!</v>
      </c>
      <c r="J149" s="39" t="s">
        <v>1167</v>
      </c>
    </row>
    <row r="150" spans="1:10" x14ac:dyDescent="0.25">
      <c r="A150" t="str">
        <f t="shared" si="2"/>
        <v>MED813</v>
      </c>
      <c r="B150" s="39" t="s">
        <v>781</v>
      </c>
      <c r="C150" s="39" t="s">
        <v>140</v>
      </c>
      <c r="D150" s="39" t="s">
        <v>813</v>
      </c>
      <c r="E150" s="39" t="s">
        <v>937</v>
      </c>
      <c r="F150" s="39" t="s">
        <v>938</v>
      </c>
      <c r="G150" s="39" t="s">
        <v>14</v>
      </c>
      <c r="H150" s="39" t="s">
        <v>792</v>
      </c>
      <c r="I150" s="39" t="e">
        <f>VLOOKUP(E150,#REF!,3,FALSE)</f>
        <v>#REF!</v>
      </c>
      <c r="J150" s="39" t="s">
        <v>1167</v>
      </c>
    </row>
    <row r="151" spans="1:10" x14ac:dyDescent="0.25">
      <c r="A151" t="str">
        <f t="shared" si="2"/>
        <v>MED721</v>
      </c>
      <c r="B151" s="39" t="s">
        <v>812</v>
      </c>
      <c r="C151" s="39" t="s">
        <v>47</v>
      </c>
      <c r="D151" s="39" t="s">
        <v>850</v>
      </c>
      <c r="E151" s="39" t="s">
        <v>1007</v>
      </c>
      <c r="F151" s="39" t="s">
        <v>1008</v>
      </c>
      <c r="G151" s="39" t="s">
        <v>28</v>
      </c>
      <c r="H151" s="39" t="s">
        <v>792</v>
      </c>
      <c r="I151" s="39" t="e">
        <f>VLOOKUP(E151,#REF!,3,FALSE)</f>
        <v>#REF!</v>
      </c>
      <c r="J151" s="39" t="s">
        <v>1167</v>
      </c>
    </row>
    <row r="152" spans="1:10" x14ac:dyDescent="0.25">
      <c r="A152" t="str">
        <f t="shared" si="2"/>
        <v>BSE111</v>
      </c>
      <c r="B152" s="39" t="s">
        <v>56</v>
      </c>
      <c r="C152" s="39" t="s">
        <v>47</v>
      </c>
      <c r="D152" s="39" t="s">
        <v>318</v>
      </c>
      <c r="E152" s="39" t="s">
        <v>319</v>
      </c>
      <c r="F152" s="39" t="s">
        <v>320</v>
      </c>
      <c r="G152" s="39" t="s">
        <v>14</v>
      </c>
      <c r="H152" s="39" t="s">
        <v>15</v>
      </c>
      <c r="I152" s="39" t="e">
        <f>VLOOKUP(E152,#REF!,3,FALSE)</f>
        <v>#REF!</v>
      </c>
      <c r="J152" s="39" t="s">
        <v>1167</v>
      </c>
    </row>
    <row r="153" spans="1:10" x14ac:dyDescent="0.25">
      <c r="A153" t="str">
        <f t="shared" si="2"/>
        <v>EHS222</v>
      </c>
      <c r="B153" s="39" t="s">
        <v>781</v>
      </c>
      <c r="C153" s="39" t="s">
        <v>10</v>
      </c>
      <c r="D153" s="39" t="s">
        <v>802</v>
      </c>
      <c r="E153" s="39" t="s">
        <v>803</v>
      </c>
      <c r="F153" s="39" t="s">
        <v>804</v>
      </c>
      <c r="G153" s="39" t="s">
        <v>14</v>
      </c>
      <c r="H153" s="39" t="s">
        <v>65</v>
      </c>
      <c r="I153" s="39" t="e">
        <f>VLOOKUP(E153,#REF!,3,FALSE)</f>
        <v>#REF!</v>
      </c>
      <c r="J153" s="39" t="s">
        <v>1167</v>
      </c>
    </row>
    <row r="154" spans="1:10" x14ac:dyDescent="0.25">
      <c r="A154" t="str">
        <f t="shared" si="2"/>
        <v>EHS224</v>
      </c>
      <c r="B154" s="39" t="s">
        <v>781</v>
      </c>
      <c r="C154" s="39" t="s">
        <v>96</v>
      </c>
      <c r="D154" s="39" t="s">
        <v>802</v>
      </c>
      <c r="E154" s="39" t="s">
        <v>939</v>
      </c>
      <c r="F154" s="39" t="s">
        <v>940</v>
      </c>
      <c r="G154" s="39" t="s">
        <v>14</v>
      </c>
      <c r="H154" s="39" t="s">
        <v>65</v>
      </c>
      <c r="I154" s="39" t="e">
        <f>VLOOKUP(E154,#REF!,3,FALSE)</f>
        <v>#REF!</v>
      </c>
      <c r="J154" s="39" t="s">
        <v>1167</v>
      </c>
    </row>
    <row r="155" spans="1:10" x14ac:dyDescent="0.25">
      <c r="A155" t="str">
        <f t="shared" si="2"/>
        <v>EHS315</v>
      </c>
      <c r="B155" s="39" t="s">
        <v>781</v>
      </c>
      <c r="C155" s="39" t="s">
        <v>140</v>
      </c>
      <c r="D155" s="39" t="s">
        <v>786</v>
      </c>
      <c r="E155" s="39" t="s">
        <v>893</v>
      </c>
      <c r="F155" s="39" t="s">
        <v>894</v>
      </c>
      <c r="G155" s="39" t="s">
        <v>14</v>
      </c>
      <c r="H155" s="39" t="s">
        <v>29</v>
      </c>
      <c r="I155" s="39" t="e">
        <f>VLOOKUP(E155,#REF!,3,FALSE)</f>
        <v>#REF!</v>
      </c>
      <c r="J155" s="39" t="s">
        <v>1167</v>
      </c>
    </row>
    <row r="156" spans="1:10" x14ac:dyDescent="0.25">
      <c r="A156" t="str">
        <f t="shared" si="2"/>
        <v>EHS225</v>
      </c>
      <c r="B156" s="39" t="s">
        <v>812</v>
      </c>
      <c r="C156" s="39" t="s">
        <v>10</v>
      </c>
      <c r="D156" s="39" t="s">
        <v>802</v>
      </c>
      <c r="E156" s="39" t="s">
        <v>991</v>
      </c>
      <c r="F156" s="39" t="s">
        <v>992</v>
      </c>
      <c r="G156" s="39" t="s">
        <v>14</v>
      </c>
      <c r="H156" s="39" t="s">
        <v>65</v>
      </c>
      <c r="I156" s="39" t="e">
        <f>VLOOKUP(E156,#REF!,3,FALSE)</f>
        <v>#REF!</v>
      </c>
      <c r="J156" s="39" t="s">
        <v>1167</v>
      </c>
    </row>
    <row r="157" spans="1:10" x14ac:dyDescent="0.25">
      <c r="A157" t="str">
        <f t="shared" si="2"/>
        <v>EHS314</v>
      </c>
      <c r="B157" s="39" t="s">
        <v>812</v>
      </c>
      <c r="C157" s="39" t="s">
        <v>140</v>
      </c>
      <c r="D157" s="39" t="s">
        <v>786</v>
      </c>
      <c r="E157" s="39" t="s">
        <v>1056</v>
      </c>
      <c r="F157" s="39" t="s">
        <v>1057</v>
      </c>
      <c r="G157" s="39" t="s">
        <v>14</v>
      </c>
      <c r="H157" s="39" t="s">
        <v>220</v>
      </c>
      <c r="I157" s="39" t="e">
        <f>VLOOKUP(E157,#REF!,3,FALSE)</f>
        <v>#REF!</v>
      </c>
      <c r="J157" s="39" t="s">
        <v>1167</v>
      </c>
    </row>
    <row r="158" spans="1:10" x14ac:dyDescent="0.25">
      <c r="A158" t="str">
        <f t="shared" si="2"/>
        <v>BBF315</v>
      </c>
      <c r="B158" s="39" t="s">
        <v>56</v>
      </c>
      <c r="C158" s="39" t="s">
        <v>10</v>
      </c>
      <c r="D158" s="39" t="s">
        <v>688</v>
      </c>
      <c r="E158" s="39" t="s">
        <v>689</v>
      </c>
      <c r="F158" s="39" t="s">
        <v>690</v>
      </c>
      <c r="G158" s="39" t="s">
        <v>19</v>
      </c>
      <c r="H158" s="39" t="s">
        <v>79</v>
      </c>
      <c r="I158" s="39" t="e">
        <f>VLOOKUP(E158,#REF!,3,FALSE)</f>
        <v>#REF!</v>
      </c>
      <c r="J158" s="39" t="s">
        <v>1167</v>
      </c>
    </row>
    <row r="159" spans="1:10" x14ac:dyDescent="0.25">
      <c r="A159" t="str">
        <f t="shared" si="2"/>
        <v>BBA314</v>
      </c>
      <c r="B159" s="39" t="s">
        <v>56</v>
      </c>
      <c r="C159" s="39" t="s">
        <v>47</v>
      </c>
      <c r="D159" s="39" t="s">
        <v>508</v>
      </c>
      <c r="E159" s="39" t="s">
        <v>358</v>
      </c>
      <c r="F159" s="39" t="s">
        <v>1212</v>
      </c>
      <c r="G159" s="39" t="s">
        <v>19</v>
      </c>
      <c r="H159" s="39" t="s">
        <v>24</v>
      </c>
      <c r="I159" s="39" t="e">
        <f>VLOOKUP(E159,#REF!,3,FALSE)</f>
        <v>#REF!</v>
      </c>
      <c r="J159" s="39" t="s">
        <v>1167</v>
      </c>
    </row>
    <row r="160" spans="1:10" x14ac:dyDescent="0.25">
      <c r="A160" t="str">
        <f t="shared" si="2"/>
        <v>DBA223</v>
      </c>
      <c r="B160" s="39" t="s">
        <v>66</v>
      </c>
      <c r="C160" s="39" t="s">
        <v>10</v>
      </c>
      <c r="D160" s="39" t="s">
        <v>248</v>
      </c>
      <c r="E160" s="39" t="s">
        <v>404</v>
      </c>
      <c r="F160" s="39" t="s">
        <v>405</v>
      </c>
      <c r="G160" s="39" t="s">
        <v>19</v>
      </c>
      <c r="H160" s="39" t="s">
        <v>24</v>
      </c>
      <c r="I160" s="39" t="e">
        <f>VLOOKUP(E160,#REF!,3,FALSE)</f>
        <v>#REF!</v>
      </c>
      <c r="J160" s="39" t="s">
        <v>1167</v>
      </c>
    </row>
    <row r="161" spans="1:10" x14ac:dyDescent="0.25">
      <c r="A161" t="str">
        <f t="shared" si="2"/>
        <v>FOA121</v>
      </c>
      <c r="B161" s="39" t="s">
        <v>66</v>
      </c>
      <c r="C161" s="39" t="s">
        <v>47</v>
      </c>
      <c r="D161" s="39" t="s">
        <v>1194</v>
      </c>
      <c r="E161" s="39" t="s">
        <v>482</v>
      </c>
      <c r="F161" s="39" t="s">
        <v>483</v>
      </c>
      <c r="G161" s="39" t="s">
        <v>19</v>
      </c>
      <c r="H161" s="39" t="s">
        <v>103</v>
      </c>
      <c r="I161" s="39" t="e">
        <f>VLOOKUP(E161,#REF!,3,FALSE)</f>
        <v>#REF!</v>
      </c>
      <c r="J161" s="39" t="s">
        <v>1167</v>
      </c>
    </row>
    <row r="162" spans="1:10" x14ac:dyDescent="0.25">
      <c r="A162" t="str">
        <f t="shared" si="2"/>
        <v>BBA211</v>
      </c>
      <c r="B162" s="39" t="s">
        <v>66</v>
      </c>
      <c r="C162" s="39" t="s">
        <v>96</v>
      </c>
      <c r="D162" s="39" t="s">
        <v>1213</v>
      </c>
      <c r="E162" s="39" t="s">
        <v>546</v>
      </c>
      <c r="F162" s="39" t="s">
        <v>547</v>
      </c>
      <c r="G162" s="39" t="s">
        <v>19</v>
      </c>
      <c r="H162" s="39" t="s">
        <v>237</v>
      </c>
      <c r="I162" s="39" t="e">
        <f>VLOOKUP(E162,#REF!,3,FALSE)</f>
        <v>#REF!</v>
      </c>
      <c r="J162" s="39" t="s">
        <v>1167</v>
      </c>
    </row>
    <row r="163" spans="1:10" x14ac:dyDescent="0.25">
      <c r="A163" t="str">
        <f t="shared" si="2"/>
        <v>BBA314</v>
      </c>
      <c r="B163" s="39" t="s">
        <v>781</v>
      </c>
      <c r="C163" s="39" t="s">
        <v>10</v>
      </c>
      <c r="D163" s="39" t="s">
        <v>357</v>
      </c>
      <c r="E163" s="39" t="s">
        <v>358</v>
      </c>
      <c r="F163" s="39" t="s">
        <v>359</v>
      </c>
      <c r="G163" s="39" t="s">
        <v>19</v>
      </c>
      <c r="H163" s="39" t="s">
        <v>287</v>
      </c>
      <c r="I163" s="39" t="e">
        <f>VLOOKUP(E163,#REF!,3,FALSE)</f>
        <v>#REF!</v>
      </c>
      <c r="J163" s="39" t="s">
        <v>1167</v>
      </c>
    </row>
    <row r="164" spans="1:10" x14ac:dyDescent="0.25">
      <c r="A164" t="str">
        <f t="shared" si="2"/>
        <v>BBA211</v>
      </c>
      <c r="B164" s="39" t="s">
        <v>812</v>
      </c>
      <c r="C164" s="39" t="s">
        <v>96</v>
      </c>
      <c r="D164" s="39" t="s">
        <v>785</v>
      </c>
      <c r="E164" s="39" t="s">
        <v>546</v>
      </c>
      <c r="F164" s="39" t="s">
        <v>547</v>
      </c>
      <c r="G164" s="39" t="s">
        <v>19</v>
      </c>
      <c r="H164" s="39" t="s">
        <v>287</v>
      </c>
      <c r="I164" s="39" t="e">
        <f>VLOOKUP(E164,#REF!,3,FALSE)</f>
        <v>#REF!</v>
      </c>
      <c r="J164" s="39" t="s">
        <v>1167</v>
      </c>
    </row>
    <row r="165" spans="1:10" x14ac:dyDescent="0.25">
      <c r="A165" t="str">
        <f t="shared" si="2"/>
        <v>EHS223</v>
      </c>
      <c r="B165" s="39" t="s">
        <v>56</v>
      </c>
      <c r="C165" s="39" t="s">
        <v>96</v>
      </c>
      <c r="D165" s="39" t="s">
        <v>360</v>
      </c>
      <c r="E165" s="39" t="s">
        <v>406</v>
      </c>
      <c r="F165" s="39" t="s">
        <v>23</v>
      </c>
      <c r="G165" s="39" t="s">
        <v>14</v>
      </c>
      <c r="H165" s="39" t="s">
        <v>407</v>
      </c>
      <c r="I165" s="39" t="e">
        <f>VLOOKUP(E165,#REF!,3,FALSE)</f>
        <v>#REF!</v>
      </c>
      <c r="J165" s="39" t="s">
        <v>1167</v>
      </c>
    </row>
    <row r="166" spans="1:10" x14ac:dyDescent="0.25">
      <c r="A166" t="str">
        <f t="shared" si="2"/>
        <v>EHS124</v>
      </c>
      <c r="B166" s="39" t="s">
        <v>781</v>
      </c>
      <c r="C166" s="39" t="s">
        <v>10</v>
      </c>
      <c r="D166" s="39" t="s">
        <v>805</v>
      </c>
      <c r="E166" s="39" t="s">
        <v>806</v>
      </c>
      <c r="F166" s="39" t="s">
        <v>807</v>
      </c>
      <c r="G166" s="39" t="s">
        <v>14</v>
      </c>
      <c r="H166" s="39" t="s">
        <v>103</v>
      </c>
      <c r="I166" s="39" t="e">
        <f>VLOOKUP(E166,#REF!,3,FALSE)</f>
        <v>#REF!</v>
      </c>
      <c r="J166" s="39" t="s">
        <v>1167</v>
      </c>
    </row>
    <row r="167" spans="1:10" x14ac:dyDescent="0.25">
      <c r="A167" t="str">
        <f t="shared" si="2"/>
        <v>EHS323</v>
      </c>
      <c r="B167" s="39" t="s">
        <v>781</v>
      </c>
      <c r="C167" s="39" t="s">
        <v>96</v>
      </c>
      <c r="D167" s="39" t="s">
        <v>826</v>
      </c>
      <c r="E167" s="39" t="s">
        <v>1030</v>
      </c>
      <c r="F167" s="39" t="s">
        <v>1031</v>
      </c>
      <c r="G167" s="39" t="s">
        <v>14</v>
      </c>
      <c r="H167" s="39" t="s">
        <v>363</v>
      </c>
      <c r="I167" s="39" t="e">
        <f>VLOOKUP(E167,#REF!,3,FALSE)</f>
        <v>#REF!</v>
      </c>
      <c r="J167" s="39" t="s">
        <v>1167</v>
      </c>
    </row>
    <row r="168" spans="1:10" x14ac:dyDescent="0.25">
      <c r="A168" t="str">
        <f t="shared" si="2"/>
        <v>EHS223</v>
      </c>
      <c r="B168" s="39" t="s">
        <v>812</v>
      </c>
      <c r="C168" s="39" t="s">
        <v>47</v>
      </c>
      <c r="D168" s="39" t="s">
        <v>802</v>
      </c>
      <c r="E168" s="39" t="s">
        <v>406</v>
      </c>
      <c r="F168" s="39" t="s">
        <v>1009</v>
      </c>
      <c r="G168" s="39" t="s">
        <v>14</v>
      </c>
      <c r="H168" s="39" t="s">
        <v>65</v>
      </c>
      <c r="I168" s="39" t="e">
        <f>VLOOKUP(E168,#REF!,3,FALSE)</f>
        <v>#REF!</v>
      </c>
      <c r="J168" s="39" t="s">
        <v>1167</v>
      </c>
    </row>
    <row r="169" spans="1:10" x14ac:dyDescent="0.25">
      <c r="A169" t="str">
        <f t="shared" si="2"/>
        <v>EHS213</v>
      </c>
      <c r="B169" s="39" t="s">
        <v>812</v>
      </c>
      <c r="C169" s="39" t="s">
        <v>96</v>
      </c>
      <c r="D169" s="39" t="s">
        <v>808</v>
      </c>
      <c r="E169" s="39" t="s">
        <v>1028</v>
      </c>
      <c r="F169" s="39" t="s">
        <v>1029</v>
      </c>
      <c r="G169" s="39" t="s">
        <v>14</v>
      </c>
      <c r="H169" s="39" t="s">
        <v>29</v>
      </c>
      <c r="I169" s="39" t="e">
        <f>VLOOKUP(E169,#REF!,3,FALSE)</f>
        <v>#REF!</v>
      </c>
      <c r="J169" s="39" t="s">
        <v>1167</v>
      </c>
    </row>
    <row r="170" spans="1:10" x14ac:dyDescent="0.25">
      <c r="A170" t="str">
        <f t="shared" si="2"/>
        <v>EHS221</v>
      </c>
      <c r="B170" s="39" t="s">
        <v>812</v>
      </c>
      <c r="C170" s="39" t="s">
        <v>140</v>
      </c>
      <c r="D170" s="39" t="s">
        <v>802</v>
      </c>
      <c r="E170" s="39" t="s">
        <v>1058</v>
      </c>
      <c r="F170" s="39" t="s">
        <v>1059</v>
      </c>
      <c r="G170" s="39" t="s">
        <v>14</v>
      </c>
      <c r="H170" s="39" t="s">
        <v>65</v>
      </c>
      <c r="I170" s="39" t="e">
        <f>VLOOKUP(E170,#REF!,3,FALSE)</f>
        <v>#REF!</v>
      </c>
      <c r="J170" s="39" t="s">
        <v>1167</v>
      </c>
    </row>
    <row r="171" spans="1:10" x14ac:dyDescent="0.25">
      <c r="A171" t="str">
        <f t="shared" si="2"/>
        <v>BBA224</v>
      </c>
      <c r="B171" s="39" t="s">
        <v>216</v>
      </c>
      <c r="C171" s="39" t="s">
        <v>10</v>
      </c>
      <c r="D171" s="39" t="s">
        <v>251</v>
      </c>
      <c r="E171" s="39" t="s">
        <v>647</v>
      </c>
      <c r="F171" s="39" t="s">
        <v>648</v>
      </c>
      <c r="G171" s="39" t="s">
        <v>19</v>
      </c>
      <c r="H171" s="39" t="s">
        <v>237</v>
      </c>
      <c r="I171" s="39" t="e">
        <f>VLOOKUP(E171,#REF!,3,FALSE)</f>
        <v>#REF!</v>
      </c>
      <c r="J171" s="39" t="s">
        <v>1167</v>
      </c>
    </row>
    <row r="172" spans="1:10" x14ac:dyDescent="0.25">
      <c r="A172" t="str">
        <f t="shared" si="2"/>
        <v>BBA324</v>
      </c>
      <c r="B172" s="39" t="s">
        <v>216</v>
      </c>
      <c r="C172" s="39" t="s">
        <v>47</v>
      </c>
      <c r="D172" s="39" t="s">
        <v>678</v>
      </c>
      <c r="E172" s="39" t="s">
        <v>679</v>
      </c>
      <c r="F172" s="39" t="s">
        <v>680</v>
      </c>
      <c r="G172" s="39" t="s">
        <v>19</v>
      </c>
      <c r="H172" s="39" t="s">
        <v>55</v>
      </c>
      <c r="I172" s="39" t="e">
        <f>VLOOKUP(E172,#REF!,3,FALSE)</f>
        <v>#REF!</v>
      </c>
      <c r="J172" s="39" t="s">
        <v>1167</v>
      </c>
    </row>
    <row r="173" spans="1:10" x14ac:dyDescent="0.25">
      <c r="A173" t="str">
        <f t="shared" si="2"/>
        <v>HRM311</v>
      </c>
      <c r="B173" s="39" t="s">
        <v>216</v>
      </c>
      <c r="C173" s="39" t="s">
        <v>96</v>
      </c>
      <c r="D173" s="39" t="s">
        <v>229</v>
      </c>
      <c r="E173" s="39" t="s">
        <v>715</v>
      </c>
      <c r="F173" s="39" t="s">
        <v>716</v>
      </c>
      <c r="G173" s="39" t="s">
        <v>19</v>
      </c>
      <c r="H173" s="39" t="s">
        <v>112</v>
      </c>
      <c r="I173" s="39" t="e">
        <f>VLOOKUP(E173,#REF!,3,FALSE)</f>
        <v>#REF!</v>
      </c>
      <c r="J173" s="39" t="s">
        <v>1167</v>
      </c>
    </row>
    <row r="174" spans="1:10" x14ac:dyDescent="0.25">
      <c r="A174" t="str">
        <f t="shared" si="2"/>
        <v>MHR814</v>
      </c>
      <c r="B174" s="39" t="s">
        <v>781</v>
      </c>
      <c r="C174" s="39" t="s">
        <v>47</v>
      </c>
      <c r="D174" s="39" t="s">
        <v>842</v>
      </c>
      <c r="E174" s="39" t="s">
        <v>843</v>
      </c>
      <c r="F174" s="39" t="s">
        <v>844</v>
      </c>
      <c r="G174" s="39" t="s">
        <v>19</v>
      </c>
      <c r="H174" s="39" t="s">
        <v>61</v>
      </c>
      <c r="I174" s="39" t="e">
        <f>VLOOKUP(E174,#REF!,3,FALSE)</f>
        <v>#REF!</v>
      </c>
      <c r="J174" s="39" t="s">
        <v>1167</v>
      </c>
    </row>
    <row r="175" spans="1:10" x14ac:dyDescent="0.25">
      <c r="A175" t="str">
        <f t="shared" si="2"/>
        <v>BBA224</v>
      </c>
      <c r="B175" s="39" t="s">
        <v>812</v>
      </c>
      <c r="C175" s="39" t="s">
        <v>47</v>
      </c>
      <c r="D175" s="39" t="s">
        <v>919</v>
      </c>
      <c r="E175" s="39" t="s">
        <v>647</v>
      </c>
      <c r="F175" s="39" t="s">
        <v>648</v>
      </c>
      <c r="G175" s="39" t="s">
        <v>19</v>
      </c>
      <c r="H175" s="39" t="s">
        <v>83</v>
      </c>
      <c r="I175" s="39" t="e">
        <f>VLOOKUP(E175,#REF!,3,FALSE)</f>
        <v>#REF!</v>
      </c>
      <c r="J175" s="39" t="s">
        <v>1167</v>
      </c>
    </row>
    <row r="176" spans="1:10" x14ac:dyDescent="0.25">
      <c r="A176" t="str">
        <f t="shared" si="2"/>
        <v>BPH114</v>
      </c>
      <c r="B176" s="39" t="s">
        <v>216</v>
      </c>
      <c r="C176" s="39" t="s">
        <v>47</v>
      </c>
      <c r="D176" s="39" t="s">
        <v>217</v>
      </c>
      <c r="E176" s="39" t="s">
        <v>218</v>
      </c>
      <c r="F176" s="39" t="s">
        <v>219</v>
      </c>
      <c r="G176" s="39" t="s">
        <v>14</v>
      </c>
      <c r="H176" s="39" t="s">
        <v>220</v>
      </c>
      <c r="I176" s="39" t="e">
        <f>VLOOKUP(E176,#REF!,3,FALSE)</f>
        <v>#REF!</v>
      </c>
      <c r="J176" s="39" t="s">
        <v>1167</v>
      </c>
    </row>
    <row r="177" spans="1:10" x14ac:dyDescent="0.25">
      <c r="A177" t="str">
        <f t="shared" si="2"/>
        <v>BPH222</v>
      </c>
      <c r="B177" s="39" t="s">
        <v>216</v>
      </c>
      <c r="C177" s="39" t="s">
        <v>96</v>
      </c>
      <c r="D177" s="39" t="s">
        <v>360</v>
      </c>
      <c r="E177" s="39" t="s">
        <v>361</v>
      </c>
      <c r="F177" s="39" t="s">
        <v>362</v>
      </c>
      <c r="G177" s="39" t="s">
        <v>14</v>
      </c>
      <c r="H177" s="39" t="s">
        <v>65</v>
      </c>
      <c r="I177" s="39" t="e">
        <f>VLOOKUP(E177,#REF!,3,FALSE)</f>
        <v>#REF!</v>
      </c>
      <c r="J177" s="39" t="s">
        <v>1167</v>
      </c>
    </row>
    <row r="178" spans="1:10" x14ac:dyDescent="0.25">
      <c r="A178" t="str">
        <f t="shared" si="2"/>
        <v>EHS212</v>
      </c>
      <c r="B178" s="39" t="s">
        <v>781</v>
      </c>
      <c r="C178" s="39" t="s">
        <v>10</v>
      </c>
      <c r="D178" s="39" t="s">
        <v>808</v>
      </c>
      <c r="E178" s="39" t="s">
        <v>809</v>
      </c>
      <c r="F178" s="39" t="s">
        <v>810</v>
      </c>
      <c r="G178" s="39" t="s">
        <v>14</v>
      </c>
      <c r="H178" s="39" t="s">
        <v>29</v>
      </c>
      <c r="I178" s="39" t="e">
        <f>VLOOKUP(E178,#REF!,3,FALSE)</f>
        <v>#REF!</v>
      </c>
      <c r="J178" s="39" t="s">
        <v>1167</v>
      </c>
    </row>
    <row r="179" spans="1:10" x14ac:dyDescent="0.25">
      <c r="A179" t="str">
        <f t="shared" si="2"/>
        <v>EHS122</v>
      </c>
      <c r="B179" s="39" t="s">
        <v>781</v>
      </c>
      <c r="C179" s="39" t="s">
        <v>47</v>
      </c>
      <c r="D179" s="39" t="s">
        <v>805</v>
      </c>
      <c r="E179" s="39" t="s">
        <v>845</v>
      </c>
      <c r="F179" s="39" t="s">
        <v>846</v>
      </c>
      <c r="G179" s="39" t="s">
        <v>14</v>
      </c>
      <c r="H179" s="39" t="s">
        <v>103</v>
      </c>
      <c r="I179" s="39" t="e">
        <f>VLOOKUP(E179,#REF!,3,FALSE)</f>
        <v>#REF!</v>
      </c>
      <c r="J179" s="39" t="s">
        <v>1167</v>
      </c>
    </row>
    <row r="180" spans="1:10" x14ac:dyDescent="0.25">
      <c r="A180" t="str">
        <f t="shared" si="2"/>
        <v>EHS316</v>
      </c>
      <c r="B180" s="39" t="s">
        <v>781</v>
      </c>
      <c r="C180" s="39" t="s">
        <v>96</v>
      </c>
      <c r="D180" s="39" t="s">
        <v>786</v>
      </c>
      <c r="E180" s="39" t="s">
        <v>895</v>
      </c>
      <c r="F180" s="39" t="s">
        <v>896</v>
      </c>
      <c r="G180" s="39" t="s">
        <v>14</v>
      </c>
      <c r="H180" s="39" t="s">
        <v>368</v>
      </c>
      <c r="I180" s="39" t="e">
        <f>VLOOKUP(E180,#REF!,3,FALSE)</f>
        <v>#REF!</v>
      </c>
      <c r="J180" s="39" t="s">
        <v>1167</v>
      </c>
    </row>
    <row r="181" spans="1:10" x14ac:dyDescent="0.25">
      <c r="A181" t="str">
        <f t="shared" si="2"/>
        <v>EHS111</v>
      </c>
      <c r="B181" s="39" t="s">
        <v>781</v>
      </c>
      <c r="C181" s="39" t="s">
        <v>140</v>
      </c>
      <c r="D181" s="39" t="s">
        <v>787</v>
      </c>
      <c r="E181" s="39" t="s">
        <v>941</v>
      </c>
      <c r="F181" s="39" t="s">
        <v>942</v>
      </c>
      <c r="G181" s="39" t="s">
        <v>14</v>
      </c>
      <c r="H181" s="39" t="s">
        <v>112</v>
      </c>
      <c r="I181" s="39" t="e">
        <f>VLOOKUP(E181,#REF!,3,FALSE)</f>
        <v>#REF!</v>
      </c>
      <c r="J181" s="39" t="s">
        <v>1167</v>
      </c>
    </row>
    <row r="182" spans="1:10" x14ac:dyDescent="0.25">
      <c r="A182" t="str">
        <f t="shared" si="2"/>
        <v>PLM322</v>
      </c>
      <c r="B182" s="39" t="s">
        <v>9</v>
      </c>
      <c r="C182" s="39" t="s">
        <v>47</v>
      </c>
      <c r="D182" s="39" t="s">
        <v>187</v>
      </c>
      <c r="E182" s="39" t="s">
        <v>364</v>
      </c>
      <c r="F182" s="39" t="s">
        <v>365</v>
      </c>
      <c r="G182" s="39" t="s">
        <v>19</v>
      </c>
      <c r="H182" s="39" t="s">
        <v>287</v>
      </c>
      <c r="I182" s="39" t="e">
        <f>VLOOKUP(E182,#REF!,3,FALSE)</f>
        <v>#REF!</v>
      </c>
      <c r="J182" s="39" t="s">
        <v>1167</v>
      </c>
    </row>
    <row r="183" spans="1:10" x14ac:dyDescent="0.25">
      <c r="A183" t="str">
        <f t="shared" si="2"/>
        <v>PLM328</v>
      </c>
      <c r="B183" s="39" t="s">
        <v>9</v>
      </c>
      <c r="C183" s="39" t="s">
        <v>96</v>
      </c>
      <c r="D183" s="39" t="s">
        <v>187</v>
      </c>
      <c r="E183" s="39" t="s">
        <v>1214</v>
      </c>
      <c r="F183" s="39" t="s">
        <v>1215</v>
      </c>
      <c r="G183" s="39" t="s">
        <v>19</v>
      </c>
      <c r="H183" s="39" t="s">
        <v>79</v>
      </c>
      <c r="I183" s="39" t="e">
        <f>VLOOKUP(E183,#REF!,3,FALSE)</f>
        <v>#REF!</v>
      </c>
      <c r="J183" s="39" t="s">
        <v>1171</v>
      </c>
    </row>
    <row r="184" spans="1:10" x14ac:dyDescent="0.25">
      <c r="A184" t="str">
        <f t="shared" si="2"/>
        <v>PLM325</v>
      </c>
      <c r="B184" s="39" t="s">
        <v>9</v>
      </c>
      <c r="C184" s="39" t="s">
        <v>140</v>
      </c>
      <c r="D184" s="39" t="s">
        <v>548</v>
      </c>
      <c r="E184" s="39" t="s">
        <v>549</v>
      </c>
      <c r="F184" s="39" t="s">
        <v>550</v>
      </c>
      <c r="G184" s="39" t="s">
        <v>19</v>
      </c>
      <c r="H184" s="39" t="s">
        <v>83</v>
      </c>
      <c r="I184" s="39" t="e">
        <f>VLOOKUP(E184,#REF!,3,FALSE)</f>
        <v>#REF!</v>
      </c>
      <c r="J184" s="39" t="s">
        <v>1167</v>
      </c>
    </row>
    <row r="185" spans="1:10" x14ac:dyDescent="0.25">
      <c r="A185" t="str">
        <f t="shared" si="2"/>
        <v>PLM327</v>
      </c>
      <c r="B185" s="39" t="s">
        <v>170</v>
      </c>
      <c r="C185" s="39" t="s">
        <v>47</v>
      </c>
      <c r="D185" s="39" t="s">
        <v>187</v>
      </c>
      <c r="E185" s="39" t="s">
        <v>1216</v>
      </c>
      <c r="F185" s="39" t="s">
        <v>1217</v>
      </c>
      <c r="G185" s="39" t="s">
        <v>19</v>
      </c>
      <c r="H185" s="39" t="s">
        <v>55</v>
      </c>
      <c r="I185" s="39" t="e">
        <f>VLOOKUP(E185,#REF!,3,FALSE)</f>
        <v>#REF!</v>
      </c>
      <c r="J185" s="39" t="s">
        <v>1171</v>
      </c>
    </row>
    <row r="186" spans="1:10" x14ac:dyDescent="0.25">
      <c r="A186" t="str">
        <f t="shared" si="2"/>
        <v>FOS112</v>
      </c>
      <c r="B186" s="39" t="s">
        <v>56</v>
      </c>
      <c r="C186" s="39" t="s">
        <v>10</v>
      </c>
      <c r="D186" s="39" t="s">
        <v>1218</v>
      </c>
      <c r="E186" s="39" t="s">
        <v>667</v>
      </c>
      <c r="F186" s="39" t="s">
        <v>668</v>
      </c>
      <c r="G186" s="39" t="s">
        <v>14</v>
      </c>
      <c r="H186" s="39" t="s">
        <v>363</v>
      </c>
      <c r="I186" s="39" t="e">
        <f>VLOOKUP(E186,#REF!,3,FALSE)</f>
        <v>#REF!</v>
      </c>
      <c r="J186" s="39" t="s">
        <v>1171</v>
      </c>
    </row>
    <row r="187" spans="1:10" x14ac:dyDescent="0.25">
      <c r="A187" t="str">
        <f t="shared" si="2"/>
        <v>BIS313</v>
      </c>
      <c r="B187" s="39" t="s">
        <v>56</v>
      </c>
      <c r="C187" s="39" t="s">
        <v>47</v>
      </c>
      <c r="D187" s="39" t="s">
        <v>348</v>
      </c>
      <c r="E187" s="39" t="s">
        <v>349</v>
      </c>
      <c r="F187" s="39" t="s">
        <v>350</v>
      </c>
      <c r="G187" s="39" t="s">
        <v>14</v>
      </c>
      <c r="H187" s="39" t="s">
        <v>91</v>
      </c>
      <c r="I187" s="39" t="e">
        <f>VLOOKUP(E187,#REF!,3,FALSE)</f>
        <v>#REF!</v>
      </c>
      <c r="J187" s="39" t="s">
        <v>1171</v>
      </c>
    </row>
    <row r="188" spans="1:10" x14ac:dyDescent="0.25">
      <c r="A188" t="str">
        <f t="shared" si="2"/>
        <v>COM323</v>
      </c>
      <c r="B188" s="39" t="s">
        <v>66</v>
      </c>
      <c r="C188" s="39" t="s">
        <v>10</v>
      </c>
      <c r="D188" s="39" t="s">
        <v>408</v>
      </c>
      <c r="E188" s="39" t="s">
        <v>409</v>
      </c>
      <c r="F188" s="39" t="s">
        <v>410</v>
      </c>
      <c r="G188" s="39" t="s">
        <v>14</v>
      </c>
      <c r="H188" s="39" t="s">
        <v>70</v>
      </c>
      <c r="I188" s="39" t="e">
        <f>VLOOKUP(E188,#REF!,3,FALSE)</f>
        <v>#REF!</v>
      </c>
      <c r="J188" s="39" t="s">
        <v>1167</v>
      </c>
    </row>
    <row r="189" spans="1:10" x14ac:dyDescent="0.25">
      <c r="A189" t="str">
        <f t="shared" si="2"/>
        <v>BSE322</v>
      </c>
      <c r="B189" s="39" t="s">
        <v>66</v>
      </c>
      <c r="C189" s="39" t="s">
        <v>47</v>
      </c>
      <c r="D189" s="39" t="s">
        <v>58</v>
      </c>
      <c r="E189" s="39" t="s">
        <v>104</v>
      </c>
      <c r="F189" s="39" t="s">
        <v>105</v>
      </c>
      <c r="G189" s="39" t="s">
        <v>14</v>
      </c>
      <c r="H189" s="39" t="s">
        <v>822</v>
      </c>
      <c r="I189" s="39" t="e">
        <f>VLOOKUP(E189,#REF!,3,FALSE)</f>
        <v>#REF!</v>
      </c>
      <c r="J189" s="39" t="s">
        <v>1171</v>
      </c>
    </row>
    <row r="190" spans="1:10" x14ac:dyDescent="0.25">
      <c r="A190" t="str">
        <f t="shared" si="2"/>
        <v>BIT213/BSE213</v>
      </c>
      <c r="B190" s="39" t="s">
        <v>216</v>
      </c>
      <c r="C190" s="39" t="s">
        <v>10</v>
      </c>
      <c r="D190" s="39" t="s">
        <v>30</v>
      </c>
      <c r="E190" s="39" t="s">
        <v>31</v>
      </c>
      <c r="F190" s="39" t="s">
        <v>32</v>
      </c>
      <c r="G190" s="39" t="s">
        <v>14</v>
      </c>
      <c r="H190" s="39" t="s">
        <v>51</v>
      </c>
      <c r="I190" s="39" t="e">
        <f>VLOOKUP(E190,#REF!,3,FALSE)</f>
        <v>#REF!</v>
      </c>
      <c r="J190" s="39" t="s">
        <v>1167</v>
      </c>
    </row>
    <row r="191" spans="1:10" x14ac:dyDescent="0.25">
      <c r="A191" t="str">
        <f t="shared" si="2"/>
        <v>BSE323</v>
      </c>
      <c r="B191" s="39" t="s">
        <v>216</v>
      </c>
      <c r="C191" s="39" t="s">
        <v>47</v>
      </c>
      <c r="D191" s="39" t="s">
        <v>156</v>
      </c>
      <c r="E191" s="39" t="s">
        <v>157</v>
      </c>
      <c r="F191" s="39" t="s">
        <v>158</v>
      </c>
      <c r="G191" s="39" t="s">
        <v>14</v>
      </c>
      <c r="H191" s="39" t="s">
        <v>822</v>
      </c>
      <c r="I191" s="39" t="e">
        <f>VLOOKUP(E191,#REF!,3,FALSE)</f>
        <v>#REF!</v>
      </c>
      <c r="J191" s="39" t="s">
        <v>1171</v>
      </c>
    </row>
    <row r="192" spans="1:10" x14ac:dyDescent="0.25">
      <c r="A192" t="str">
        <f t="shared" si="2"/>
        <v>BBA116/DBA116</v>
      </c>
      <c r="B192" s="39" t="s">
        <v>170</v>
      </c>
      <c r="C192" s="39" t="s">
        <v>10</v>
      </c>
      <c r="D192" s="39" t="s">
        <v>1175</v>
      </c>
      <c r="E192" s="39" t="s">
        <v>192</v>
      </c>
      <c r="F192" s="39" t="s">
        <v>193</v>
      </c>
      <c r="G192" s="39" t="s">
        <v>19</v>
      </c>
      <c r="H192" s="39" t="s">
        <v>20</v>
      </c>
      <c r="I192" s="39" t="e">
        <f>VLOOKUP(E192,#REF!,3,FALSE)</f>
        <v>#REF!</v>
      </c>
      <c r="J192" s="39" t="s">
        <v>1167</v>
      </c>
    </row>
    <row r="193" spans="1:10" x14ac:dyDescent="0.25">
      <c r="A193" t="str">
        <f t="shared" si="2"/>
        <v>FOS125</v>
      </c>
      <c r="B193" s="39" t="s">
        <v>170</v>
      </c>
      <c r="C193" s="39" t="s">
        <v>10</v>
      </c>
      <c r="D193" s="39" t="s">
        <v>1219</v>
      </c>
      <c r="E193" s="39" t="s">
        <v>385</v>
      </c>
      <c r="F193" s="39" t="s">
        <v>386</v>
      </c>
      <c r="G193" s="39" t="s">
        <v>14</v>
      </c>
      <c r="H193" s="39" t="s">
        <v>20</v>
      </c>
      <c r="I193" s="39" t="e">
        <f>VLOOKUP(E193,#REF!,3,FALSE)</f>
        <v>#REF!</v>
      </c>
      <c r="J193" s="39" t="s">
        <v>1167</v>
      </c>
    </row>
    <row r="194" spans="1:10" x14ac:dyDescent="0.25">
      <c r="A194" t="str">
        <f t="shared" si="2"/>
        <v>BBA122/DBA122</v>
      </c>
      <c r="B194" s="39" t="s">
        <v>170</v>
      </c>
      <c r="C194" s="39" t="s">
        <v>47</v>
      </c>
      <c r="D194" s="39" t="s">
        <v>221</v>
      </c>
      <c r="E194" s="39" t="s">
        <v>222</v>
      </c>
      <c r="F194" s="39" t="s">
        <v>223</v>
      </c>
      <c r="G194" s="39" t="s">
        <v>19</v>
      </c>
      <c r="H194" s="39" t="s">
        <v>20</v>
      </c>
      <c r="I194" s="39" t="e">
        <f>VLOOKUP(E194,#REF!,3,FALSE)</f>
        <v>#REF!</v>
      </c>
      <c r="J194" s="39" t="s">
        <v>1167</v>
      </c>
    </row>
    <row r="195" spans="1:10" x14ac:dyDescent="0.25">
      <c r="A195" t="str">
        <f t="shared" si="2"/>
        <v>BBA116/DBA116</v>
      </c>
      <c r="B195" s="39" t="s">
        <v>56</v>
      </c>
      <c r="C195" s="39" t="s">
        <v>10</v>
      </c>
      <c r="D195" s="39" t="s">
        <v>1220</v>
      </c>
      <c r="E195" s="39" t="s">
        <v>192</v>
      </c>
      <c r="F195" s="39" t="s">
        <v>193</v>
      </c>
      <c r="G195" s="39" t="s">
        <v>19</v>
      </c>
      <c r="H195" s="39" t="s">
        <v>20</v>
      </c>
      <c r="I195" s="39" t="e">
        <f>VLOOKUP(E195,#REF!,3,FALSE)</f>
        <v>#REF!</v>
      </c>
      <c r="J195" s="39" t="s">
        <v>1167</v>
      </c>
    </row>
    <row r="196" spans="1:10" x14ac:dyDescent="0.25">
      <c r="A196" t="str">
        <f t="shared" ref="A196:A259" si="3">E196</f>
        <v>DBA221</v>
      </c>
      <c r="B196" s="39" t="s">
        <v>56</v>
      </c>
      <c r="C196" s="39" t="s">
        <v>96</v>
      </c>
      <c r="D196" s="39" t="s">
        <v>248</v>
      </c>
      <c r="E196" s="39" t="s">
        <v>249</v>
      </c>
      <c r="F196" s="39" t="s">
        <v>250</v>
      </c>
      <c r="G196" s="39" t="s">
        <v>19</v>
      </c>
      <c r="H196" s="39" t="s">
        <v>83</v>
      </c>
      <c r="I196" s="39" t="e">
        <f>VLOOKUP(E196,#REF!,3,FALSE)</f>
        <v>#REF!</v>
      </c>
      <c r="J196" s="39" t="s">
        <v>1167</v>
      </c>
    </row>
    <row r="197" spans="1:10" x14ac:dyDescent="0.25">
      <c r="A197" t="str">
        <f t="shared" si="3"/>
        <v>BBA122/DBA122</v>
      </c>
      <c r="B197" s="39" t="s">
        <v>781</v>
      </c>
      <c r="C197" s="39" t="s">
        <v>10</v>
      </c>
      <c r="D197" s="39" t="s">
        <v>811</v>
      </c>
      <c r="E197" s="39" t="s">
        <v>222</v>
      </c>
      <c r="F197" s="39" t="s">
        <v>223</v>
      </c>
      <c r="G197" s="39" t="s">
        <v>19</v>
      </c>
      <c r="H197" s="39" t="s">
        <v>237</v>
      </c>
      <c r="I197" s="39" t="e">
        <f>VLOOKUP(E197,#REF!,3,FALSE)</f>
        <v>#REF!</v>
      </c>
      <c r="J197" s="39" t="s">
        <v>1167</v>
      </c>
    </row>
    <row r="198" spans="1:10" x14ac:dyDescent="0.25">
      <c r="A198" t="str">
        <f t="shared" si="3"/>
        <v>BBA116/DBA116</v>
      </c>
      <c r="B198" s="39" t="s">
        <v>781</v>
      </c>
      <c r="C198" s="39" t="s">
        <v>47</v>
      </c>
      <c r="D198" s="39" t="s">
        <v>784</v>
      </c>
      <c r="E198" s="39" t="s">
        <v>192</v>
      </c>
      <c r="F198" s="39" t="s">
        <v>193</v>
      </c>
      <c r="G198" s="39" t="s">
        <v>19</v>
      </c>
      <c r="H198" s="39" t="s">
        <v>20</v>
      </c>
      <c r="I198" s="39" t="e">
        <f>VLOOKUP(E198,#REF!,3,FALSE)</f>
        <v>#REF!</v>
      </c>
      <c r="J198" s="39" t="s">
        <v>1167</v>
      </c>
    </row>
    <row r="199" spans="1:10" x14ac:dyDescent="0.25">
      <c r="A199" t="str">
        <f t="shared" si="3"/>
        <v>BPH324</v>
      </c>
      <c r="B199" s="39" t="s">
        <v>56</v>
      </c>
      <c r="C199" s="39" t="s">
        <v>10</v>
      </c>
      <c r="D199" s="39" t="s">
        <v>325</v>
      </c>
      <c r="E199" s="39" t="s">
        <v>326</v>
      </c>
      <c r="F199" s="39" t="s">
        <v>327</v>
      </c>
      <c r="G199" s="39" t="s">
        <v>14</v>
      </c>
      <c r="H199" s="39" t="s">
        <v>220</v>
      </c>
      <c r="I199" s="39" t="e">
        <f>VLOOKUP(E199,#REF!,3,FALSE)</f>
        <v>#REF!</v>
      </c>
      <c r="J199" s="39" t="s">
        <v>1167</v>
      </c>
    </row>
    <row r="200" spans="1:10" x14ac:dyDescent="0.25">
      <c r="A200" t="str">
        <f t="shared" si="3"/>
        <v>BPH112</v>
      </c>
      <c r="B200" s="39" t="s">
        <v>56</v>
      </c>
      <c r="C200" s="39" t="s">
        <v>47</v>
      </c>
      <c r="D200" s="39" t="s">
        <v>217</v>
      </c>
      <c r="E200" s="39" t="s">
        <v>366</v>
      </c>
      <c r="F200" s="39" t="s">
        <v>367</v>
      </c>
      <c r="G200" s="39" t="s">
        <v>14</v>
      </c>
      <c r="H200" s="39" t="s">
        <v>29</v>
      </c>
      <c r="I200" s="39" t="e">
        <f>VLOOKUP(E200,#REF!,3,FALSE)</f>
        <v>#REF!</v>
      </c>
      <c r="J200" s="39" t="s">
        <v>1167</v>
      </c>
    </row>
    <row r="201" spans="1:10" x14ac:dyDescent="0.25">
      <c r="A201" t="str">
        <f t="shared" si="3"/>
        <v>BPH221</v>
      </c>
      <c r="B201" s="39" t="s">
        <v>66</v>
      </c>
      <c r="C201" s="39" t="s">
        <v>10</v>
      </c>
      <c r="D201" s="39" t="s">
        <v>360</v>
      </c>
      <c r="E201" s="39" t="s">
        <v>590</v>
      </c>
      <c r="F201" s="39" t="s">
        <v>591</v>
      </c>
      <c r="G201" s="39" t="s">
        <v>14</v>
      </c>
      <c r="H201" s="39" t="s">
        <v>220</v>
      </c>
      <c r="I201" s="39" t="e">
        <f>VLOOKUP(E201,#REF!,3,FALSE)</f>
        <v>#REF!</v>
      </c>
      <c r="J201" s="39" t="s">
        <v>1167</v>
      </c>
    </row>
    <row r="202" spans="1:10" x14ac:dyDescent="0.25">
      <c r="A202" t="str">
        <f t="shared" si="3"/>
        <v>BPH215</v>
      </c>
      <c r="B202" s="39" t="s">
        <v>66</v>
      </c>
      <c r="C202" s="39" t="s">
        <v>47</v>
      </c>
      <c r="D202" s="39" t="s">
        <v>281</v>
      </c>
      <c r="E202" s="39" t="s">
        <v>487</v>
      </c>
      <c r="F202" s="39" t="s">
        <v>488</v>
      </c>
      <c r="G202" s="39" t="s">
        <v>14</v>
      </c>
      <c r="H202" s="39" t="s">
        <v>363</v>
      </c>
      <c r="I202" s="39" t="e">
        <f>VLOOKUP(E202,#REF!,3,FALSE)</f>
        <v>#REF!</v>
      </c>
      <c r="J202" s="39" t="s">
        <v>1167</v>
      </c>
    </row>
    <row r="203" spans="1:10" x14ac:dyDescent="0.25">
      <c r="A203" t="str">
        <f t="shared" si="3"/>
        <v>BPH323</v>
      </c>
      <c r="B203" s="39" t="s">
        <v>216</v>
      </c>
      <c r="C203" s="39" t="s">
        <v>96</v>
      </c>
      <c r="D203" s="39" t="s">
        <v>717</v>
      </c>
      <c r="E203" s="39" t="s">
        <v>718</v>
      </c>
      <c r="F203" s="39" t="s">
        <v>719</v>
      </c>
      <c r="G203" s="39" t="s">
        <v>14</v>
      </c>
      <c r="H203" s="39" t="s">
        <v>29</v>
      </c>
      <c r="I203" s="39" t="e">
        <f>VLOOKUP(E203,#REF!,3,FALSE)</f>
        <v>#REF!</v>
      </c>
      <c r="J203" s="39" t="s">
        <v>1167</v>
      </c>
    </row>
    <row r="204" spans="1:10" x14ac:dyDescent="0.25">
      <c r="A204" t="str">
        <f t="shared" si="3"/>
        <v>BPH211</v>
      </c>
      <c r="B204" s="39" t="s">
        <v>216</v>
      </c>
      <c r="C204" s="39" t="s">
        <v>140</v>
      </c>
      <c r="D204" s="39" t="s">
        <v>281</v>
      </c>
      <c r="E204" s="39" t="s">
        <v>761</v>
      </c>
      <c r="F204" s="39" t="s">
        <v>762</v>
      </c>
      <c r="G204" s="39" t="s">
        <v>14</v>
      </c>
      <c r="H204" s="39" t="s">
        <v>492</v>
      </c>
      <c r="I204" s="39" t="e">
        <f>VLOOKUP(E204,#REF!,3,FALSE)</f>
        <v>#REF!</v>
      </c>
      <c r="J204" s="39" t="s">
        <v>1167</v>
      </c>
    </row>
    <row r="205" spans="1:10" x14ac:dyDescent="0.25">
      <c r="A205" t="str">
        <f t="shared" si="3"/>
        <v>BPH211</v>
      </c>
      <c r="B205" s="39" t="s">
        <v>781</v>
      </c>
      <c r="C205" s="39" t="s">
        <v>47</v>
      </c>
      <c r="D205" s="39" t="s">
        <v>808</v>
      </c>
      <c r="E205" s="39" t="s">
        <v>761</v>
      </c>
      <c r="F205" s="39" t="s">
        <v>762</v>
      </c>
      <c r="G205" s="39" t="s">
        <v>14</v>
      </c>
      <c r="H205" s="39" t="s">
        <v>29</v>
      </c>
      <c r="I205" s="39" t="e">
        <f>VLOOKUP(E205,#REF!,3,FALSE)</f>
        <v>#REF!</v>
      </c>
      <c r="J205" s="39" t="s">
        <v>1167</v>
      </c>
    </row>
    <row r="206" spans="1:10" x14ac:dyDescent="0.25">
      <c r="A206" t="str">
        <f t="shared" si="3"/>
        <v>EHS113</v>
      </c>
      <c r="B206" s="39" t="s">
        <v>812</v>
      </c>
      <c r="C206" s="39" t="s">
        <v>47</v>
      </c>
      <c r="D206" s="39" t="s">
        <v>787</v>
      </c>
      <c r="E206" s="39" t="s">
        <v>1010</v>
      </c>
      <c r="F206" s="39" t="s">
        <v>1011</v>
      </c>
      <c r="G206" s="39" t="s">
        <v>14</v>
      </c>
      <c r="H206" s="39" t="s">
        <v>492</v>
      </c>
      <c r="I206" s="39" t="e">
        <f>VLOOKUP(E206,#REF!,3,FALSE)</f>
        <v>#REF!</v>
      </c>
      <c r="J206" s="39" t="s">
        <v>1167</v>
      </c>
    </row>
    <row r="207" spans="1:10" x14ac:dyDescent="0.25">
      <c r="A207" t="str">
        <f t="shared" si="3"/>
        <v>MPH716</v>
      </c>
      <c r="B207" s="39" t="s">
        <v>812</v>
      </c>
      <c r="C207" s="39" t="s">
        <v>140</v>
      </c>
      <c r="D207" s="39" t="s">
        <v>890</v>
      </c>
      <c r="E207" s="39" t="s">
        <v>1060</v>
      </c>
      <c r="F207" s="39" t="s">
        <v>1061</v>
      </c>
      <c r="G207" s="39" t="s">
        <v>14</v>
      </c>
      <c r="H207" s="39" t="s">
        <v>29</v>
      </c>
      <c r="I207" s="39" t="e">
        <f>VLOOKUP(E207,#REF!,3,FALSE)</f>
        <v>#REF!</v>
      </c>
      <c r="J207" s="39" t="s">
        <v>1167</v>
      </c>
    </row>
    <row r="208" spans="1:10" x14ac:dyDescent="0.25">
      <c r="A208" t="str">
        <f t="shared" si="3"/>
        <v>BIT225</v>
      </c>
      <c r="B208" s="39" t="s">
        <v>66</v>
      </c>
      <c r="C208" s="39" t="s">
        <v>96</v>
      </c>
      <c r="D208" s="39" t="s">
        <v>522</v>
      </c>
      <c r="E208" s="39" t="s">
        <v>523</v>
      </c>
      <c r="F208" s="39" t="s">
        <v>524</v>
      </c>
      <c r="G208" s="39" t="s">
        <v>14</v>
      </c>
      <c r="H208" s="39" t="s">
        <v>822</v>
      </c>
      <c r="I208" s="39" t="e">
        <f>VLOOKUP(E208,#REF!,3,FALSE)</f>
        <v>#REF!</v>
      </c>
      <c r="J208" s="39" t="s">
        <v>1167</v>
      </c>
    </row>
    <row r="209" spans="1:10" x14ac:dyDescent="0.25">
      <c r="A209" t="str">
        <f t="shared" si="3"/>
        <v>COM211</v>
      </c>
      <c r="B209" s="39" t="s">
        <v>66</v>
      </c>
      <c r="C209" s="39" t="s">
        <v>140</v>
      </c>
      <c r="D209" s="39" t="s">
        <v>608</v>
      </c>
      <c r="E209" s="39" t="s">
        <v>609</v>
      </c>
      <c r="F209" s="39" t="s">
        <v>610</v>
      </c>
      <c r="G209" s="39" t="s">
        <v>14</v>
      </c>
      <c r="H209" s="39" t="s">
        <v>51</v>
      </c>
      <c r="I209" s="39" t="e">
        <f>VLOOKUP(E209,#REF!,3,FALSE)</f>
        <v>#REF!</v>
      </c>
      <c r="J209" s="39" t="s">
        <v>1171</v>
      </c>
    </row>
    <row r="210" spans="1:10" x14ac:dyDescent="0.25">
      <c r="A210" t="str">
        <f t="shared" si="3"/>
        <v>COM123</v>
      </c>
      <c r="B210" s="39" t="s">
        <v>216</v>
      </c>
      <c r="C210" s="39" t="s">
        <v>10</v>
      </c>
      <c r="D210" s="39" t="s">
        <v>637</v>
      </c>
      <c r="E210" s="39" t="s">
        <v>638</v>
      </c>
      <c r="F210" s="39" t="s">
        <v>639</v>
      </c>
      <c r="G210" s="39" t="s">
        <v>14</v>
      </c>
      <c r="H210" s="39" t="s">
        <v>267</v>
      </c>
      <c r="I210" s="39" t="e">
        <f>VLOOKUP(E210,#REF!,3,FALSE)</f>
        <v>#REF!</v>
      </c>
      <c r="J210" s="39" t="s">
        <v>1167</v>
      </c>
    </row>
    <row r="211" spans="1:10" x14ac:dyDescent="0.25">
      <c r="A211" t="str">
        <f t="shared" si="3"/>
        <v>BIT323</v>
      </c>
      <c r="B211" s="39" t="s">
        <v>216</v>
      </c>
      <c r="C211" s="39" t="s">
        <v>47</v>
      </c>
      <c r="D211" s="39" t="s">
        <v>693</v>
      </c>
      <c r="E211" s="39" t="s">
        <v>694</v>
      </c>
      <c r="F211" s="39" t="s">
        <v>695</v>
      </c>
      <c r="G211" s="39" t="s">
        <v>14</v>
      </c>
      <c r="H211" s="39" t="s">
        <v>61</v>
      </c>
      <c r="I211" s="39" t="e">
        <f>VLOOKUP(E211,#REF!,3,FALSE)</f>
        <v>#REF!</v>
      </c>
      <c r="J211" s="39" t="s">
        <v>1167</v>
      </c>
    </row>
    <row r="212" spans="1:10" x14ac:dyDescent="0.25">
      <c r="A212" t="str">
        <f t="shared" si="3"/>
        <v>COM311</v>
      </c>
      <c r="B212" s="39" t="s">
        <v>216</v>
      </c>
      <c r="C212" s="39" t="s">
        <v>140</v>
      </c>
      <c r="D212" s="39" t="s">
        <v>97</v>
      </c>
      <c r="E212" s="39" t="s">
        <v>769</v>
      </c>
      <c r="F212" s="39" t="s">
        <v>770</v>
      </c>
      <c r="G212" s="39" t="s">
        <v>14</v>
      </c>
      <c r="H212" s="39" t="s">
        <v>61</v>
      </c>
      <c r="I212" s="39" t="e">
        <f>VLOOKUP(E212,#REF!,3,FALSE)</f>
        <v>#REF!</v>
      </c>
      <c r="J212" s="39" t="s">
        <v>1167</v>
      </c>
    </row>
    <row r="213" spans="1:10" x14ac:dyDescent="0.25">
      <c r="A213" t="str">
        <f t="shared" si="3"/>
        <v>COM321</v>
      </c>
      <c r="B213" s="39" t="s">
        <v>9</v>
      </c>
      <c r="C213" s="39" t="s">
        <v>140</v>
      </c>
      <c r="D213" s="39" t="s">
        <v>141</v>
      </c>
      <c r="E213" s="39" t="s">
        <v>142</v>
      </c>
      <c r="F213" s="39" t="s">
        <v>143</v>
      </c>
      <c r="G213" s="39" t="s">
        <v>14</v>
      </c>
      <c r="H213" s="39" t="s">
        <v>15</v>
      </c>
      <c r="I213" s="39" t="e">
        <f>VLOOKUP(E213,#REF!,3,FALSE)</f>
        <v>#REF!</v>
      </c>
      <c r="J213" s="39" t="s">
        <v>1167</v>
      </c>
    </row>
    <row r="214" spans="1:10" x14ac:dyDescent="0.25">
      <c r="A214" t="str">
        <f t="shared" si="3"/>
        <v>BSE314</v>
      </c>
      <c r="B214" s="39" t="s">
        <v>56</v>
      </c>
      <c r="C214" s="39" t="s">
        <v>10</v>
      </c>
      <c r="D214" s="39" t="s">
        <v>328</v>
      </c>
      <c r="E214" s="39" t="s">
        <v>329</v>
      </c>
      <c r="F214" s="39" t="s">
        <v>330</v>
      </c>
      <c r="G214" s="39" t="s">
        <v>14</v>
      </c>
      <c r="H214" s="39" t="s">
        <v>61</v>
      </c>
      <c r="I214" s="39" t="e">
        <f>VLOOKUP(E214,#REF!,3,FALSE)</f>
        <v>#REF!</v>
      </c>
      <c r="J214" s="39" t="s">
        <v>1167</v>
      </c>
    </row>
    <row r="215" spans="1:10" x14ac:dyDescent="0.25">
      <c r="A215" t="str">
        <f t="shared" si="3"/>
        <v>BSE224</v>
      </c>
      <c r="B215" s="39" t="s">
        <v>66</v>
      </c>
      <c r="C215" s="39" t="s">
        <v>47</v>
      </c>
      <c r="D215" s="39" t="s">
        <v>493</v>
      </c>
      <c r="E215" s="39" t="s">
        <v>494</v>
      </c>
      <c r="F215" s="39" t="s">
        <v>495</v>
      </c>
      <c r="G215" s="39" t="s">
        <v>14</v>
      </c>
      <c r="H215" s="39" t="s">
        <v>61</v>
      </c>
      <c r="I215" s="39" t="e">
        <f>VLOOKUP(E215,#REF!,3,FALSE)</f>
        <v>#REF!</v>
      </c>
      <c r="J215" s="39" t="s">
        <v>1167</v>
      </c>
    </row>
    <row r="216" spans="1:10" x14ac:dyDescent="0.25">
      <c r="A216" t="str">
        <f t="shared" si="3"/>
        <v>COM122</v>
      </c>
      <c r="B216" s="39" t="s">
        <v>66</v>
      </c>
      <c r="C216" s="39" t="s">
        <v>96</v>
      </c>
      <c r="D216" s="39" t="s">
        <v>116</v>
      </c>
      <c r="E216" s="39" t="s">
        <v>567</v>
      </c>
      <c r="F216" s="39" t="s">
        <v>568</v>
      </c>
      <c r="G216" s="39" t="s">
        <v>14</v>
      </c>
      <c r="H216" s="39" t="s">
        <v>51</v>
      </c>
      <c r="I216" s="39" t="e">
        <f>VLOOKUP(E216,#REF!,3,FALSE)</f>
        <v>#REF!</v>
      </c>
      <c r="J216" s="39" t="s">
        <v>1167</v>
      </c>
    </row>
    <row r="217" spans="1:10" x14ac:dyDescent="0.25">
      <c r="A217" t="str">
        <f t="shared" si="3"/>
        <v>BSE411</v>
      </c>
      <c r="B217" s="39" t="s">
        <v>66</v>
      </c>
      <c r="C217" s="39" t="s">
        <v>140</v>
      </c>
      <c r="D217" s="39" t="s">
        <v>156</v>
      </c>
      <c r="E217" s="39" t="s">
        <v>578</v>
      </c>
      <c r="F217" s="39" t="s">
        <v>579</v>
      </c>
      <c r="G217" s="39" t="s">
        <v>14</v>
      </c>
      <c r="H217" s="39" t="s">
        <v>61</v>
      </c>
      <c r="I217" s="39" t="e">
        <f>VLOOKUP(E217,#REF!,3,FALSE)</f>
        <v>#REF!</v>
      </c>
      <c r="J217" s="39" t="s">
        <v>1167</v>
      </c>
    </row>
    <row r="218" spans="1:10" x14ac:dyDescent="0.25">
      <c r="A218" t="str">
        <f t="shared" si="3"/>
        <v>MIT725</v>
      </c>
      <c r="B218" s="39" t="s">
        <v>781</v>
      </c>
      <c r="C218" s="39" t="s">
        <v>1191</v>
      </c>
      <c r="D218" s="39" t="s">
        <v>1182</v>
      </c>
      <c r="E218" s="39" t="s">
        <v>1221</v>
      </c>
      <c r="F218" s="39" t="s">
        <v>1222</v>
      </c>
      <c r="G218" s="39" t="s">
        <v>14</v>
      </c>
      <c r="H218" s="39" t="s">
        <v>241</v>
      </c>
      <c r="I218" s="39" t="e">
        <f>VLOOKUP(E218,#REF!,3,FALSE)</f>
        <v>#REF!</v>
      </c>
      <c r="J218" s="39" t="s">
        <v>1167</v>
      </c>
    </row>
    <row r="219" spans="1:10" x14ac:dyDescent="0.25">
      <c r="A219" t="str">
        <f t="shared" si="3"/>
        <v>BIT325</v>
      </c>
      <c r="B219" s="39" t="s">
        <v>170</v>
      </c>
      <c r="C219" s="39" t="s">
        <v>10</v>
      </c>
      <c r="D219" s="39" t="s">
        <v>194</v>
      </c>
      <c r="E219" s="39" t="s">
        <v>195</v>
      </c>
      <c r="F219" s="39" t="s">
        <v>196</v>
      </c>
      <c r="G219" s="39" t="s">
        <v>14</v>
      </c>
      <c r="H219" s="39" t="s">
        <v>70</v>
      </c>
      <c r="I219" s="39" t="e">
        <f>VLOOKUP(E219,#REF!,3,FALSE)</f>
        <v>#REF!</v>
      </c>
      <c r="J219" s="39" t="s">
        <v>1167</v>
      </c>
    </row>
    <row r="220" spans="1:10" x14ac:dyDescent="0.25">
      <c r="A220" t="str">
        <f t="shared" si="3"/>
        <v>BIT111</v>
      </c>
      <c r="B220" s="39" t="s">
        <v>170</v>
      </c>
      <c r="C220" s="39" t="s">
        <v>47</v>
      </c>
      <c r="D220" s="39" t="s">
        <v>224</v>
      </c>
      <c r="E220" s="39" t="s">
        <v>225</v>
      </c>
      <c r="F220" s="39" t="s">
        <v>226</v>
      </c>
      <c r="G220" s="39" t="s">
        <v>14</v>
      </c>
      <c r="H220" s="39" t="s">
        <v>70</v>
      </c>
      <c r="I220" s="39" t="e">
        <f>VLOOKUP(E220,#REF!,3,FALSE)</f>
        <v>#REF!</v>
      </c>
      <c r="J220" s="39" t="s">
        <v>1167</v>
      </c>
    </row>
    <row r="221" spans="1:10" x14ac:dyDescent="0.25">
      <c r="A221" t="str">
        <f t="shared" si="3"/>
        <v>COM113</v>
      </c>
      <c r="B221" s="39" t="s">
        <v>170</v>
      </c>
      <c r="C221" s="39" t="s">
        <v>96</v>
      </c>
      <c r="D221" s="39" t="s">
        <v>264</v>
      </c>
      <c r="E221" s="39" t="s">
        <v>265</v>
      </c>
      <c r="F221" s="39" t="s">
        <v>266</v>
      </c>
      <c r="G221" s="39" t="s">
        <v>14</v>
      </c>
      <c r="H221" s="39" t="s">
        <v>267</v>
      </c>
      <c r="I221" s="39" t="e">
        <f>VLOOKUP(E221,#REF!,3,FALSE)</f>
        <v>#REF!</v>
      </c>
      <c r="J221" s="39" t="s">
        <v>1167</v>
      </c>
    </row>
    <row r="222" spans="1:10" x14ac:dyDescent="0.25">
      <c r="A222" t="str">
        <f t="shared" si="3"/>
        <v>BSE226</v>
      </c>
      <c r="B222" s="39" t="s">
        <v>56</v>
      </c>
      <c r="C222" s="39" t="s">
        <v>10</v>
      </c>
      <c r="D222" s="39" t="s">
        <v>238</v>
      </c>
      <c r="E222" s="39" t="s">
        <v>331</v>
      </c>
      <c r="F222" s="39" t="s">
        <v>332</v>
      </c>
      <c r="G222" s="39" t="s">
        <v>14</v>
      </c>
      <c r="H222" s="39" t="s">
        <v>15</v>
      </c>
      <c r="I222" s="39" t="e">
        <f>VLOOKUP(E222,#REF!,3,FALSE)</f>
        <v>#REF!</v>
      </c>
      <c r="J222" s="39" t="s">
        <v>1167</v>
      </c>
    </row>
    <row r="223" spans="1:10" x14ac:dyDescent="0.25">
      <c r="A223" t="str">
        <f t="shared" si="3"/>
        <v>BIT315/DIT224</v>
      </c>
      <c r="B223" s="39" t="s">
        <v>66</v>
      </c>
      <c r="C223" s="39" t="s">
        <v>96</v>
      </c>
      <c r="D223" s="39" t="s">
        <v>1223</v>
      </c>
      <c r="E223" s="39" t="s">
        <v>1224</v>
      </c>
      <c r="F223" s="39" t="s">
        <v>371</v>
      </c>
      <c r="G223" s="39" t="s">
        <v>14</v>
      </c>
      <c r="H223" s="39" t="s">
        <v>15</v>
      </c>
      <c r="I223" s="39" t="e">
        <f>VLOOKUP(E223,#REF!,3,FALSE)</f>
        <v>#REF!</v>
      </c>
      <c r="J223" s="39" t="s">
        <v>1167</v>
      </c>
    </row>
    <row r="224" spans="1:10" x14ac:dyDescent="0.25">
      <c r="A224" t="str">
        <f t="shared" si="3"/>
        <v>MIT716</v>
      </c>
      <c r="B224" s="39" t="s">
        <v>781</v>
      </c>
      <c r="C224" s="39" t="s">
        <v>96</v>
      </c>
      <c r="D224" s="39" t="s">
        <v>1179</v>
      </c>
      <c r="E224" s="39" t="s">
        <v>1225</v>
      </c>
      <c r="F224" s="39" t="s">
        <v>1226</v>
      </c>
      <c r="G224" s="39" t="s">
        <v>14</v>
      </c>
      <c r="H224" s="39" t="s">
        <v>792</v>
      </c>
      <c r="I224" s="39" t="e">
        <f>VLOOKUP(E224,#REF!,3,FALSE)</f>
        <v>#REF!</v>
      </c>
      <c r="J224" s="39" t="s">
        <v>1167</v>
      </c>
    </row>
    <row r="225" spans="1:10" x14ac:dyDescent="0.25">
      <c r="A225" t="str">
        <f t="shared" si="3"/>
        <v>BBF222</v>
      </c>
      <c r="B225" s="39" t="s">
        <v>170</v>
      </c>
      <c r="C225" s="39" t="s">
        <v>96</v>
      </c>
      <c r="D225" s="39" t="s">
        <v>251</v>
      </c>
      <c r="E225" s="39" t="s">
        <v>252</v>
      </c>
      <c r="F225" s="39" t="s">
        <v>253</v>
      </c>
      <c r="G225" s="39" t="s">
        <v>19</v>
      </c>
      <c r="H225" s="39" t="s">
        <v>20</v>
      </c>
      <c r="I225" s="39" t="e">
        <f>VLOOKUP(E225,#REF!,3,FALSE)</f>
        <v>#REF!</v>
      </c>
      <c r="J225" s="39" t="s">
        <v>1167</v>
      </c>
    </row>
    <row r="226" spans="1:10" x14ac:dyDescent="0.25">
      <c r="A226" t="str">
        <f t="shared" si="3"/>
        <v>BAC327</v>
      </c>
      <c r="B226" s="39" t="s">
        <v>170</v>
      </c>
      <c r="C226" s="39" t="s">
        <v>140</v>
      </c>
      <c r="D226" s="39" t="s">
        <v>284</v>
      </c>
      <c r="E226" s="39" t="s">
        <v>285</v>
      </c>
      <c r="F226" s="39" t="s">
        <v>286</v>
      </c>
      <c r="G226" s="39" t="s">
        <v>19</v>
      </c>
      <c r="H226" s="39" t="s">
        <v>287</v>
      </c>
      <c r="I226" s="39" t="e">
        <f>VLOOKUP(E226,#REF!,3,FALSE)</f>
        <v>#REF!</v>
      </c>
      <c r="J226" s="39" t="s">
        <v>1167</v>
      </c>
    </row>
    <row r="227" spans="1:10" x14ac:dyDescent="0.25">
      <c r="A227" t="str">
        <f t="shared" si="3"/>
        <v>BAC326</v>
      </c>
      <c r="B227" s="39" t="s">
        <v>216</v>
      </c>
      <c r="C227" s="39" t="s">
        <v>96</v>
      </c>
      <c r="D227" s="39" t="s">
        <v>284</v>
      </c>
      <c r="E227" s="39" t="s">
        <v>720</v>
      </c>
      <c r="F227" s="39" t="s">
        <v>721</v>
      </c>
      <c r="G227" s="39" t="s">
        <v>19</v>
      </c>
      <c r="H227" s="39" t="s">
        <v>241</v>
      </c>
      <c r="I227" s="39" t="e">
        <f>VLOOKUP(E227,#REF!,3,FALSE)</f>
        <v>#REF!</v>
      </c>
      <c r="J227" s="39" t="s">
        <v>1167</v>
      </c>
    </row>
    <row r="228" spans="1:10" x14ac:dyDescent="0.25">
      <c r="A228" t="str">
        <f t="shared" si="3"/>
        <v>MBF817</v>
      </c>
      <c r="B228" s="39" t="s">
        <v>812</v>
      </c>
      <c r="C228" s="39" t="s">
        <v>47</v>
      </c>
      <c r="D228" s="39" t="s">
        <v>847</v>
      </c>
      <c r="E228" s="39" t="s">
        <v>848</v>
      </c>
      <c r="F228" s="39" t="s">
        <v>849</v>
      </c>
      <c r="G228" s="39" t="s">
        <v>19</v>
      </c>
      <c r="H228" s="39" t="s">
        <v>33</v>
      </c>
      <c r="I228" s="39" t="e">
        <f>VLOOKUP(E228,#REF!,3,FALSE)</f>
        <v>#REF!</v>
      </c>
      <c r="J228" s="39" t="s">
        <v>1167</v>
      </c>
    </row>
    <row r="229" spans="1:10" x14ac:dyDescent="0.25">
      <c r="A229" t="str">
        <f t="shared" si="3"/>
        <v>MBF815</v>
      </c>
      <c r="B229" s="39" t="s">
        <v>812</v>
      </c>
      <c r="C229" s="39" t="s">
        <v>96</v>
      </c>
      <c r="D229" s="39" t="s">
        <v>847</v>
      </c>
      <c r="E229" s="39" t="s">
        <v>1032</v>
      </c>
      <c r="F229" s="39" t="s">
        <v>1033</v>
      </c>
      <c r="G229" s="39" t="s">
        <v>19</v>
      </c>
      <c r="H229" s="39" t="s">
        <v>267</v>
      </c>
      <c r="I229" s="39" t="e">
        <f>VLOOKUP(E229,#REF!,3,FALSE)</f>
        <v>#REF!</v>
      </c>
      <c r="J229" s="39" t="s">
        <v>1167</v>
      </c>
    </row>
    <row r="230" spans="1:10" x14ac:dyDescent="0.25">
      <c r="A230" t="str">
        <f t="shared" si="3"/>
        <v>BBF222</v>
      </c>
      <c r="B230" s="39" t="s">
        <v>812</v>
      </c>
      <c r="C230" s="39" t="s">
        <v>140</v>
      </c>
      <c r="D230" s="39" t="s">
        <v>919</v>
      </c>
      <c r="E230" s="39" t="s">
        <v>252</v>
      </c>
      <c r="F230" s="39" t="s">
        <v>253</v>
      </c>
      <c r="G230" s="39" t="s">
        <v>19</v>
      </c>
      <c r="H230" s="39" t="s">
        <v>83</v>
      </c>
      <c r="I230" s="39" t="e">
        <f>VLOOKUP(E230,#REF!,3,FALSE)</f>
        <v>#REF!</v>
      </c>
      <c r="J230" s="39" t="s">
        <v>1167</v>
      </c>
    </row>
    <row r="231" spans="1:10" x14ac:dyDescent="0.25">
      <c r="A231" t="str">
        <f t="shared" si="3"/>
        <v>HEC128</v>
      </c>
      <c r="B231" s="39" t="s">
        <v>216</v>
      </c>
      <c r="C231" s="39" t="s">
        <v>47</v>
      </c>
      <c r="D231" s="39" t="s">
        <v>1219</v>
      </c>
      <c r="E231" s="39" t="s">
        <v>463</v>
      </c>
      <c r="F231" s="39" t="s">
        <v>464</v>
      </c>
      <c r="G231" s="39" t="s">
        <v>14</v>
      </c>
      <c r="H231" s="39" t="s">
        <v>79</v>
      </c>
      <c r="I231" s="39" t="e">
        <f>VLOOKUP(E231,#REF!,3,FALSE)</f>
        <v>#REF!</v>
      </c>
      <c r="J231" s="39" t="s">
        <v>1167</v>
      </c>
    </row>
    <row r="232" spans="1:10" x14ac:dyDescent="0.25">
      <c r="A232" t="str">
        <f t="shared" si="3"/>
        <v>BPA211</v>
      </c>
      <c r="B232" s="39" t="s">
        <v>216</v>
      </c>
      <c r="C232" s="39" t="s">
        <v>96</v>
      </c>
      <c r="D232" s="39" t="s">
        <v>62</v>
      </c>
      <c r="E232" s="39" t="s">
        <v>551</v>
      </c>
      <c r="F232" s="39" t="s">
        <v>552</v>
      </c>
      <c r="G232" s="39" t="s">
        <v>28</v>
      </c>
      <c r="H232" s="39" t="s">
        <v>368</v>
      </c>
      <c r="I232" s="39" t="e">
        <f>VLOOKUP(E232,#REF!,3,FALSE)</f>
        <v>#REF!</v>
      </c>
      <c r="J232" s="39" t="s">
        <v>1167</v>
      </c>
    </row>
    <row r="233" spans="1:10" x14ac:dyDescent="0.25">
      <c r="A233" t="str">
        <f t="shared" si="3"/>
        <v>FOA120</v>
      </c>
      <c r="B233" s="39" t="s">
        <v>66</v>
      </c>
      <c r="C233" s="39" t="s">
        <v>96</v>
      </c>
      <c r="D233" s="39" t="s">
        <v>1194</v>
      </c>
      <c r="E233" s="39" t="s">
        <v>553</v>
      </c>
      <c r="F233" s="39" t="s">
        <v>554</v>
      </c>
      <c r="G233" s="39" t="s">
        <v>28</v>
      </c>
      <c r="H233" s="39" t="s">
        <v>112</v>
      </c>
      <c r="I233" s="39" t="e">
        <f>VLOOKUP(E233,#REF!,3,FALSE)</f>
        <v>#REF!</v>
      </c>
      <c r="J233" s="39" t="s">
        <v>1167</v>
      </c>
    </row>
    <row r="234" spans="1:10" x14ac:dyDescent="0.25">
      <c r="A234" t="str">
        <f t="shared" si="3"/>
        <v>IRDS317</v>
      </c>
      <c r="B234" s="39" t="s">
        <v>56</v>
      </c>
      <c r="C234" s="39" t="s">
        <v>140</v>
      </c>
      <c r="D234" s="39" t="s">
        <v>76</v>
      </c>
      <c r="E234" s="39" t="s">
        <v>592</v>
      </c>
      <c r="F234" s="39" t="s">
        <v>593</v>
      </c>
      <c r="G234" s="39" t="s">
        <v>28</v>
      </c>
      <c r="H234" s="39" t="s">
        <v>91</v>
      </c>
      <c r="I234" s="39" t="e">
        <f>VLOOKUP(E234,#REF!,3,FALSE)</f>
        <v>#REF!</v>
      </c>
      <c r="J234" s="39" t="s">
        <v>1171</v>
      </c>
    </row>
    <row r="235" spans="1:10" x14ac:dyDescent="0.25">
      <c r="A235" t="str">
        <f t="shared" si="3"/>
        <v>IRDS323</v>
      </c>
      <c r="B235" s="39" t="s">
        <v>66</v>
      </c>
      <c r="C235" s="39" t="s">
        <v>47</v>
      </c>
      <c r="D235" s="39" t="s">
        <v>144</v>
      </c>
      <c r="E235" s="39" t="s">
        <v>197</v>
      </c>
      <c r="F235" s="39" t="s">
        <v>198</v>
      </c>
      <c r="G235" s="39" t="s">
        <v>28</v>
      </c>
      <c r="H235" s="39" t="s">
        <v>368</v>
      </c>
      <c r="I235" s="39" t="e">
        <f>VLOOKUP(E235,#REF!,3,FALSE)</f>
        <v>#REF!</v>
      </c>
      <c r="J235" s="39" t="s">
        <v>1167</v>
      </c>
    </row>
    <row r="236" spans="1:10" x14ac:dyDescent="0.25">
      <c r="A236" t="str">
        <f t="shared" si="3"/>
        <v>IRDS322</v>
      </c>
      <c r="B236" s="39" t="s">
        <v>66</v>
      </c>
      <c r="C236" s="39" t="s">
        <v>140</v>
      </c>
      <c r="D236" s="39" t="s">
        <v>144</v>
      </c>
      <c r="E236" s="39" t="s">
        <v>596</v>
      </c>
      <c r="F236" s="39" t="s">
        <v>597</v>
      </c>
      <c r="G236" s="39" t="s">
        <v>28</v>
      </c>
      <c r="H236" s="39" t="s">
        <v>368</v>
      </c>
      <c r="I236" s="39" t="e">
        <f>VLOOKUP(E236,#REF!,3,FALSE)</f>
        <v>#REF!</v>
      </c>
      <c r="J236" s="39" t="s">
        <v>1167</v>
      </c>
    </row>
    <row r="237" spans="1:10" x14ac:dyDescent="0.25">
      <c r="A237" t="str">
        <f t="shared" si="3"/>
        <v>MSS811</v>
      </c>
      <c r="B237" s="39" t="s">
        <v>781</v>
      </c>
      <c r="C237" s="39" t="s">
        <v>10</v>
      </c>
      <c r="D237" s="39" t="s">
        <v>816</v>
      </c>
      <c r="E237" s="39" t="s">
        <v>995</v>
      </c>
      <c r="F237" s="39" t="s">
        <v>996</v>
      </c>
      <c r="G237" s="39" t="s">
        <v>28</v>
      </c>
      <c r="H237" s="39" t="s">
        <v>83</v>
      </c>
      <c r="I237" s="39" t="e">
        <f>VLOOKUP(E237,#REF!,3,FALSE)</f>
        <v>#REF!</v>
      </c>
      <c r="J237" s="39" t="s">
        <v>1167</v>
      </c>
    </row>
    <row r="238" spans="1:10" x14ac:dyDescent="0.25">
      <c r="A238" t="str">
        <f t="shared" si="3"/>
        <v>MSS814</v>
      </c>
      <c r="B238" s="39" t="s">
        <v>781</v>
      </c>
      <c r="C238" s="39" t="s">
        <v>140</v>
      </c>
      <c r="D238" s="39" t="s">
        <v>816</v>
      </c>
      <c r="E238" s="39" t="s">
        <v>1062</v>
      </c>
      <c r="F238" s="39" t="s">
        <v>1063</v>
      </c>
      <c r="G238" s="39" t="s">
        <v>28</v>
      </c>
      <c r="H238" s="39" t="s">
        <v>79</v>
      </c>
      <c r="I238" s="39" t="e">
        <f>VLOOKUP(E238,#REF!,3,FALSE)</f>
        <v>#REF!</v>
      </c>
      <c r="J238" s="39" t="s">
        <v>1167</v>
      </c>
    </row>
    <row r="239" spans="1:10" x14ac:dyDescent="0.25">
      <c r="A239" t="str">
        <f t="shared" si="3"/>
        <v>IRDS114</v>
      </c>
      <c r="B239" s="39" t="s">
        <v>170</v>
      </c>
      <c r="C239" s="39" t="s">
        <v>47</v>
      </c>
      <c r="D239" s="39" t="s">
        <v>25</v>
      </c>
      <c r="E239" s="39" t="s">
        <v>227</v>
      </c>
      <c r="F239" s="39" t="s">
        <v>228</v>
      </c>
      <c r="G239" s="39" t="s">
        <v>28</v>
      </c>
      <c r="H239" s="39" t="s">
        <v>65</v>
      </c>
      <c r="I239" s="39" t="e">
        <f>VLOOKUP(E239,#REF!,3,FALSE)</f>
        <v>#REF!</v>
      </c>
      <c r="J239" s="39" t="s">
        <v>1167</v>
      </c>
    </row>
    <row r="240" spans="1:10" x14ac:dyDescent="0.25">
      <c r="A240" t="str">
        <f t="shared" si="3"/>
        <v>IRDS313</v>
      </c>
      <c r="B240" s="39" t="s">
        <v>170</v>
      </c>
      <c r="C240" s="39" t="s">
        <v>140</v>
      </c>
      <c r="D240" s="39" t="s">
        <v>76</v>
      </c>
      <c r="E240" s="39" t="s">
        <v>288</v>
      </c>
      <c r="F240" s="39" t="s">
        <v>289</v>
      </c>
      <c r="G240" s="39" t="s">
        <v>28</v>
      </c>
      <c r="H240" s="39" t="s">
        <v>29</v>
      </c>
      <c r="I240" s="39" t="e">
        <f>VLOOKUP(E240,#REF!,3,FALSE)</f>
        <v>#REF!</v>
      </c>
      <c r="J240" s="39" t="s">
        <v>1167</v>
      </c>
    </row>
    <row r="241" spans="1:10" x14ac:dyDescent="0.25">
      <c r="A241" t="str">
        <f t="shared" si="3"/>
        <v>IRDS324</v>
      </c>
      <c r="B241" s="39" t="s">
        <v>216</v>
      </c>
      <c r="C241" s="39" t="s">
        <v>140</v>
      </c>
      <c r="D241" s="39" t="s">
        <v>144</v>
      </c>
      <c r="E241" s="39" t="s">
        <v>756</v>
      </c>
      <c r="F241" s="39" t="s">
        <v>757</v>
      </c>
      <c r="G241" s="39" t="s">
        <v>28</v>
      </c>
      <c r="H241" s="39" t="s">
        <v>65</v>
      </c>
      <c r="I241" s="39" t="e">
        <f>VLOOKUP(E241,#REF!,3,FALSE)</f>
        <v>#REF!</v>
      </c>
      <c r="J241" s="39" t="s">
        <v>1167</v>
      </c>
    </row>
    <row r="242" spans="1:10" x14ac:dyDescent="0.25">
      <c r="A242" t="str">
        <f t="shared" si="3"/>
        <v>MSS714</v>
      </c>
      <c r="B242" s="39" t="s">
        <v>781</v>
      </c>
      <c r="C242" s="39" t="s">
        <v>47</v>
      </c>
      <c r="D242" s="39" t="s">
        <v>855</v>
      </c>
      <c r="E242" s="39" t="s">
        <v>856</v>
      </c>
      <c r="F242" s="39" t="s">
        <v>857</v>
      </c>
      <c r="G242" s="39" t="s">
        <v>28</v>
      </c>
      <c r="H242" s="39" t="s">
        <v>70</v>
      </c>
      <c r="I242" s="39" t="e">
        <f>VLOOKUP(E242,#REF!,3,FALSE)</f>
        <v>#REF!</v>
      </c>
      <c r="J242" s="39" t="s">
        <v>1167</v>
      </c>
    </row>
    <row r="243" spans="1:10" x14ac:dyDescent="0.25">
      <c r="A243" t="str">
        <f t="shared" si="3"/>
        <v>MIR714</v>
      </c>
      <c r="B243" s="39" t="s">
        <v>781</v>
      </c>
      <c r="C243" s="39" t="s">
        <v>96</v>
      </c>
      <c r="D243" s="39" t="s">
        <v>899</v>
      </c>
      <c r="E243" s="39" t="s">
        <v>900</v>
      </c>
      <c r="F243" s="39" t="s">
        <v>901</v>
      </c>
      <c r="G243" s="39" t="s">
        <v>28</v>
      </c>
      <c r="H243" s="39" t="s">
        <v>267</v>
      </c>
      <c r="I243" s="39" t="e">
        <f>VLOOKUP(E243,#REF!,3,FALSE)</f>
        <v>#REF!</v>
      </c>
      <c r="J243" s="39" t="s">
        <v>1167</v>
      </c>
    </row>
    <row r="244" spans="1:10" x14ac:dyDescent="0.25">
      <c r="A244" t="str">
        <f t="shared" si="3"/>
        <v>IRDS314</v>
      </c>
      <c r="B244" s="39" t="s">
        <v>66</v>
      </c>
      <c r="C244" s="39" t="s">
        <v>10</v>
      </c>
      <c r="D244" s="39" t="s">
        <v>76</v>
      </c>
      <c r="E244" s="39" t="s">
        <v>77</v>
      </c>
      <c r="F244" s="39" t="s">
        <v>78</v>
      </c>
      <c r="G244" s="39" t="s">
        <v>28</v>
      </c>
      <c r="H244" s="39" t="s">
        <v>79</v>
      </c>
      <c r="I244" s="39" t="e">
        <f>VLOOKUP(E244,#REF!,3,FALSE)</f>
        <v>#REF!</v>
      </c>
      <c r="J244" s="39" t="s">
        <v>1167</v>
      </c>
    </row>
    <row r="245" spans="1:10" x14ac:dyDescent="0.25">
      <c r="A245" t="str">
        <f t="shared" si="3"/>
        <v>BPA316</v>
      </c>
      <c r="B245" s="39" t="s">
        <v>66</v>
      </c>
      <c r="C245" s="39" t="s">
        <v>47</v>
      </c>
      <c r="D245" s="39" t="s">
        <v>106</v>
      </c>
      <c r="E245" s="39" t="s">
        <v>496</v>
      </c>
      <c r="F245" s="39" t="s">
        <v>497</v>
      </c>
      <c r="G245" s="39" t="s">
        <v>28</v>
      </c>
      <c r="H245" s="39" t="s">
        <v>368</v>
      </c>
      <c r="I245" s="39" t="e">
        <f>VLOOKUP(E245,#REF!,3,FALSE)</f>
        <v>#REF!</v>
      </c>
      <c r="J245" s="39" t="s">
        <v>1167</v>
      </c>
    </row>
    <row r="246" spans="1:10" x14ac:dyDescent="0.25">
      <c r="A246" t="str">
        <f t="shared" si="3"/>
        <v>IRDS312</v>
      </c>
      <c r="B246" s="39" t="s">
        <v>66</v>
      </c>
      <c r="C246" s="39" t="s">
        <v>96</v>
      </c>
      <c r="D246" s="39" t="s">
        <v>76</v>
      </c>
      <c r="E246" s="39" t="s">
        <v>499</v>
      </c>
      <c r="F246" s="39" t="s">
        <v>500</v>
      </c>
      <c r="G246" s="39" t="s">
        <v>28</v>
      </c>
      <c r="H246" s="39" t="s">
        <v>83</v>
      </c>
      <c r="I246" s="39" t="e">
        <f>VLOOKUP(E246,#REF!,3,FALSE)</f>
        <v>#REF!</v>
      </c>
      <c r="J246" s="39" t="s">
        <v>1167</v>
      </c>
    </row>
    <row r="247" spans="1:10" x14ac:dyDescent="0.25">
      <c r="A247" t="str">
        <f t="shared" si="3"/>
        <v>MSS724</v>
      </c>
      <c r="B247" s="39" t="s">
        <v>781</v>
      </c>
      <c r="C247" s="39" t="s">
        <v>140</v>
      </c>
      <c r="D247" s="39" t="s">
        <v>1227</v>
      </c>
      <c r="E247" s="39" t="s">
        <v>820</v>
      </c>
      <c r="F247" s="39" t="s">
        <v>1228</v>
      </c>
      <c r="G247" s="39" t="s">
        <v>28</v>
      </c>
      <c r="H247" s="39" t="s">
        <v>24</v>
      </c>
      <c r="I247" s="39" t="e">
        <f>VLOOKUP(E247,#REF!,3,FALSE)</f>
        <v>#REF!</v>
      </c>
      <c r="J247" s="39" t="s">
        <v>1167</v>
      </c>
    </row>
    <row r="248" spans="1:10" x14ac:dyDescent="0.25">
      <c r="A248" t="str">
        <f t="shared" si="3"/>
        <v>MIR812</v>
      </c>
      <c r="B248" s="39" t="s">
        <v>812</v>
      </c>
      <c r="C248" s="39" t="s">
        <v>140</v>
      </c>
      <c r="D248" s="39" t="s">
        <v>858</v>
      </c>
      <c r="E248" s="39" t="s">
        <v>902</v>
      </c>
      <c r="F248" s="39" t="s">
        <v>903</v>
      </c>
      <c r="G248" s="39" t="s">
        <v>28</v>
      </c>
      <c r="H248" s="39" t="s">
        <v>79</v>
      </c>
      <c r="I248" s="39" t="e">
        <f>VLOOKUP(E248,#REF!,3,FALSE)</f>
        <v>#REF!</v>
      </c>
      <c r="J248" s="39" t="s">
        <v>1167</v>
      </c>
    </row>
    <row r="249" spans="1:10" x14ac:dyDescent="0.25">
      <c r="A249" t="str">
        <f t="shared" si="3"/>
        <v>IRDS216</v>
      </c>
      <c r="B249" s="39" t="s">
        <v>66</v>
      </c>
      <c r="C249" s="39" t="s">
        <v>47</v>
      </c>
      <c r="D249" s="39" t="s">
        <v>501</v>
      </c>
      <c r="E249" s="39" t="s">
        <v>502</v>
      </c>
      <c r="F249" s="39" t="s">
        <v>503</v>
      </c>
      <c r="G249" s="39" t="s">
        <v>28</v>
      </c>
      <c r="H249" s="39" t="s">
        <v>24</v>
      </c>
      <c r="I249" s="39" t="e">
        <f>VLOOKUP(E249,#REF!,3,FALSE)</f>
        <v>#REF!</v>
      </c>
      <c r="J249" s="39" t="s">
        <v>1167</v>
      </c>
    </row>
    <row r="250" spans="1:10" x14ac:dyDescent="0.25">
      <c r="A250" t="str">
        <f t="shared" si="3"/>
        <v>IRDS111</v>
      </c>
      <c r="B250" s="39" t="s">
        <v>66</v>
      </c>
      <c r="C250" s="39" t="s">
        <v>96</v>
      </c>
      <c r="D250" s="39" t="s">
        <v>25</v>
      </c>
      <c r="E250" s="39" t="s">
        <v>555</v>
      </c>
      <c r="F250" s="39" t="s">
        <v>556</v>
      </c>
      <c r="G250" s="39" t="s">
        <v>28</v>
      </c>
      <c r="H250" s="39" t="s">
        <v>220</v>
      </c>
      <c r="I250" s="39" t="e">
        <f>VLOOKUP(E250,#REF!,3,FALSE)</f>
        <v>#REF!</v>
      </c>
      <c r="J250" s="39" t="s">
        <v>1167</v>
      </c>
    </row>
    <row r="251" spans="1:10" x14ac:dyDescent="0.25">
      <c r="A251" t="str">
        <f t="shared" si="3"/>
        <v>IRDS224</v>
      </c>
      <c r="B251" s="39" t="s">
        <v>66</v>
      </c>
      <c r="C251" s="39" t="s">
        <v>140</v>
      </c>
      <c r="D251" s="39" t="s">
        <v>390</v>
      </c>
      <c r="E251" s="39" t="s">
        <v>594</v>
      </c>
      <c r="F251" s="39" t="s">
        <v>595</v>
      </c>
      <c r="G251" s="39" t="s">
        <v>28</v>
      </c>
      <c r="H251" s="39" t="s">
        <v>79</v>
      </c>
      <c r="I251" s="39" t="e">
        <f>VLOOKUP(E251,#REF!,3,FALSE)</f>
        <v>#REF!</v>
      </c>
      <c r="J251" s="39" t="s">
        <v>1167</v>
      </c>
    </row>
    <row r="252" spans="1:10" x14ac:dyDescent="0.25">
      <c r="A252" t="str">
        <f t="shared" si="3"/>
        <v>IRDS227</v>
      </c>
      <c r="B252" s="39" t="s">
        <v>216</v>
      </c>
      <c r="C252" s="39" t="s">
        <v>140</v>
      </c>
      <c r="D252" s="39" t="s">
        <v>390</v>
      </c>
      <c r="E252" s="39" t="s">
        <v>763</v>
      </c>
      <c r="F252" s="39" t="s">
        <v>764</v>
      </c>
      <c r="G252" s="39" t="s">
        <v>28</v>
      </c>
      <c r="H252" s="39" t="s">
        <v>112</v>
      </c>
      <c r="I252" s="39" t="e">
        <f>VLOOKUP(E252,#REF!,3,FALSE)</f>
        <v>#REF!</v>
      </c>
      <c r="J252" s="39" t="s">
        <v>1167</v>
      </c>
    </row>
    <row r="253" spans="1:10" x14ac:dyDescent="0.25">
      <c r="A253" t="str">
        <f t="shared" si="3"/>
        <v>MIR814</v>
      </c>
      <c r="B253" s="39" t="s">
        <v>781</v>
      </c>
      <c r="C253" s="39" t="s">
        <v>96</v>
      </c>
      <c r="D253" s="39" t="s">
        <v>858</v>
      </c>
      <c r="E253" s="39" t="s">
        <v>950</v>
      </c>
      <c r="F253" s="39" t="s">
        <v>951</v>
      </c>
      <c r="G253" s="39" t="s">
        <v>28</v>
      </c>
      <c r="H253" s="39" t="s">
        <v>79</v>
      </c>
      <c r="I253" s="39" t="e">
        <f>VLOOKUP(E253,#REF!,3,FALSE)</f>
        <v>#REF!</v>
      </c>
      <c r="J253" s="39" t="s">
        <v>1167</v>
      </c>
    </row>
    <row r="254" spans="1:10" x14ac:dyDescent="0.25">
      <c r="A254" t="str">
        <f t="shared" si="3"/>
        <v>BPA322</v>
      </c>
      <c r="B254" s="39" t="s">
        <v>170</v>
      </c>
      <c r="C254" s="39" t="s">
        <v>47</v>
      </c>
      <c r="D254" s="39" t="s">
        <v>479</v>
      </c>
      <c r="E254" s="39" t="s">
        <v>727</v>
      </c>
      <c r="F254" s="39" t="s">
        <v>728</v>
      </c>
      <c r="G254" s="39" t="s">
        <v>28</v>
      </c>
      <c r="H254" s="39" t="s">
        <v>220</v>
      </c>
      <c r="I254" s="39" t="e">
        <f>VLOOKUP(E254,#REF!,3,FALSE)</f>
        <v>#REF!</v>
      </c>
      <c r="J254" s="39" t="s">
        <v>1167</v>
      </c>
    </row>
    <row r="255" spans="1:10" x14ac:dyDescent="0.25">
      <c r="A255" t="str">
        <f t="shared" si="3"/>
        <v>IRDS316</v>
      </c>
      <c r="B255" s="39" t="s">
        <v>170</v>
      </c>
      <c r="C255" s="39" t="s">
        <v>96</v>
      </c>
      <c r="D255" s="39" t="s">
        <v>76</v>
      </c>
      <c r="E255" s="39" t="s">
        <v>254</v>
      </c>
      <c r="F255" s="39" t="s">
        <v>255</v>
      </c>
      <c r="G255" s="39" t="s">
        <v>28</v>
      </c>
      <c r="H255" s="39" t="s">
        <v>29</v>
      </c>
      <c r="I255" s="39" t="e">
        <f>VLOOKUP(E255,#REF!,3,FALSE)</f>
        <v>#REF!</v>
      </c>
      <c r="J255" s="39" t="s">
        <v>1167</v>
      </c>
    </row>
    <row r="256" spans="1:10" x14ac:dyDescent="0.25">
      <c r="A256" t="str">
        <f t="shared" si="3"/>
        <v>BPA213</v>
      </c>
      <c r="B256" s="39" t="s">
        <v>170</v>
      </c>
      <c r="C256" s="39" t="s">
        <v>140</v>
      </c>
      <c r="D256" s="39" t="s">
        <v>62</v>
      </c>
      <c r="E256" s="39" t="s">
        <v>394</v>
      </c>
      <c r="F256" s="39" t="s">
        <v>395</v>
      </c>
      <c r="G256" s="39" t="s">
        <v>28</v>
      </c>
      <c r="H256" s="39" t="s">
        <v>220</v>
      </c>
      <c r="I256" s="39" t="e">
        <f>VLOOKUP(E256,#REF!,3,FALSE)</f>
        <v>#REF!</v>
      </c>
      <c r="J256" s="39" t="s">
        <v>1167</v>
      </c>
    </row>
    <row r="257" spans="1:10" x14ac:dyDescent="0.25">
      <c r="A257" t="str">
        <f t="shared" si="3"/>
        <v>BPA123</v>
      </c>
      <c r="B257" s="39" t="s">
        <v>216</v>
      </c>
      <c r="C257" s="39" t="s">
        <v>10</v>
      </c>
      <c r="D257" s="39" t="s">
        <v>444</v>
      </c>
      <c r="E257" s="39" t="s">
        <v>445</v>
      </c>
      <c r="F257" s="39" t="s">
        <v>446</v>
      </c>
      <c r="G257" s="39" t="s">
        <v>28</v>
      </c>
      <c r="H257" s="39" t="s">
        <v>79</v>
      </c>
      <c r="I257" s="39" t="e">
        <f>VLOOKUP(E257,#REF!,3,FALSE)</f>
        <v>#REF!</v>
      </c>
      <c r="J257" s="39" t="s">
        <v>1167</v>
      </c>
    </row>
    <row r="258" spans="1:10" x14ac:dyDescent="0.25">
      <c r="A258" t="str">
        <f t="shared" si="3"/>
        <v>IRDS125/BPA126</v>
      </c>
      <c r="B258" s="39" t="s">
        <v>216</v>
      </c>
      <c r="C258" s="39" t="s">
        <v>96</v>
      </c>
      <c r="D258" s="39" t="s">
        <v>724</v>
      </c>
      <c r="E258" s="39" t="s">
        <v>725</v>
      </c>
      <c r="F258" s="39" t="s">
        <v>726</v>
      </c>
      <c r="G258" s="39" t="s">
        <v>28</v>
      </c>
      <c r="H258" s="39" t="s">
        <v>368</v>
      </c>
      <c r="I258" s="39" t="e">
        <f>VLOOKUP(E258,#REF!,3,FALSE)</f>
        <v>#REF!</v>
      </c>
      <c r="J258" s="39" t="s">
        <v>1167</v>
      </c>
    </row>
    <row r="259" spans="1:10" x14ac:dyDescent="0.25">
      <c r="A259" t="str">
        <f t="shared" si="3"/>
        <v>MIR724</v>
      </c>
      <c r="B259" s="39" t="s">
        <v>781</v>
      </c>
      <c r="C259" s="39" t="s">
        <v>96</v>
      </c>
      <c r="D259" s="39" t="s">
        <v>904</v>
      </c>
      <c r="E259" s="39" t="s">
        <v>905</v>
      </c>
      <c r="F259" s="39" t="s">
        <v>726</v>
      </c>
      <c r="G259" s="39" t="s">
        <v>28</v>
      </c>
      <c r="H259" s="39" t="s">
        <v>55</v>
      </c>
      <c r="I259" s="39" t="e">
        <f>VLOOKUP(E259,#REF!,3,FALSE)</f>
        <v>#REF!</v>
      </c>
      <c r="J259" s="39" t="s">
        <v>1167</v>
      </c>
    </row>
    <row r="260" spans="1:10" x14ac:dyDescent="0.25">
      <c r="A260" t="str">
        <f t="shared" ref="A260:A323" si="4">E260</f>
        <v>IRDS129</v>
      </c>
      <c r="B260" s="39" t="s">
        <v>9</v>
      </c>
      <c r="C260" s="39" t="s">
        <v>47</v>
      </c>
      <c r="D260" s="39" t="s">
        <v>80</v>
      </c>
      <c r="E260" s="39" t="s">
        <v>81</v>
      </c>
      <c r="F260" s="39" t="s">
        <v>82</v>
      </c>
      <c r="G260" s="39" t="s">
        <v>28</v>
      </c>
      <c r="H260" s="39" t="s">
        <v>83</v>
      </c>
      <c r="I260" s="39" t="e">
        <f>VLOOKUP(E260,#REF!,3,FALSE)</f>
        <v>#REF!</v>
      </c>
      <c r="J260" s="39" t="s">
        <v>1167</v>
      </c>
    </row>
    <row r="261" spans="1:10" x14ac:dyDescent="0.25">
      <c r="A261" t="str">
        <f t="shared" si="4"/>
        <v>BPA314</v>
      </c>
      <c r="B261" s="39" t="s">
        <v>9</v>
      </c>
      <c r="C261" s="39" t="s">
        <v>96</v>
      </c>
      <c r="D261" s="39" t="s">
        <v>106</v>
      </c>
      <c r="E261" s="39" t="s">
        <v>107</v>
      </c>
      <c r="F261" s="39" t="s">
        <v>108</v>
      </c>
      <c r="G261" s="39" t="s">
        <v>28</v>
      </c>
      <c r="H261" s="39" t="s">
        <v>65</v>
      </c>
      <c r="I261" s="39" t="e">
        <f>VLOOKUP(E261,#REF!,3,FALSE)</f>
        <v>#REF!</v>
      </c>
      <c r="J261" s="39" t="s">
        <v>1167</v>
      </c>
    </row>
    <row r="262" spans="1:10" x14ac:dyDescent="0.25">
      <c r="A262" t="str">
        <f t="shared" si="4"/>
        <v>IRDS124</v>
      </c>
      <c r="B262" s="39" t="s">
        <v>56</v>
      </c>
      <c r="C262" s="39" t="s">
        <v>47</v>
      </c>
      <c r="D262" s="39" t="s">
        <v>80</v>
      </c>
      <c r="E262" s="39" t="s">
        <v>372</v>
      </c>
      <c r="F262" s="39" t="s">
        <v>373</v>
      </c>
      <c r="G262" s="39" t="s">
        <v>28</v>
      </c>
      <c r="H262" s="39" t="s">
        <v>83</v>
      </c>
      <c r="I262" s="39" t="e">
        <f>VLOOKUP(E262,#REF!,3,FALSE)</f>
        <v>#REF!</v>
      </c>
      <c r="J262" s="39" t="s">
        <v>1167</v>
      </c>
    </row>
    <row r="263" spans="1:10" x14ac:dyDescent="0.25">
      <c r="A263" t="str">
        <f t="shared" si="4"/>
        <v>MIR712</v>
      </c>
      <c r="B263" s="39" t="s">
        <v>781</v>
      </c>
      <c r="C263" s="39" t="s">
        <v>47</v>
      </c>
      <c r="D263" s="39" t="s">
        <v>908</v>
      </c>
      <c r="E263" s="39" t="s">
        <v>909</v>
      </c>
      <c r="F263" s="39" t="s">
        <v>910</v>
      </c>
      <c r="G263" s="39" t="s">
        <v>28</v>
      </c>
      <c r="H263" s="39" t="s">
        <v>822</v>
      </c>
      <c r="I263" s="39" t="e">
        <f>VLOOKUP(E263,#REF!,3,FALSE)</f>
        <v>#REF!</v>
      </c>
      <c r="J263" s="39" t="s">
        <v>1167</v>
      </c>
    </row>
    <row r="264" spans="1:10" x14ac:dyDescent="0.25">
      <c r="A264" t="str">
        <f t="shared" si="4"/>
        <v>MSS716</v>
      </c>
      <c r="B264" s="39" t="s">
        <v>781</v>
      </c>
      <c r="C264" s="39" t="s">
        <v>96</v>
      </c>
      <c r="D264" s="39" t="s">
        <v>855</v>
      </c>
      <c r="E264" s="39" t="s">
        <v>952</v>
      </c>
      <c r="F264" s="39" t="s">
        <v>953</v>
      </c>
      <c r="G264" s="39" t="s">
        <v>28</v>
      </c>
      <c r="H264" s="39" t="s">
        <v>822</v>
      </c>
      <c r="I264" s="39" t="e">
        <f>VLOOKUP(E264,#REF!,3,FALSE)</f>
        <v>#REF!</v>
      </c>
      <c r="J264" s="39" t="s">
        <v>1167</v>
      </c>
    </row>
    <row r="265" spans="1:10" x14ac:dyDescent="0.25">
      <c r="A265" t="str">
        <f t="shared" si="4"/>
        <v>IRDS121/BPA121/FOA124</v>
      </c>
      <c r="B265" s="39" t="s">
        <v>9</v>
      </c>
      <c r="C265" s="39" t="s">
        <v>96</v>
      </c>
      <c r="D265" s="39" t="s">
        <v>109</v>
      </c>
      <c r="E265" s="39" t="s">
        <v>110</v>
      </c>
      <c r="F265" s="39" t="s">
        <v>111</v>
      </c>
      <c r="G265" s="39" t="s">
        <v>28</v>
      </c>
      <c r="H265" s="39" t="s">
        <v>112</v>
      </c>
      <c r="I265" s="39" t="e">
        <f>VLOOKUP(E265,#REF!,3,FALSE)</f>
        <v>#REF!</v>
      </c>
      <c r="J265" s="39" t="s">
        <v>1167</v>
      </c>
    </row>
    <row r="266" spans="1:10" x14ac:dyDescent="0.25">
      <c r="A266" t="str">
        <f t="shared" si="4"/>
        <v>BPA221</v>
      </c>
      <c r="B266" s="39" t="s">
        <v>9</v>
      </c>
      <c r="C266" s="39" t="s">
        <v>140</v>
      </c>
      <c r="D266" s="39" t="s">
        <v>444</v>
      </c>
      <c r="E266" s="39" t="s">
        <v>148</v>
      </c>
      <c r="F266" s="39" t="s">
        <v>149</v>
      </c>
      <c r="G266" s="39" t="s">
        <v>28</v>
      </c>
      <c r="H266" s="39" t="s">
        <v>65</v>
      </c>
      <c r="I266" s="39" t="e">
        <f>VLOOKUP(E266,#REF!,3,FALSE)</f>
        <v>#REF!</v>
      </c>
      <c r="J266" s="39" t="s">
        <v>1167</v>
      </c>
    </row>
    <row r="267" spans="1:10" x14ac:dyDescent="0.25">
      <c r="A267" t="str">
        <f t="shared" si="4"/>
        <v>BPA226</v>
      </c>
      <c r="B267" s="39" t="s">
        <v>56</v>
      </c>
      <c r="C267" s="39" t="s">
        <v>96</v>
      </c>
      <c r="D267" s="39" t="s">
        <v>517</v>
      </c>
      <c r="E267" s="39" t="s">
        <v>1229</v>
      </c>
      <c r="F267" s="39" t="s">
        <v>780</v>
      </c>
      <c r="G267" s="39" t="s">
        <v>28</v>
      </c>
      <c r="H267" s="39" t="s">
        <v>79</v>
      </c>
      <c r="I267" s="39" t="e">
        <f>VLOOKUP(E267,#REF!,3,FALSE)</f>
        <v>#REF!</v>
      </c>
      <c r="J267" s="39" t="s">
        <v>1167</v>
      </c>
    </row>
    <row r="268" spans="1:10" x14ac:dyDescent="0.25">
      <c r="A268" t="str">
        <f t="shared" si="4"/>
        <v>BPA313</v>
      </c>
      <c r="B268" s="39" t="s">
        <v>216</v>
      </c>
      <c r="C268" s="39" t="s">
        <v>140</v>
      </c>
      <c r="D268" s="39" t="s">
        <v>106</v>
      </c>
      <c r="E268" s="39" t="s">
        <v>765</v>
      </c>
      <c r="F268" s="39" t="s">
        <v>766</v>
      </c>
      <c r="G268" s="39" t="s">
        <v>28</v>
      </c>
      <c r="H268" s="39" t="s">
        <v>287</v>
      </c>
      <c r="I268" s="39" t="e">
        <f>VLOOKUP(E268,#REF!,3,FALSE)</f>
        <v>#REF!</v>
      </c>
      <c r="J268" s="39" t="s">
        <v>1167</v>
      </c>
    </row>
    <row r="269" spans="1:10" x14ac:dyDescent="0.25">
      <c r="A269" t="str">
        <f t="shared" si="4"/>
        <v>MIR723</v>
      </c>
      <c r="B269" s="39" t="s">
        <v>812</v>
      </c>
      <c r="C269" s="39" t="s">
        <v>140</v>
      </c>
      <c r="D269" s="39" t="s">
        <v>904</v>
      </c>
      <c r="E269" s="39" t="s">
        <v>1064</v>
      </c>
      <c r="F269" s="39" t="s">
        <v>1065</v>
      </c>
      <c r="G269" s="39" t="s">
        <v>28</v>
      </c>
      <c r="H269" s="39" t="s">
        <v>55</v>
      </c>
      <c r="I269" s="39" t="e">
        <f>VLOOKUP(E269,#REF!,3,FALSE)</f>
        <v>#REF!</v>
      </c>
      <c r="J269" s="39" t="s">
        <v>1167</v>
      </c>
    </row>
    <row r="270" spans="1:10" x14ac:dyDescent="0.25">
      <c r="A270" t="str">
        <f t="shared" si="4"/>
        <v>MED722</v>
      </c>
      <c r="B270" s="39" t="s">
        <v>781</v>
      </c>
      <c r="C270" s="39" t="s">
        <v>10</v>
      </c>
      <c r="D270" s="39" t="s">
        <v>850</v>
      </c>
      <c r="E270" s="39" t="s">
        <v>851</v>
      </c>
      <c r="F270" s="39" t="s">
        <v>852</v>
      </c>
      <c r="G270" s="39" t="s">
        <v>28</v>
      </c>
      <c r="H270" s="39" t="s">
        <v>792</v>
      </c>
      <c r="I270" s="39" t="e">
        <f>VLOOKUP(E270,#REF!,3,FALSE)</f>
        <v>#REF!</v>
      </c>
      <c r="J270" s="39" t="s">
        <v>1167</v>
      </c>
    </row>
    <row r="271" spans="1:10" x14ac:dyDescent="0.25">
      <c r="A271" t="str">
        <f t="shared" si="4"/>
        <v>MED713</v>
      </c>
      <c r="B271" s="39" t="s">
        <v>781</v>
      </c>
      <c r="C271" s="39" t="s">
        <v>140</v>
      </c>
      <c r="D271" s="39" t="s">
        <v>839</v>
      </c>
      <c r="E271" s="39" t="s">
        <v>926</v>
      </c>
      <c r="F271" s="39" t="s">
        <v>927</v>
      </c>
      <c r="G271" s="39" t="s">
        <v>28</v>
      </c>
      <c r="H271" s="39" t="s">
        <v>15</v>
      </c>
      <c r="I271" s="39" t="e">
        <f>VLOOKUP(E271,#REF!,3,FALSE)</f>
        <v>#REF!</v>
      </c>
      <c r="J271" s="39" t="s">
        <v>1167</v>
      </c>
    </row>
    <row r="272" spans="1:10" x14ac:dyDescent="0.25">
      <c r="A272" t="str">
        <f t="shared" si="4"/>
        <v>MED714</v>
      </c>
      <c r="B272" s="39" t="s">
        <v>812</v>
      </c>
      <c r="C272" s="39" t="s">
        <v>10</v>
      </c>
      <c r="D272" s="39" t="s">
        <v>839</v>
      </c>
      <c r="E272" s="39" t="s">
        <v>840</v>
      </c>
      <c r="F272" s="39" t="s">
        <v>841</v>
      </c>
      <c r="G272" s="39" t="s">
        <v>28</v>
      </c>
      <c r="H272" s="39" t="s">
        <v>792</v>
      </c>
      <c r="I272" s="39" t="e">
        <f>VLOOKUP(E272,#REF!,3,FALSE)</f>
        <v>#REF!</v>
      </c>
      <c r="J272" s="39" t="s">
        <v>1167</v>
      </c>
    </row>
    <row r="273" spans="1:10" x14ac:dyDescent="0.25">
      <c r="A273" t="str">
        <f t="shared" si="4"/>
        <v>MED812</v>
      </c>
      <c r="B273" s="39" t="s">
        <v>812</v>
      </c>
      <c r="C273" s="39" t="s">
        <v>47</v>
      </c>
      <c r="D273" s="39" t="s">
        <v>813</v>
      </c>
      <c r="E273" s="39" t="s">
        <v>814</v>
      </c>
      <c r="F273" s="39" t="s">
        <v>815</v>
      </c>
      <c r="G273" s="39" t="s">
        <v>28</v>
      </c>
      <c r="H273" s="39" t="s">
        <v>61</v>
      </c>
      <c r="I273" s="39" t="e">
        <f>VLOOKUP(E273,#REF!,3,FALSE)</f>
        <v>#REF!</v>
      </c>
      <c r="J273" s="39" t="s">
        <v>1167</v>
      </c>
    </row>
    <row r="274" spans="1:10" x14ac:dyDescent="0.25">
      <c r="A274" t="str">
        <f t="shared" si="4"/>
        <v>BJC121</v>
      </c>
      <c r="B274" s="39" t="s">
        <v>9</v>
      </c>
      <c r="C274" s="39" t="s">
        <v>47</v>
      </c>
      <c r="D274" s="39" t="s">
        <v>84</v>
      </c>
      <c r="E274" s="39" t="s">
        <v>85</v>
      </c>
      <c r="F274" s="39" t="s">
        <v>86</v>
      </c>
      <c r="G274" s="39" t="s">
        <v>28</v>
      </c>
      <c r="H274" s="39" t="s">
        <v>87</v>
      </c>
      <c r="I274" s="39" t="e">
        <f>VLOOKUP(E274,#REF!,3,FALSE)</f>
        <v>#REF!</v>
      </c>
      <c r="J274" s="39" t="s">
        <v>1167</v>
      </c>
    </row>
    <row r="275" spans="1:10" x14ac:dyDescent="0.25">
      <c r="A275" t="str">
        <f t="shared" si="4"/>
        <v>BJC115</v>
      </c>
      <c r="B275" s="39" t="s">
        <v>9</v>
      </c>
      <c r="C275" s="39" t="s">
        <v>96</v>
      </c>
      <c r="D275" s="39" t="s">
        <v>113</v>
      </c>
      <c r="E275" s="39" t="s">
        <v>114</v>
      </c>
      <c r="F275" s="39" t="s">
        <v>115</v>
      </c>
      <c r="G275" s="39" t="s">
        <v>28</v>
      </c>
      <c r="H275" s="39" t="s">
        <v>87</v>
      </c>
      <c r="I275" s="39" t="e">
        <f>VLOOKUP(E275,#REF!,3,FALSE)</f>
        <v>#REF!</v>
      </c>
      <c r="J275" s="39" t="s">
        <v>1167</v>
      </c>
    </row>
    <row r="276" spans="1:10" x14ac:dyDescent="0.25">
      <c r="A276" t="str">
        <f t="shared" si="4"/>
        <v>BJC224</v>
      </c>
      <c r="B276" s="39" t="s">
        <v>9</v>
      </c>
      <c r="C276" s="39" t="s">
        <v>140</v>
      </c>
      <c r="D276" s="39" t="s">
        <v>150</v>
      </c>
      <c r="E276" s="39" t="s">
        <v>151</v>
      </c>
      <c r="F276" s="39" t="s">
        <v>152</v>
      </c>
      <c r="G276" s="39" t="s">
        <v>28</v>
      </c>
      <c r="H276" s="39" t="s">
        <v>87</v>
      </c>
      <c r="I276" s="39" t="e">
        <f>VLOOKUP(E276,#REF!,3,FALSE)</f>
        <v>#REF!</v>
      </c>
      <c r="J276" s="39" t="s">
        <v>1167</v>
      </c>
    </row>
    <row r="277" spans="1:10" x14ac:dyDescent="0.25">
      <c r="A277" t="str">
        <f t="shared" si="4"/>
        <v>BPR321</v>
      </c>
      <c r="B277" s="39" t="s">
        <v>170</v>
      </c>
      <c r="C277" s="39" t="s">
        <v>47</v>
      </c>
      <c r="D277" s="39" t="s">
        <v>504</v>
      </c>
      <c r="E277" s="39" t="s">
        <v>505</v>
      </c>
      <c r="F277" s="39" t="s">
        <v>506</v>
      </c>
      <c r="G277" s="39" t="s">
        <v>28</v>
      </c>
      <c r="H277" s="39" t="s">
        <v>507</v>
      </c>
      <c r="I277" s="39" t="e">
        <f>VLOOKUP(E277,#REF!,3,FALSE)</f>
        <v>#REF!</v>
      </c>
      <c r="J277" s="39" t="s">
        <v>1167</v>
      </c>
    </row>
    <row r="278" spans="1:10" x14ac:dyDescent="0.25">
      <c r="A278" t="str">
        <f t="shared" si="4"/>
        <v>BJC213</v>
      </c>
      <c r="B278" s="39" t="s">
        <v>56</v>
      </c>
      <c r="C278" s="39" t="s">
        <v>47</v>
      </c>
      <c r="D278" s="39" t="s">
        <v>351</v>
      </c>
      <c r="E278" s="39" t="s">
        <v>598</v>
      </c>
      <c r="F278" s="39" t="s">
        <v>599</v>
      </c>
      <c r="G278" s="39" t="s">
        <v>28</v>
      </c>
      <c r="H278" s="39" t="s">
        <v>420</v>
      </c>
      <c r="I278" s="39" t="e">
        <f>VLOOKUP(E278,#REF!,3,FALSE)</f>
        <v>#REF!</v>
      </c>
      <c r="J278" s="39" t="s">
        <v>1167</v>
      </c>
    </row>
    <row r="279" spans="1:10" x14ac:dyDescent="0.25">
      <c r="A279" t="str">
        <f t="shared" si="4"/>
        <v>BJC221</v>
      </c>
      <c r="B279" s="39" t="s">
        <v>56</v>
      </c>
      <c r="C279" s="39" t="s">
        <v>96</v>
      </c>
      <c r="D279" s="39" t="s">
        <v>150</v>
      </c>
      <c r="E279" s="39" t="s">
        <v>557</v>
      </c>
      <c r="F279" s="39" t="s">
        <v>558</v>
      </c>
      <c r="G279" s="39" t="s">
        <v>28</v>
      </c>
      <c r="H279" s="39" t="s">
        <v>507</v>
      </c>
      <c r="I279" s="39" t="e">
        <f>VLOOKUP(E279,#REF!,3,FALSE)</f>
        <v>#REF!</v>
      </c>
      <c r="J279" s="39" t="s">
        <v>1167</v>
      </c>
    </row>
    <row r="280" spans="1:10" x14ac:dyDescent="0.25">
      <c r="A280" t="str">
        <f t="shared" si="4"/>
        <v>BBA115</v>
      </c>
      <c r="B280" s="39" t="s">
        <v>66</v>
      </c>
      <c r="C280" s="39" t="s">
        <v>10</v>
      </c>
      <c r="D280" s="39" t="s">
        <v>1175</v>
      </c>
      <c r="E280" s="39" t="s">
        <v>447</v>
      </c>
      <c r="F280" s="39" t="s">
        <v>448</v>
      </c>
      <c r="G280" s="39" t="s">
        <v>19</v>
      </c>
      <c r="H280" s="39" t="s">
        <v>20</v>
      </c>
      <c r="I280" s="39" t="e">
        <f>VLOOKUP(E280,#REF!,3,FALSE)</f>
        <v>#REF!</v>
      </c>
      <c r="J280" s="39" t="s">
        <v>1167</v>
      </c>
    </row>
    <row r="281" spans="1:10" x14ac:dyDescent="0.25">
      <c r="A281" t="str">
        <f t="shared" si="4"/>
        <v>BBA321</v>
      </c>
      <c r="B281" s="39" t="s">
        <v>66</v>
      </c>
      <c r="C281" s="39" t="s">
        <v>47</v>
      </c>
      <c r="D281" s="39" t="s">
        <v>508</v>
      </c>
      <c r="E281" s="39" t="s">
        <v>509</v>
      </c>
      <c r="F281" s="39" t="s">
        <v>510</v>
      </c>
      <c r="G281" s="39" t="s">
        <v>19</v>
      </c>
      <c r="H281" s="39" t="s">
        <v>287</v>
      </c>
      <c r="I281" s="39" t="e">
        <f>VLOOKUP(E281,#REF!,3,FALSE)</f>
        <v>#REF!</v>
      </c>
      <c r="J281" s="39" t="s">
        <v>1167</v>
      </c>
    </row>
    <row r="282" spans="1:10" x14ac:dyDescent="0.25">
      <c r="A282" t="str">
        <f t="shared" si="4"/>
        <v>BBA115</v>
      </c>
      <c r="B282" s="39" t="s">
        <v>66</v>
      </c>
      <c r="C282" s="39" t="s">
        <v>119</v>
      </c>
      <c r="D282" s="39" t="s">
        <v>1185</v>
      </c>
      <c r="E282" s="39" t="s">
        <v>447</v>
      </c>
      <c r="F282" s="39" t="s">
        <v>448</v>
      </c>
      <c r="G282" s="39" t="s">
        <v>19</v>
      </c>
      <c r="H282" s="39" t="s">
        <v>20</v>
      </c>
      <c r="I282" s="39" t="e">
        <f>VLOOKUP(E282,#REF!,3,FALSE)</f>
        <v>#REF!</v>
      </c>
      <c r="J282" s="39" t="s">
        <v>1167</v>
      </c>
    </row>
    <row r="283" spans="1:10" x14ac:dyDescent="0.25">
      <c r="A283" t="str">
        <f t="shared" si="4"/>
        <v>BBA317</v>
      </c>
      <c r="B283" s="39" t="s">
        <v>216</v>
      </c>
      <c r="C283" s="39" t="s">
        <v>10</v>
      </c>
      <c r="D283" s="39" t="s">
        <v>535</v>
      </c>
      <c r="E283" s="39" t="s">
        <v>651</v>
      </c>
      <c r="F283" s="39" t="s">
        <v>652</v>
      </c>
      <c r="G283" s="39" t="s">
        <v>19</v>
      </c>
      <c r="H283" s="39" t="s">
        <v>287</v>
      </c>
      <c r="I283" s="39" t="e">
        <f>VLOOKUP(E283,#REF!,3,FALSE)</f>
        <v>#REF!</v>
      </c>
      <c r="J283" s="39" t="s">
        <v>1167</v>
      </c>
    </row>
    <row r="284" spans="1:10" x14ac:dyDescent="0.25">
      <c r="A284" t="str">
        <f t="shared" si="4"/>
        <v>BBF317</v>
      </c>
      <c r="B284" s="39" t="s">
        <v>216</v>
      </c>
      <c r="C284" s="39" t="s">
        <v>96</v>
      </c>
      <c r="D284" s="39" t="s">
        <v>535</v>
      </c>
      <c r="E284" s="39" t="s">
        <v>1230</v>
      </c>
      <c r="F284" s="39" t="s">
        <v>1231</v>
      </c>
      <c r="G284" s="39" t="s">
        <v>19</v>
      </c>
      <c r="H284" s="39" t="s">
        <v>287</v>
      </c>
      <c r="I284" s="39" t="e">
        <f>VLOOKUP(E284,#REF!,3,FALSE)</f>
        <v>#REF!</v>
      </c>
      <c r="J284" s="39" t="s">
        <v>1167</v>
      </c>
    </row>
    <row r="285" spans="1:10" x14ac:dyDescent="0.25">
      <c r="A285" t="str">
        <f t="shared" si="4"/>
        <v>MBA726</v>
      </c>
      <c r="B285" s="39" t="s">
        <v>781</v>
      </c>
      <c r="C285" s="39" t="s">
        <v>10</v>
      </c>
      <c r="D285" s="39" t="s">
        <v>827</v>
      </c>
      <c r="E285" s="39" t="s">
        <v>828</v>
      </c>
      <c r="F285" s="39" t="s">
        <v>448</v>
      </c>
      <c r="G285" s="39" t="s">
        <v>19</v>
      </c>
      <c r="H285" s="39" t="s">
        <v>15</v>
      </c>
      <c r="I285" s="39" t="e">
        <f>VLOOKUP(E285,#REF!,3,FALSE)</f>
        <v>#REF!</v>
      </c>
      <c r="J285" s="39" t="s">
        <v>1167</v>
      </c>
    </row>
    <row r="286" spans="1:10" x14ac:dyDescent="0.25">
      <c r="A286" t="str">
        <f t="shared" si="4"/>
        <v>MBF811</v>
      </c>
      <c r="B286" s="39" t="s">
        <v>781</v>
      </c>
      <c r="C286" s="39" t="s">
        <v>47</v>
      </c>
      <c r="D286" s="39" t="s">
        <v>847</v>
      </c>
      <c r="E286" s="39" t="s">
        <v>861</v>
      </c>
      <c r="F286" s="39" t="s">
        <v>862</v>
      </c>
      <c r="G286" s="39" t="s">
        <v>19</v>
      </c>
      <c r="H286" s="39" t="s">
        <v>267</v>
      </c>
      <c r="I286" s="39" t="e">
        <f>VLOOKUP(E286,#REF!,3,FALSE)</f>
        <v>#REF!</v>
      </c>
      <c r="J286" s="39" t="s">
        <v>1167</v>
      </c>
    </row>
    <row r="287" spans="1:10" x14ac:dyDescent="0.25">
      <c r="A287" t="str">
        <f t="shared" si="4"/>
        <v>BBA115</v>
      </c>
      <c r="B287" s="39" t="s">
        <v>781</v>
      </c>
      <c r="C287" s="39" t="s">
        <v>140</v>
      </c>
      <c r="D287" s="39" t="s">
        <v>784</v>
      </c>
      <c r="E287" s="39" t="s">
        <v>447</v>
      </c>
      <c r="F287" s="39" t="s">
        <v>448</v>
      </c>
      <c r="G287" s="39" t="s">
        <v>19</v>
      </c>
      <c r="H287" s="39" t="s">
        <v>20</v>
      </c>
      <c r="I287" s="39" t="e">
        <f>VLOOKUP(E287,#REF!,3,FALSE)</f>
        <v>#REF!</v>
      </c>
      <c r="J287" s="39" t="s">
        <v>1167</v>
      </c>
    </row>
    <row r="288" spans="1:10" x14ac:dyDescent="0.25">
      <c r="A288" t="str">
        <f t="shared" si="4"/>
        <v>BBA317</v>
      </c>
      <c r="B288" s="39" t="s">
        <v>812</v>
      </c>
      <c r="C288" s="39" t="s">
        <v>10</v>
      </c>
      <c r="D288" s="39" t="s">
        <v>535</v>
      </c>
      <c r="E288" s="39" t="s">
        <v>651</v>
      </c>
      <c r="F288" s="39" t="s">
        <v>652</v>
      </c>
      <c r="G288" s="39" t="s">
        <v>19</v>
      </c>
      <c r="H288" s="39" t="s">
        <v>83</v>
      </c>
      <c r="I288" s="39" t="e">
        <f>VLOOKUP(E288,#REF!,3,FALSE)</f>
        <v>#REF!</v>
      </c>
      <c r="J288" s="39" t="s">
        <v>1167</v>
      </c>
    </row>
    <row r="289" spans="1:10" x14ac:dyDescent="0.25">
      <c r="A289" t="str">
        <f t="shared" si="4"/>
        <v>BPH212</v>
      </c>
      <c r="B289" s="39" t="s">
        <v>56</v>
      </c>
      <c r="C289" s="39" t="s">
        <v>10</v>
      </c>
      <c r="D289" s="39" t="s">
        <v>217</v>
      </c>
      <c r="E289" s="39" t="s">
        <v>335</v>
      </c>
      <c r="F289" s="39" t="s">
        <v>336</v>
      </c>
      <c r="G289" s="39" t="s">
        <v>14</v>
      </c>
      <c r="H289" s="39" t="s">
        <v>29</v>
      </c>
      <c r="I289" s="39" t="e">
        <f>VLOOKUP(E289,#REF!,3,FALSE)</f>
        <v>#REF!</v>
      </c>
      <c r="J289" s="39" t="s">
        <v>1167</v>
      </c>
    </row>
    <row r="290" spans="1:10" x14ac:dyDescent="0.25">
      <c r="A290" t="str">
        <f t="shared" si="4"/>
        <v>BPH321</v>
      </c>
      <c r="B290" s="39" t="s">
        <v>56</v>
      </c>
      <c r="C290" s="39" t="s">
        <v>47</v>
      </c>
      <c r="D290" s="39" t="s">
        <v>325</v>
      </c>
      <c r="E290" s="39" t="s">
        <v>374</v>
      </c>
      <c r="F290" s="39" t="s">
        <v>375</v>
      </c>
      <c r="G290" s="39" t="s">
        <v>14</v>
      </c>
      <c r="H290" s="39" t="s">
        <v>65</v>
      </c>
      <c r="I290" s="39" t="e">
        <f>VLOOKUP(E290,#REF!,3,FALSE)</f>
        <v>#REF!</v>
      </c>
      <c r="J290" s="39" t="s">
        <v>1167</v>
      </c>
    </row>
    <row r="291" spans="1:10" x14ac:dyDescent="0.25">
      <c r="A291" t="str">
        <f t="shared" si="4"/>
        <v>BPH224</v>
      </c>
      <c r="B291" s="39" t="s">
        <v>216</v>
      </c>
      <c r="C291" s="39" t="s">
        <v>140</v>
      </c>
      <c r="D291" s="39" t="s">
        <v>360</v>
      </c>
      <c r="E291" s="39" t="s">
        <v>1232</v>
      </c>
      <c r="F291" s="39" t="s">
        <v>687</v>
      </c>
      <c r="G291" s="39" t="s">
        <v>14</v>
      </c>
      <c r="H291" s="39" t="s">
        <v>29</v>
      </c>
      <c r="I291" s="39" t="e">
        <f>VLOOKUP(E291,#REF!,3,FALSE)</f>
        <v>#REF!</v>
      </c>
      <c r="J291" s="39" t="s">
        <v>1167</v>
      </c>
    </row>
    <row r="292" spans="1:10" x14ac:dyDescent="0.25">
      <c r="A292" t="str">
        <f t="shared" si="4"/>
        <v>BPH321</v>
      </c>
      <c r="B292" s="39" t="s">
        <v>781</v>
      </c>
      <c r="C292" s="39" t="s">
        <v>10</v>
      </c>
      <c r="D292" s="39" t="s">
        <v>826</v>
      </c>
      <c r="E292" s="39" t="s">
        <v>374</v>
      </c>
      <c r="F292" s="39" t="s">
        <v>375</v>
      </c>
      <c r="G292" s="39" t="s">
        <v>14</v>
      </c>
      <c r="H292" s="39" t="s">
        <v>407</v>
      </c>
      <c r="I292" s="39" t="e">
        <f>VLOOKUP(E292,#REF!,3,FALSE)</f>
        <v>#REF!</v>
      </c>
      <c r="J292" s="39" t="s">
        <v>1167</v>
      </c>
    </row>
    <row r="293" spans="1:10" x14ac:dyDescent="0.25">
      <c r="A293" t="str">
        <f t="shared" si="4"/>
        <v>EHS321</v>
      </c>
      <c r="B293" s="39" t="s">
        <v>781</v>
      </c>
      <c r="C293" s="39" t="s">
        <v>47</v>
      </c>
      <c r="D293" s="39" t="s">
        <v>826</v>
      </c>
      <c r="E293" s="39" t="s">
        <v>866</v>
      </c>
      <c r="F293" s="39" t="s">
        <v>867</v>
      </c>
      <c r="G293" s="39" t="s">
        <v>14</v>
      </c>
      <c r="H293" s="39" t="s">
        <v>368</v>
      </c>
      <c r="I293" s="39" t="e">
        <f>VLOOKUP(E293,#REF!,3,FALSE)</f>
        <v>#REF!</v>
      </c>
      <c r="J293" s="39" t="s">
        <v>1167</v>
      </c>
    </row>
    <row r="294" spans="1:10" x14ac:dyDescent="0.25">
      <c r="A294" t="str">
        <f t="shared" si="4"/>
        <v>EHS216</v>
      </c>
      <c r="B294" s="39" t="s">
        <v>812</v>
      </c>
      <c r="C294" s="39" t="s">
        <v>47</v>
      </c>
      <c r="D294" s="39" t="s">
        <v>808</v>
      </c>
      <c r="E294" s="39" t="s">
        <v>1012</v>
      </c>
      <c r="F294" s="39" t="s">
        <v>1013</v>
      </c>
      <c r="G294" s="39" t="s">
        <v>14</v>
      </c>
      <c r="H294" s="39" t="s">
        <v>363</v>
      </c>
      <c r="I294" s="39" t="e">
        <f>VLOOKUP(E294,#REF!,3,FALSE)</f>
        <v>#REF!</v>
      </c>
      <c r="J294" s="39" t="s">
        <v>1167</v>
      </c>
    </row>
    <row r="295" spans="1:10" x14ac:dyDescent="0.25">
      <c r="A295" t="str">
        <f t="shared" si="4"/>
        <v>EHS312</v>
      </c>
      <c r="B295" s="39" t="s">
        <v>812</v>
      </c>
      <c r="C295" s="39" t="s">
        <v>96</v>
      </c>
      <c r="D295" s="39" t="s">
        <v>786</v>
      </c>
      <c r="E295" s="39" t="s">
        <v>1041</v>
      </c>
      <c r="F295" s="39" t="s">
        <v>1042</v>
      </c>
      <c r="G295" s="39" t="s">
        <v>14</v>
      </c>
      <c r="H295" s="39" t="s">
        <v>220</v>
      </c>
      <c r="I295" s="39" t="e">
        <f>VLOOKUP(E295,#REF!,3,FALSE)</f>
        <v>#REF!</v>
      </c>
      <c r="J295" s="39" t="s">
        <v>1167</v>
      </c>
    </row>
    <row r="296" spans="1:10" x14ac:dyDescent="0.25">
      <c r="A296" t="str">
        <f t="shared" si="4"/>
        <v>DCS112</v>
      </c>
      <c r="B296" s="39" t="s">
        <v>9</v>
      </c>
      <c r="C296" s="39" t="s">
        <v>10</v>
      </c>
      <c r="D296" s="39" t="s">
        <v>11</v>
      </c>
      <c r="E296" s="39" t="s">
        <v>12</v>
      </c>
      <c r="F296" s="39" t="s">
        <v>13</v>
      </c>
      <c r="G296" s="39" t="s">
        <v>14</v>
      </c>
      <c r="H296" s="39" t="s">
        <v>15</v>
      </c>
      <c r="I296" s="39" t="e">
        <f>VLOOKUP(E296,#REF!,3,FALSE)</f>
        <v>#REF!</v>
      </c>
      <c r="J296" s="39" t="s">
        <v>1167</v>
      </c>
    </row>
    <row r="297" spans="1:10" x14ac:dyDescent="0.25">
      <c r="A297" t="str">
        <f t="shared" si="4"/>
        <v>BIT123</v>
      </c>
      <c r="B297" s="39" t="s">
        <v>9</v>
      </c>
      <c r="C297" s="39" t="s">
        <v>47</v>
      </c>
      <c r="D297" s="39" t="s">
        <v>600</v>
      </c>
      <c r="E297" s="39" t="s">
        <v>601</v>
      </c>
      <c r="F297" s="39" t="s">
        <v>602</v>
      </c>
      <c r="G297" s="39" t="s">
        <v>14</v>
      </c>
      <c r="H297" s="39" t="s">
        <v>33</v>
      </c>
      <c r="I297" s="39" t="e">
        <f>VLOOKUP(E297,#REF!,3,FALSE)</f>
        <v>#REF!</v>
      </c>
      <c r="J297" s="39" t="s">
        <v>1167</v>
      </c>
    </row>
    <row r="298" spans="1:10" x14ac:dyDescent="0.25">
      <c r="A298" t="str">
        <f t="shared" si="4"/>
        <v>COM221</v>
      </c>
      <c r="B298" s="39" t="s">
        <v>9</v>
      </c>
      <c r="C298" s="39" t="s">
        <v>140</v>
      </c>
      <c r="D298" s="39" t="s">
        <v>153</v>
      </c>
      <c r="E298" s="39" t="s">
        <v>154</v>
      </c>
      <c r="F298" s="39" t="s">
        <v>155</v>
      </c>
      <c r="G298" s="39" t="s">
        <v>14</v>
      </c>
      <c r="H298" s="39" t="s">
        <v>91</v>
      </c>
      <c r="I298" s="39" t="e">
        <f>VLOOKUP(E298,#REF!,3,FALSE)</f>
        <v>#REF!</v>
      </c>
      <c r="J298" s="39" t="s">
        <v>1167</v>
      </c>
    </row>
    <row r="299" spans="1:10" x14ac:dyDescent="0.25">
      <c r="A299" t="str">
        <f t="shared" si="4"/>
        <v>MIT715</v>
      </c>
      <c r="B299" s="39" t="s">
        <v>781</v>
      </c>
      <c r="C299" s="39" t="s">
        <v>10</v>
      </c>
      <c r="D299" s="39" t="s">
        <v>1179</v>
      </c>
      <c r="E299" s="39" t="s">
        <v>1233</v>
      </c>
      <c r="F299" s="39" t="s">
        <v>1234</v>
      </c>
      <c r="G299" s="39" t="s">
        <v>14</v>
      </c>
      <c r="H299" s="39" t="s">
        <v>792</v>
      </c>
      <c r="I299" s="39" t="e">
        <f>VLOOKUP(E299,#REF!,3,FALSE)</f>
        <v>#REF!</v>
      </c>
      <c r="J299" s="39" t="s">
        <v>1167</v>
      </c>
    </row>
    <row r="300" spans="1:10" x14ac:dyDescent="0.25">
      <c r="A300" t="str">
        <f t="shared" si="4"/>
        <v>BBA323</v>
      </c>
      <c r="B300" s="39" t="s">
        <v>170</v>
      </c>
      <c r="C300" s="39" t="s">
        <v>10</v>
      </c>
      <c r="D300" s="39" t="s">
        <v>52</v>
      </c>
      <c r="E300" s="39" t="s">
        <v>449</v>
      </c>
      <c r="F300" s="39" t="s">
        <v>450</v>
      </c>
      <c r="G300" s="39" t="s">
        <v>19</v>
      </c>
      <c r="H300" s="39" t="s">
        <v>287</v>
      </c>
      <c r="I300" s="39" t="e">
        <f>VLOOKUP(E300,#REF!,3,FALSE)</f>
        <v>#REF!</v>
      </c>
      <c r="J300" s="39" t="s">
        <v>1167</v>
      </c>
    </row>
    <row r="301" spans="1:10" x14ac:dyDescent="0.25">
      <c r="A301" t="str">
        <f t="shared" si="4"/>
        <v>HRM315</v>
      </c>
      <c r="B301" s="39" t="s">
        <v>170</v>
      </c>
      <c r="C301" s="39" t="s">
        <v>47</v>
      </c>
      <c r="D301" s="39" t="s">
        <v>229</v>
      </c>
      <c r="E301" s="39" t="s">
        <v>230</v>
      </c>
      <c r="F301" s="39" t="s">
        <v>231</v>
      </c>
      <c r="G301" s="39" t="s">
        <v>19</v>
      </c>
      <c r="H301" s="39" t="s">
        <v>24</v>
      </c>
      <c r="I301" s="39" t="e">
        <f>VLOOKUP(E301,#REF!,3,FALSE)</f>
        <v>#REF!</v>
      </c>
      <c r="J301" s="39" t="s">
        <v>1167</v>
      </c>
    </row>
    <row r="302" spans="1:10" x14ac:dyDescent="0.25">
      <c r="A302" t="str">
        <f t="shared" si="4"/>
        <v>BBA322</v>
      </c>
      <c r="B302" s="39" t="s">
        <v>170</v>
      </c>
      <c r="C302" s="39" t="s">
        <v>96</v>
      </c>
      <c r="D302" s="39" t="s">
        <v>256</v>
      </c>
      <c r="E302" s="39" t="s">
        <v>257</v>
      </c>
      <c r="F302" s="39" t="s">
        <v>258</v>
      </c>
      <c r="G302" s="39" t="s">
        <v>19</v>
      </c>
      <c r="H302" s="39" t="s">
        <v>83</v>
      </c>
      <c r="I302" s="39" t="e">
        <f>VLOOKUP(E302,#REF!,3,FALSE)</f>
        <v>#REF!</v>
      </c>
      <c r="J302" s="39" t="s">
        <v>1167</v>
      </c>
    </row>
    <row r="303" spans="1:10" x14ac:dyDescent="0.25">
      <c r="A303" t="str">
        <f t="shared" si="4"/>
        <v>BBA123/DBA128</v>
      </c>
      <c r="B303" s="39" t="s">
        <v>66</v>
      </c>
      <c r="C303" s="39" t="s">
        <v>96</v>
      </c>
      <c r="D303" s="39" t="s">
        <v>221</v>
      </c>
      <c r="E303" s="39" t="s">
        <v>559</v>
      </c>
      <c r="F303" s="39" t="s">
        <v>560</v>
      </c>
      <c r="G303" s="39" t="s">
        <v>19</v>
      </c>
      <c r="H303" s="39" t="s">
        <v>20</v>
      </c>
      <c r="I303" s="39" t="e">
        <f>VLOOKUP(E303,#REF!,3,FALSE)</f>
        <v>#REF!</v>
      </c>
      <c r="J303" s="39" t="s">
        <v>1167</v>
      </c>
    </row>
    <row r="304" spans="1:10" x14ac:dyDescent="0.25">
      <c r="A304" t="str">
        <f t="shared" si="4"/>
        <v>BBF326</v>
      </c>
      <c r="B304" s="39" t="s">
        <v>66</v>
      </c>
      <c r="C304" s="39" t="s">
        <v>140</v>
      </c>
      <c r="D304" s="39" t="s">
        <v>1235</v>
      </c>
      <c r="E304" s="39" t="s">
        <v>603</v>
      </c>
      <c r="F304" s="39" t="s">
        <v>604</v>
      </c>
      <c r="G304" s="39" t="s">
        <v>19</v>
      </c>
      <c r="H304" s="39" t="s">
        <v>83</v>
      </c>
      <c r="I304" s="39" t="e">
        <f>VLOOKUP(E304,#REF!,3,FALSE)</f>
        <v>#REF!</v>
      </c>
      <c r="J304" s="39" t="s">
        <v>1167</v>
      </c>
    </row>
    <row r="305" spans="1:10" x14ac:dyDescent="0.25">
      <c r="A305" t="str">
        <f t="shared" si="4"/>
        <v>BBA123/DBA128</v>
      </c>
      <c r="B305" s="39" t="s">
        <v>781</v>
      </c>
      <c r="C305" s="39" t="s">
        <v>140</v>
      </c>
      <c r="D305" s="39" t="s">
        <v>811</v>
      </c>
      <c r="E305" s="39" t="s">
        <v>559</v>
      </c>
      <c r="F305" s="39" t="s">
        <v>560</v>
      </c>
      <c r="G305" s="39" t="s">
        <v>19</v>
      </c>
      <c r="H305" s="39" t="s">
        <v>237</v>
      </c>
      <c r="I305" s="39" t="e">
        <f>VLOOKUP(E305,#REF!,3,FALSE)</f>
        <v>#REF!</v>
      </c>
      <c r="J305" s="39" t="s">
        <v>1167</v>
      </c>
    </row>
    <row r="306" spans="1:10" x14ac:dyDescent="0.25">
      <c r="A306" t="str">
        <f t="shared" si="4"/>
        <v>BPA312</v>
      </c>
      <c r="B306" s="39" t="s">
        <v>66</v>
      </c>
      <c r="C306" s="39" t="s">
        <v>10</v>
      </c>
      <c r="D306" s="39" t="s">
        <v>106</v>
      </c>
      <c r="E306" s="39" t="s">
        <v>451</v>
      </c>
      <c r="F306" s="39" t="s">
        <v>452</v>
      </c>
      <c r="G306" s="39" t="s">
        <v>28</v>
      </c>
      <c r="H306" s="39" t="s">
        <v>103</v>
      </c>
      <c r="I306" s="39" t="e">
        <f>VLOOKUP(E306,#REF!,3,FALSE)</f>
        <v>#REF!</v>
      </c>
      <c r="J306" s="39" t="s">
        <v>1167</v>
      </c>
    </row>
    <row r="307" spans="1:10" x14ac:dyDescent="0.25">
      <c r="A307" t="str">
        <f t="shared" si="4"/>
        <v>BPH311</v>
      </c>
      <c r="B307" s="39" t="s">
        <v>66</v>
      </c>
      <c r="C307" s="39" t="s">
        <v>96</v>
      </c>
      <c r="D307" s="39" t="s">
        <v>476</v>
      </c>
      <c r="E307" s="39" t="s">
        <v>561</v>
      </c>
      <c r="F307" s="39" t="s">
        <v>562</v>
      </c>
      <c r="G307" s="39" t="s">
        <v>14</v>
      </c>
      <c r="H307" s="39" t="s">
        <v>363</v>
      </c>
      <c r="I307" s="39" t="e">
        <f>VLOOKUP(E307,#REF!,3,FALSE)</f>
        <v>#REF!</v>
      </c>
      <c r="J307" s="39" t="s">
        <v>1167</v>
      </c>
    </row>
    <row r="308" spans="1:10" x14ac:dyDescent="0.25">
      <c r="A308" t="str">
        <f t="shared" si="4"/>
        <v>BPA116</v>
      </c>
      <c r="B308" s="39" t="s">
        <v>66</v>
      </c>
      <c r="C308" s="39" t="s">
        <v>140</v>
      </c>
      <c r="D308" s="39" t="s">
        <v>605</v>
      </c>
      <c r="E308" s="39" t="s">
        <v>606</v>
      </c>
      <c r="F308" s="39" t="s">
        <v>607</v>
      </c>
      <c r="G308" s="39" t="s">
        <v>28</v>
      </c>
      <c r="H308" s="39" t="s">
        <v>24</v>
      </c>
      <c r="I308" s="39" t="e">
        <f>VLOOKUP(E308,#REF!,3,FALSE)</f>
        <v>#REF!</v>
      </c>
      <c r="J308" s="39" t="s">
        <v>1167</v>
      </c>
    </row>
    <row r="309" spans="1:10" x14ac:dyDescent="0.25">
      <c r="A309" t="str">
        <f t="shared" si="4"/>
        <v>BPA216</v>
      </c>
      <c r="B309" s="39" t="s">
        <v>216</v>
      </c>
      <c r="C309" s="39" t="s">
        <v>10</v>
      </c>
      <c r="D309" s="39" t="s">
        <v>62</v>
      </c>
      <c r="E309" s="39" t="s">
        <v>649</v>
      </c>
      <c r="F309" s="39" t="s">
        <v>650</v>
      </c>
      <c r="G309" s="39" t="s">
        <v>28</v>
      </c>
      <c r="H309" s="39" t="s">
        <v>83</v>
      </c>
      <c r="I309" s="39" t="e">
        <f>VLOOKUP(E309,#REF!,3,FALSE)</f>
        <v>#REF!</v>
      </c>
      <c r="J309" s="39" t="s">
        <v>1167</v>
      </c>
    </row>
    <row r="310" spans="1:10" x14ac:dyDescent="0.25">
      <c r="A310" t="str">
        <f t="shared" si="4"/>
        <v>NGO316</v>
      </c>
      <c r="B310" s="39" t="s">
        <v>216</v>
      </c>
      <c r="C310" s="39" t="s">
        <v>140</v>
      </c>
      <c r="D310" s="39" t="s">
        <v>517</v>
      </c>
      <c r="E310" s="39" t="s">
        <v>767</v>
      </c>
      <c r="F310" s="39" t="s">
        <v>768</v>
      </c>
      <c r="G310" s="39" t="s">
        <v>28</v>
      </c>
      <c r="H310" s="39" t="s">
        <v>79</v>
      </c>
      <c r="I310" s="39" t="e">
        <f>VLOOKUP(E310,#REF!,3,FALSE)</f>
        <v>#REF!</v>
      </c>
      <c r="J310" s="39" t="s">
        <v>1167</v>
      </c>
    </row>
    <row r="311" spans="1:10" x14ac:dyDescent="0.25">
      <c r="A311" t="str">
        <f t="shared" si="4"/>
        <v>BPH311</v>
      </c>
      <c r="B311" s="39" t="s">
        <v>781</v>
      </c>
      <c r="C311" s="39" t="s">
        <v>47</v>
      </c>
      <c r="D311" s="39" t="s">
        <v>786</v>
      </c>
      <c r="E311" s="39" t="s">
        <v>561</v>
      </c>
      <c r="F311" s="39" t="s">
        <v>562</v>
      </c>
      <c r="G311" s="39" t="s">
        <v>14</v>
      </c>
      <c r="H311" s="39" t="s">
        <v>65</v>
      </c>
      <c r="I311" s="39" t="e">
        <f>VLOOKUP(E311,#REF!,3,FALSE)</f>
        <v>#REF!</v>
      </c>
      <c r="J311" s="39" t="s">
        <v>1167</v>
      </c>
    </row>
    <row r="312" spans="1:10" x14ac:dyDescent="0.25">
      <c r="A312" t="str">
        <f t="shared" si="4"/>
        <v>EHS215</v>
      </c>
      <c r="B312" s="39" t="s">
        <v>781</v>
      </c>
      <c r="C312" s="39" t="s">
        <v>96</v>
      </c>
      <c r="D312" s="39" t="s">
        <v>808</v>
      </c>
      <c r="E312" s="39" t="s">
        <v>911</v>
      </c>
      <c r="F312" s="39" t="s">
        <v>912</v>
      </c>
      <c r="G312" s="39" t="s">
        <v>14</v>
      </c>
      <c r="H312" s="39" t="s">
        <v>29</v>
      </c>
      <c r="I312" s="39" t="e">
        <f>VLOOKUP(E312,#REF!,3,FALSE)</f>
        <v>#REF!</v>
      </c>
      <c r="J312" s="39" t="s">
        <v>1167</v>
      </c>
    </row>
    <row r="313" spans="1:10" x14ac:dyDescent="0.25">
      <c r="A313" t="str">
        <f t="shared" si="4"/>
        <v>BJC110</v>
      </c>
      <c r="B313" s="39" t="s">
        <v>66</v>
      </c>
      <c r="C313" s="39" t="s">
        <v>10</v>
      </c>
      <c r="D313" s="39" t="s">
        <v>1236</v>
      </c>
      <c r="E313" s="39" t="s">
        <v>206</v>
      </c>
      <c r="F313" s="39" t="s">
        <v>207</v>
      </c>
      <c r="G313" s="39" t="s">
        <v>28</v>
      </c>
      <c r="H313" s="39" t="s">
        <v>46</v>
      </c>
      <c r="I313" s="39" t="e">
        <f>VLOOKUP(E313,#REF!,3,FALSE)</f>
        <v>#REF!</v>
      </c>
      <c r="J313" s="39" t="s">
        <v>1167</v>
      </c>
    </row>
    <row r="314" spans="1:10" x14ac:dyDescent="0.25">
      <c r="A314" t="str">
        <f t="shared" si="4"/>
        <v>BJC110</v>
      </c>
      <c r="B314" s="39" t="s">
        <v>66</v>
      </c>
      <c r="C314" s="39" t="s">
        <v>47</v>
      </c>
      <c r="D314" s="39" t="s">
        <v>1175</v>
      </c>
      <c r="E314" s="39" t="s">
        <v>206</v>
      </c>
      <c r="F314" s="39" t="s">
        <v>207</v>
      </c>
      <c r="G314" s="39" t="s">
        <v>28</v>
      </c>
      <c r="H314" s="39" t="s">
        <v>46</v>
      </c>
      <c r="I314" s="39" t="e">
        <f>VLOOKUP(E314,#REF!,3,FALSE)</f>
        <v>#REF!</v>
      </c>
      <c r="J314" s="39" t="s">
        <v>1167</v>
      </c>
    </row>
    <row r="315" spans="1:10" x14ac:dyDescent="0.25">
      <c r="A315" t="str">
        <f t="shared" si="4"/>
        <v>FOU114</v>
      </c>
      <c r="B315" s="39" t="s">
        <v>66</v>
      </c>
      <c r="C315" s="39" t="s">
        <v>96</v>
      </c>
      <c r="D315" s="39" t="s">
        <v>1237</v>
      </c>
      <c r="E315" s="39" t="s">
        <v>259</v>
      </c>
      <c r="F315" s="39" t="s">
        <v>260</v>
      </c>
      <c r="G315" s="39" t="s">
        <v>28</v>
      </c>
      <c r="H315" s="39" t="s">
        <v>46</v>
      </c>
      <c r="I315" s="39" t="e">
        <f>VLOOKUP(E315,#REF!,3,FALSE)</f>
        <v>#REF!</v>
      </c>
      <c r="J315" s="39" t="s">
        <v>1167</v>
      </c>
    </row>
    <row r="316" spans="1:10" x14ac:dyDescent="0.25">
      <c r="A316" t="str">
        <f t="shared" si="4"/>
        <v>BJC110</v>
      </c>
      <c r="B316" s="39" t="s">
        <v>216</v>
      </c>
      <c r="C316" s="39" t="s">
        <v>10</v>
      </c>
      <c r="D316" s="39" t="s">
        <v>205</v>
      </c>
      <c r="E316" s="39" t="s">
        <v>206</v>
      </c>
      <c r="F316" s="39" t="s">
        <v>207</v>
      </c>
      <c r="G316" s="39" t="s">
        <v>28</v>
      </c>
      <c r="H316" s="39" t="s">
        <v>46</v>
      </c>
      <c r="I316" s="39" t="e">
        <f>VLOOKUP(E316,#REF!,3,FALSE)</f>
        <v>#REF!</v>
      </c>
      <c r="J316" s="39" t="s">
        <v>1167</v>
      </c>
    </row>
    <row r="317" spans="1:10" x14ac:dyDescent="0.25">
      <c r="A317" t="str">
        <f t="shared" si="4"/>
        <v>FOU112</v>
      </c>
      <c r="B317" s="39" t="s">
        <v>216</v>
      </c>
      <c r="C317" s="39" t="s">
        <v>47</v>
      </c>
      <c r="D317" s="39" t="s">
        <v>1238</v>
      </c>
      <c r="E317" s="39" t="s">
        <v>44</v>
      </c>
      <c r="F317" s="39" t="s">
        <v>45</v>
      </c>
      <c r="G317" s="39" t="s">
        <v>28</v>
      </c>
      <c r="H317" s="39" t="s">
        <v>46</v>
      </c>
      <c r="I317" s="39" t="e">
        <f>VLOOKUP(E317,#REF!,3,FALSE)</f>
        <v>#REF!</v>
      </c>
      <c r="J317" s="39" t="s">
        <v>1167</v>
      </c>
    </row>
    <row r="318" spans="1:10" x14ac:dyDescent="0.25">
      <c r="A318" t="str">
        <f t="shared" si="4"/>
        <v>BJC110</v>
      </c>
      <c r="B318" s="39" t="s">
        <v>781</v>
      </c>
      <c r="C318" s="39" t="s">
        <v>96</v>
      </c>
      <c r="D318" s="39" t="s">
        <v>913</v>
      </c>
      <c r="E318" s="39" t="s">
        <v>206</v>
      </c>
      <c r="F318" s="39" t="s">
        <v>207</v>
      </c>
      <c r="G318" s="39" t="s">
        <v>28</v>
      </c>
      <c r="H318" s="39" t="s">
        <v>112</v>
      </c>
      <c r="I318" s="39" t="e">
        <f>VLOOKUP(E318,#REF!,3,FALSE)</f>
        <v>#REF!</v>
      </c>
      <c r="J318" s="39" t="s">
        <v>1167</v>
      </c>
    </row>
    <row r="319" spans="1:10" x14ac:dyDescent="0.25">
      <c r="A319" t="str">
        <f t="shared" si="4"/>
        <v>HEC126</v>
      </c>
      <c r="B319" s="39" t="s">
        <v>170</v>
      </c>
      <c r="C319" s="39" t="s">
        <v>47</v>
      </c>
      <c r="D319" s="39" t="s">
        <v>1239</v>
      </c>
      <c r="E319" s="39" t="s">
        <v>1240</v>
      </c>
      <c r="F319" s="39" t="s">
        <v>1241</v>
      </c>
      <c r="G319" s="39" t="s">
        <v>14</v>
      </c>
      <c r="H319" s="39" t="s">
        <v>492</v>
      </c>
      <c r="I319" s="39" t="e">
        <f>VLOOKUP(E319,#REF!,3,FALSE)</f>
        <v>#REF!</v>
      </c>
      <c r="J319" s="39" t="s">
        <v>1167</v>
      </c>
    </row>
    <row r="320" spans="1:10" x14ac:dyDescent="0.25">
      <c r="A320" t="str">
        <f t="shared" si="4"/>
        <v>HEC124</v>
      </c>
      <c r="B320" s="39" t="s">
        <v>170</v>
      </c>
      <c r="C320" s="39" t="s">
        <v>96</v>
      </c>
      <c r="D320" s="39" t="s">
        <v>1239</v>
      </c>
      <c r="E320" s="39" t="s">
        <v>1242</v>
      </c>
      <c r="F320" s="39" t="s">
        <v>1243</v>
      </c>
      <c r="G320" s="39" t="s">
        <v>14</v>
      </c>
      <c r="H320" s="39" t="s">
        <v>492</v>
      </c>
      <c r="I320" s="39" t="e">
        <f>VLOOKUP(E320,#REF!,3,FALSE)</f>
        <v>#REF!</v>
      </c>
      <c r="J320" s="39" t="s">
        <v>1167</v>
      </c>
    </row>
    <row r="321" spans="1:10" x14ac:dyDescent="0.25">
      <c r="A321" t="str">
        <f t="shared" si="4"/>
        <v>FOS111</v>
      </c>
      <c r="B321" s="39" t="s">
        <v>66</v>
      </c>
      <c r="C321" s="39" t="s">
        <v>10</v>
      </c>
      <c r="D321" s="39" t="s">
        <v>1244</v>
      </c>
      <c r="E321" s="39" t="s">
        <v>490</v>
      </c>
      <c r="F321" s="39" t="s">
        <v>491</v>
      </c>
      <c r="G321" s="39" t="s">
        <v>14</v>
      </c>
      <c r="H321" s="39" t="s">
        <v>492</v>
      </c>
      <c r="I321" s="39" t="e">
        <f>VLOOKUP(E321,#REF!,3,FALSE)</f>
        <v>#REF!</v>
      </c>
      <c r="J321" s="39" t="s">
        <v>1167</v>
      </c>
    </row>
    <row r="322" spans="1:10" x14ac:dyDescent="0.25">
      <c r="A322" t="str">
        <f t="shared" si="4"/>
        <v>FOS127</v>
      </c>
      <c r="B322" s="39" t="s">
        <v>216</v>
      </c>
      <c r="C322" s="39" t="s">
        <v>10</v>
      </c>
      <c r="D322" s="39" t="s">
        <v>1219</v>
      </c>
      <c r="E322" s="39" t="s">
        <v>93</v>
      </c>
      <c r="F322" s="39" t="s">
        <v>94</v>
      </c>
      <c r="G322" s="39" t="s">
        <v>14</v>
      </c>
      <c r="H322" s="39" t="s">
        <v>492</v>
      </c>
      <c r="I322" s="39" t="e">
        <f>VLOOKUP(E322,#REF!,3,FALSE)</f>
        <v>#REF!</v>
      </c>
      <c r="J322" s="39" t="s">
        <v>1167</v>
      </c>
    </row>
    <row r="323" spans="1:10" x14ac:dyDescent="0.25">
      <c r="A323" t="str">
        <f t="shared" si="4"/>
        <v>BBA125/DBA125</v>
      </c>
      <c r="B323" s="39" t="s">
        <v>66</v>
      </c>
      <c r="C323" s="39" t="s">
        <v>47</v>
      </c>
      <c r="D323" s="39" t="s">
        <v>221</v>
      </c>
      <c r="E323" s="39" t="s">
        <v>454</v>
      </c>
      <c r="F323" s="39" t="s">
        <v>455</v>
      </c>
      <c r="G323" s="39" t="s">
        <v>19</v>
      </c>
      <c r="H323" s="39" t="s">
        <v>112</v>
      </c>
      <c r="I323" s="39" t="e">
        <f>VLOOKUP(E323,#REF!,3,FALSE)</f>
        <v>#REF!</v>
      </c>
      <c r="J323" s="39" t="s">
        <v>1167</v>
      </c>
    </row>
    <row r="324" spans="1:10" x14ac:dyDescent="0.25">
      <c r="A324" t="str">
        <f t="shared" ref="A324:A387" si="5">E324</f>
        <v>PLM316</v>
      </c>
      <c r="B324" s="39" t="s">
        <v>66</v>
      </c>
      <c r="C324" s="39" t="s">
        <v>96</v>
      </c>
      <c r="D324" s="39" t="s">
        <v>276</v>
      </c>
      <c r="E324" s="39" t="s">
        <v>563</v>
      </c>
      <c r="F324" s="39" t="s">
        <v>564</v>
      </c>
      <c r="G324" s="39" t="s">
        <v>19</v>
      </c>
      <c r="H324" s="39" t="s">
        <v>55</v>
      </c>
      <c r="I324" s="39" t="e">
        <f>VLOOKUP(E324,#REF!,3,FALSE)</f>
        <v>#REF!</v>
      </c>
      <c r="J324" s="39" t="s">
        <v>1167</v>
      </c>
    </row>
    <row r="325" spans="1:10" x14ac:dyDescent="0.25">
      <c r="A325" t="str">
        <f t="shared" si="5"/>
        <v>MSC722/MPM722</v>
      </c>
      <c r="B325" s="39" t="s">
        <v>812</v>
      </c>
      <c r="C325" s="39" t="s">
        <v>47</v>
      </c>
      <c r="D325" s="39" t="s">
        <v>1014</v>
      </c>
      <c r="E325" s="39" t="s">
        <v>1245</v>
      </c>
      <c r="F325" s="39" t="s">
        <v>1016</v>
      </c>
      <c r="G325" s="39" t="s">
        <v>19</v>
      </c>
      <c r="H325" s="39" t="s">
        <v>91</v>
      </c>
      <c r="I325" s="39" t="e">
        <f>VLOOKUP(E325,#REF!,3,FALSE)</f>
        <v>#REF!</v>
      </c>
      <c r="J325" s="39" t="s">
        <v>1167</v>
      </c>
    </row>
    <row r="326" spans="1:10" x14ac:dyDescent="0.25">
      <c r="A326" t="str">
        <f t="shared" si="5"/>
        <v>BBA125/DBA125</v>
      </c>
      <c r="B326" s="39" t="s">
        <v>812</v>
      </c>
      <c r="C326" s="39" t="s">
        <v>96</v>
      </c>
      <c r="D326" s="39" t="s">
        <v>811</v>
      </c>
      <c r="E326" s="39" t="s">
        <v>454</v>
      </c>
      <c r="F326" s="39" t="s">
        <v>455</v>
      </c>
      <c r="G326" s="39" t="s">
        <v>19</v>
      </c>
      <c r="H326" s="39" t="s">
        <v>237</v>
      </c>
      <c r="I326" s="39" t="e">
        <f>VLOOKUP(E326,#REF!,3,FALSE)</f>
        <v>#REF!</v>
      </c>
      <c r="J326" s="39" t="s">
        <v>1167</v>
      </c>
    </row>
    <row r="327" spans="1:10" x14ac:dyDescent="0.25">
      <c r="A327" t="str">
        <f t="shared" si="5"/>
        <v>MSC721</v>
      </c>
      <c r="B327" s="39" t="s">
        <v>812</v>
      </c>
      <c r="C327" s="39" t="s">
        <v>140</v>
      </c>
      <c r="D327" s="39" t="s">
        <v>868</v>
      </c>
      <c r="E327" s="39" t="s">
        <v>1049</v>
      </c>
      <c r="F327" s="39" t="s">
        <v>1050</v>
      </c>
      <c r="G327" s="39" t="s">
        <v>19</v>
      </c>
      <c r="H327" s="39" t="s">
        <v>241</v>
      </c>
      <c r="I327" s="39" t="e">
        <f>VLOOKUP(E327,#REF!,3,FALSE)</f>
        <v>#REF!</v>
      </c>
      <c r="J327" s="39" t="s">
        <v>1167</v>
      </c>
    </row>
    <row r="328" spans="1:10" x14ac:dyDescent="0.25">
      <c r="A328" t="str">
        <f t="shared" si="5"/>
        <v>BIT110</v>
      </c>
      <c r="B328" s="39" t="s">
        <v>170</v>
      </c>
      <c r="C328" s="39" t="s">
        <v>47</v>
      </c>
      <c r="D328" s="39" t="s">
        <v>1175</v>
      </c>
      <c r="E328" s="39" t="s">
        <v>232</v>
      </c>
      <c r="F328" s="39" t="s">
        <v>233</v>
      </c>
      <c r="G328" s="39" t="s">
        <v>14</v>
      </c>
      <c r="H328" s="39" t="s">
        <v>33</v>
      </c>
      <c r="I328" s="39" t="e">
        <f>VLOOKUP(E328,#REF!,3,FALSE)</f>
        <v>#REF!</v>
      </c>
      <c r="J328" s="39" t="s">
        <v>1167</v>
      </c>
    </row>
    <row r="329" spans="1:10" x14ac:dyDescent="0.25">
      <c r="A329" t="str">
        <f t="shared" si="5"/>
        <v>BIT110</v>
      </c>
      <c r="B329" s="39" t="s">
        <v>170</v>
      </c>
      <c r="C329" s="39" t="s">
        <v>96</v>
      </c>
      <c r="D329" s="39" t="s">
        <v>1246</v>
      </c>
      <c r="E329" s="39" t="s">
        <v>232</v>
      </c>
      <c r="F329" s="39" t="s">
        <v>233</v>
      </c>
      <c r="G329" s="39" t="s">
        <v>14</v>
      </c>
      <c r="H329" s="39" t="s">
        <v>33</v>
      </c>
      <c r="I329" s="39" t="e">
        <f>VLOOKUP(E329,#REF!,3,FALSE)</f>
        <v>#REF!</v>
      </c>
      <c r="J329" s="39" t="s">
        <v>1167</v>
      </c>
    </row>
    <row r="330" spans="1:10" x14ac:dyDescent="0.25">
      <c r="A330" t="str">
        <f t="shared" si="5"/>
        <v>BIT215</v>
      </c>
      <c r="B330" s="39" t="s">
        <v>170</v>
      </c>
      <c r="C330" s="39" t="s">
        <v>140</v>
      </c>
      <c r="D330" s="39" t="s">
        <v>1247</v>
      </c>
      <c r="E330" s="39" t="s">
        <v>291</v>
      </c>
      <c r="F330" s="39" t="s">
        <v>292</v>
      </c>
      <c r="G330" s="39" t="s">
        <v>14</v>
      </c>
      <c r="H330" s="39" t="s">
        <v>33</v>
      </c>
      <c r="I330" s="39" t="e">
        <f>VLOOKUP(E330,#REF!,3,FALSE)</f>
        <v>#REF!</v>
      </c>
      <c r="J330" s="39" t="s">
        <v>1167</v>
      </c>
    </row>
    <row r="331" spans="1:10" x14ac:dyDescent="0.25">
      <c r="A331" t="str">
        <f t="shared" si="5"/>
        <v>BIT121/BSE121</v>
      </c>
      <c r="B331" s="39" t="s">
        <v>56</v>
      </c>
      <c r="C331" s="39" t="s">
        <v>47</v>
      </c>
      <c r="D331" s="39" t="s">
        <v>376</v>
      </c>
      <c r="E331" s="39" t="s">
        <v>377</v>
      </c>
      <c r="F331" s="39" t="s">
        <v>378</v>
      </c>
      <c r="G331" s="39" t="s">
        <v>14</v>
      </c>
      <c r="H331" s="39" t="s">
        <v>51</v>
      </c>
      <c r="I331" s="39" t="e">
        <f>VLOOKUP(E331,#REF!,3,FALSE)</f>
        <v>#REF!</v>
      </c>
      <c r="J331" s="39" t="s">
        <v>1167</v>
      </c>
    </row>
    <row r="332" spans="1:10" x14ac:dyDescent="0.25">
      <c r="A332" t="str">
        <f t="shared" si="5"/>
        <v>BIT110</v>
      </c>
      <c r="B332" s="39" t="s">
        <v>56</v>
      </c>
      <c r="C332" s="39" t="s">
        <v>96</v>
      </c>
      <c r="D332" s="39" t="s">
        <v>205</v>
      </c>
      <c r="E332" s="39" t="s">
        <v>232</v>
      </c>
      <c r="F332" s="39" t="s">
        <v>233</v>
      </c>
      <c r="G332" s="39" t="s">
        <v>14</v>
      </c>
      <c r="H332" s="39" t="s">
        <v>33</v>
      </c>
      <c r="I332" s="39" t="e">
        <f>VLOOKUP(E332,#REF!,3,FALSE)</f>
        <v>#REF!</v>
      </c>
      <c r="J332" s="39" t="s">
        <v>1167</v>
      </c>
    </row>
    <row r="333" spans="1:10" x14ac:dyDescent="0.25">
      <c r="A333" t="str">
        <f t="shared" si="5"/>
        <v>BIT110</v>
      </c>
      <c r="B333" s="39" t="s">
        <v>812</v>
      </c>
      <c r="C333" s="39" t="s">
        <v>96</v>
      </c>
      <c r="D333" s="39" t="s">
        <v>913</v>
      </c>
      <c r="E333" s="39" t="s">
        <v>232</v>
      </c>
      <c r="F333" s="39" t="s">
        <v>233</v>
      </c>
      <c r="G333" s="39" t="s">
        <v>14</v>
      </c>
      <c r="H333" s="39" t="s">
        <v>112</v>
      </c>
      <c r="I333" s="39" t="e">
        <f>VLOOKUP(E333,#REF!,3,FALSE)</f>
        <v>#REF!</v>
      </c>
      <c r="J333" s="39" t="s">
        <v>1167</v>
      </c>
    </row>
    <row r="334" spans="1:10" x14ac:dyDescent="0.25">
      <c r="A334" t="str">
        <f t="shared" si="5"/>
        <v>BBA216</v>
      </c>
      <c r="B334" s="39" t="s">
        <v>56</v>
      </c>
      <c r="C334" s="39" t="s">
        <v>47</v>
      </c>
      <c r="D334" s="39" t="s">
        <v>379</v>
      </c>
      <c r="E334" s="39" t="s">
        <v>380</v>
      </c>
      <c r="F334" s="39" t="s">
        <v>381</v>
      </c>
      <c r="G334" s="39" t="s">
        <v>19</v>
      </c>
      <c r="H334" s="39" t="s">
        <v>237</v>
      </c>
      <c r="I334" s="39" t="e">
        <f>VLOOKUP(E334,#REF!,3,FALSE)</f>
        <v>#REF!</v>
      </c>
      <c r="J334" s="39" t="s">
        <v>1167</v>
      </c>
    </row>
    <row r="335" spans="1:10" x14ac:dyDescent="0.25">
      <c r="A335" t="str">
        <f t="shared" si="5"/>
        <v>HRM325</v>
      </c>
      <c r="B335" s="39" t="s">
        <v>56</v>
      </c>
      <c r="C335" s="39" t="s">
        <v>96</v>
      </c>
      <c r="D335" s="39" t="s">
        <v>21</v>
      </c>
      <c r="E335" s="39" t="s">
        <v>208</v>
      </c>
      <c r="F335" s="39" t="s">
        <v>209</v>
      </c>
      <c r="G335" s="39" t="s">
        <v>19</v>
      </c>
      <c r="H335" s="39" t="s">
        <v>24</v>
      </c>
      <c r="I335" s="39" t="e">
        <f>VLOOKUP(E335,#REF!,3,FALSE)</f>
        <v>#REF!</v>
      </c>
      <c r="J335" s="39" t="s">
        <v>1167</v>
      </c>
    </row>
    <row r="336" spans="1:10" x14ac:dyDescent="0.25">
      <c r="A336" t="str">
        <f t="shared" si="5"/>
        <v>HRM313</v>
      </c>
      <c r="B336" s="39" t="s">
        <v>216</v>
      </c>
      <c r="C336" s="39" t="s">
        <v>47</v>
      </c>
      <c r="D336" s="39" t="s">
        <v>229</v>
      </c>
      <c r="E336" s="39" t="s">
        <v>691</v>
      </c>
      <c r="F336" s="39" t="s">
        <v>692</v>
      </c>
      <c r="G336" s="39" t="s">
        <v>19</v>
      </c>
      <c r="H336" s="39" t="s">
        <v>24</v>
      </c>
      <c r="I336" s="39" t="e">
        <f>VLOOKUP(E336,#REF!,3,FALSE)</f>
        <v>#REF!</v>
      </c>
      <c r="J336" s="39" t="s">
        <v>1167</v>
      </c>
    </row>
    <row r="337" spans="1:10" x14ac:dyDescent="0.25">
      <c r="A337" t="str">
        <f t="shared" si="5"/>
        <v>BBA124/DBA124</v>
      </c>
      <c r="B337" s="39" t="s">
        <v>216</v>
      </c>
      <c r="C337" s="39" t="s">
        <v>96</v>
      </c>
      <c r="D337" s="39" t="s">
        <v>221</v>
      </c>
      <c r="E337" s="39" t="s">
        <v>729</v>
      </c>
      <c r="F337" s="39" t="s">
        <v>730</v>
      </c>
      <c r="G337" s="39" t="s">
        <v>19</v>
      </c>
      <c r="H337" s="39" t="s">
        <v>20</v>
      </c>
      <c r="I337" s="39" t="e">
        <f>VLOOKUP(E337,#REF!,3,FALSE)</f>
        <v>#REF!</v>
      </c>
      <c r="J337" s="39" t="s">
        <v>1167</v>
      </c>
    </row>
    <row r="338" spans="1:10" x14ac:dyDescent="0.25">
      <c r="A338" t="str">
        <f t="shared" si="5"/>
        <v>HRM323</v>
      </c>
      <c r="B338" s="39" t="s">
        <v>216</v>
      </c>
      <c r="C338" s="39" t="s">
        <v>140</v>
      </c>
      <c r="D338" s="39" t="s">
        <v>21</v>
      </c>
      <c r="E338" s="39" t="s">
        <v>1248</v>
      </c>
      <c r="F338" s="39" t="s">
        <v>1249</v>
      </c>
      <c r="G338" s="39" t="s">
        <v>19</v>
      </c>
      <c r="H338" s="39" t="s">
        <v>24</v>
      </c>
      <c r="I338" s="39" t="e">
        <f>VLOOKUP(E338,#REF!,3,FALSE)</f>
        <v>#REF!</v>
      </c>
      <c r="J338" s="39" t="s">
        <v>1167</v>
      </c>
    </row>
    <row r="339" spans="1:10" x14ac:dyDescent="0.25">
      <c r="A339" t="str">
        <f t="shared" si="5"/>
        <v>BBA124/DBA124</v>
      </c>
      <c r="B339" s="39" t="s">
        <v>781</v>
      </c>
      <c r="C339" s="39" t="s">
        <v>47</v>
      </c>
      <c r="D339" s="39" t="s">
        <v>811</v>
      </c>
      <c r="E339" s="39" t="s">
        <v>729</v>
      </c>
      <c r="F339" s="39" t="s">
        <v>730</v>
      </c>
      <c r="G339" s="39" t="s">
        <v>19</v>
      </c>
      <c r="H339" s="39" t="s">
        <v>237</v>
      </c>
      <c r="I339" s="39" t="e">
        <f>VLOOKUP(E339,#REF!,3,FALSE)</f>
        <v>#REF!</v>
      </c>
      <c r="J339" s="39" t="s">
        <v>1167</v>
      </c>
    </row>
    <row r="340" spans="1:10" x14ac:dyDescent="0.25">
      <c r="A340" t="str">
        <f t="shared" si="5"/>
        <v>MHR811</v>
      </c>
      <c r="B340" s="39" t="s">
        <v>812</v>
      </c>
      <c r="C340" s="39" t="s">
        <v>47</v>
      </c>
      <c r="D340" s="39" t="s">
        <v>920</v>
      </c>
      <c r="E340" s="39" t="s">
        <v>1017</v>
      </c>
      <c r="F340" s="39" t="s">
        <v>1018</v>
      </c>
      <c r="G340" s="39" t="s">
        <v>19</v>
      </c>
      <c r="H340" s="39" t="s">
        <v>61</v>
      </c>
      <c r="I340" s="39" t="e">
        <f>VLOOKUP(E340,#REF!,3,FALSE)</f>
        <v>#REF!</v>
      </c>
      <c r="J340" s="39" t="s">
        <v>1167</v>
      </c>
    </row>
    <row r="341" spans="1:10" x14ac:dyDescent="0.25">
      <c r="A341" t="str">
        <f t="shared" si="5"/>
        <v>BBA216</v>
      </c>
      <c r="B341" s="39" t="s">
        <v>812</v>
      </c>
      <c r="C341" s="39" t="s">
        <v>140</v>
      </c>
      <c r="D341" s="39" t="s">
        <v>785</v>
      </c>
      <c r="E341" s="39" t="s">
        <v>380</v>
      </c>
      <c r="F341" s="39" t="s">
        <v>381</v>
      </c>
      <c r="G341" s="39" t="s">
        <v>19</v>
      </c>
      <c r="H341" s="39" t="s">
        <v>287</v>
      </c>
      <c r="I341" s="39" t="e">
        <f>VLOOKUP(E341,#REF!,3,FALSE)</f>
        <v>#REF!</v>
      </c>
      <c r="J341" s="39" t="s">
        <v>1167</v>
      </c>
    </row>
    <row r="342" spans="1:10" x14ac:dyDescent="0.25">
      <c r="A342" t="str">
        <f t="shared" si="5"/>
        <v>DBA216</v>
      </c>
      <c r="B342" s="39" t="s">
        <v>56</v>
      </c>
      <c r="C342" s="39" t="s">
        <v>10</v>
      </c>
      <c r="D342" s="39" t="s">
        <v>337</v>
      </c>
      <c r="E342" s="39" t="s">
        <v>338</v>
      </c>
      <c r="F342" s="39" t="s">
        <v>339</v>
      </c>
      <c r="G342" s="39" t="s">
        <v>19</v>
      </c>
      <c r="H342" s="39" t="s">
        <v>87</v>
      </c>
      <c r="I342" s="39" t="e">
        <f>VLOOKUP(E342,#REF!,3,FALSE)</f>
        <v>#REF!</v>
      </c>
      <c r="J342" s="39" t="s">
        <v>1167</v>
      </c>
    </row>
    <row r="343" spans="1:10" x14ac:dyDescent="0.25">
      <c r="A343" t="str">
        <f t="shared" si="5"/>
        <v>FOA123</v>
      </c>
      <c r="B343" s="39" t="s">
        <v>56</v>
      </c>
      <c r="C343" s="39" t="s">
        <v>47</v>
      </c>
      <c r="D343" s="39" t="s">
        <v>1194</v>
      </c>
      <c r="E343" s="39" t="s">
        <v>416</v>
      </c>
      <c r="F343" s="39" t="s">
        <v>417</v>
      </c>
      <c r="G343" s="39" t="s">
        <v>19</v>
      </c>
      <c r="H343" s="39" t="s">
        <v>287</v>
      </c>
      <c r="I343" s="39" t="e">
        <f>VLOOKUP(E343,#REF!,3,FALSE)</f>
        <v>#REF!</v>
      </c>
      <c r="J343" s="39" t="s">
        <v>1167</v>
      </c>
    </row>
    <row r="344" spans="1:10" x14ac:dyDescent="0.25">
      <c r="A344" t="str">
        <f t="shared" si="5"/>
        <v>DBA126</v>
      </c>
      <c r="B344" s="39" t="s">
        <v>56</v>
      </c>
      <c r="C344" s="39" t="s">
        <v>96</v>
      </c>
      <c r="D344" s="39" t="s">
        <v>413</v>
      </c>
      <c r="E344" s="39" t="s">
        <v>414</v>
      </c>
      <c r="F344" s="39" t="s">
        <v>415</v>
      </c>
      <c r="G344" s="39" t="s">
        <v>19</v>
      </c>
      <c r="H344" s="39" t="s">
        <v>55</v>
      </c>
      <c r="I344" s="39" t="e">
        <f>VLOOKUP(E344,#REF!,3,FALSE)</f>
        <v>#REF!</v>
      </c>
      <c r="J344" s="39" t="s">
        <v>1167</v>
      </c>
    </row>
    <row r="345" spans="1:10" x14ac:dyDescent="0.25">
      <c r="A345" t="str">
        <f t="shared" si="5"/>
        <v>BJC125</v>
      </c>
      <c r="B345" s="39" t="s">
        <v>56</v>
      </c>
      <c r="C345" s="39" t="s">
        <v>10</v>
      </c>
      <c r="D345" s="39" t="s">
        <v>113</v>
      </c>
      <c r="E345" s="39" t="s">
        <v>340</v>
      </c>
      <c r="F345" s="39" t="s">
        <v>341</v>
      </c>
      <c r="G345" s="39" t="s">
        <v>28</v>
      </c>
      <c r="H345" s="39" t="s">
        <v>103</v>
      </c>
      <c r="I345" s="39" t="e">
        <f>VLOOKUP(E345,#REF!,3,FALSE)</f>
        <v>#REF!</v>
      </c>
      <c r="J345" s="39" t="s">
        <v>1167</v>
      </c>
    </row>
    <row r="346" spans="1:10" x14ac:dyDescent="0.25">
      <c r="A346" t="str">
        <f t="shared" si="5"/>
        <v>BJC325</v>
      </c>
      <c r="B346" s="39" t="s">
        <v>56</v>
      </c>
      <c r="C346" s="39" t="s">
        <v>47</v>
      </c>
      <c r="D346" s="39" t="s">
        <v>382</v>
      </c>
      <c r="E346" s="39" t="s">
        <v>383</v>
      </c>
      <c r="F346" s="39" t="s">
        <v>384</v>
      </c>
      <c r="G346" s="39" t="s">
        <v>28</v>
      </c>
      <c r="H346" s="39" t="s">
        <v>87</v>
      </c>
      <c r="I346" s="39" t="e">
        <f>VLOOKUP(E346,#REF!,3,FALSE)</f>
        <v>#REF!</v>
      </c>
      <c r="J346" s="39" t="s">
        <v>1167</v>
      </c>
    </row>
    <row r="347" spans="1:10" x14ac:dyDescent="0.25">
      <c r="A347" t="str">
        <f t="shared" si="5"/>
        <v>BJC128</v>
      </c>
      <c r="B347" s="39" t="s">
        <v>56</v>
      </c>
      <c r="C347" s="39" t="s">
        <v>96</v>
      </c>
      <c r="D347" s="39" t="s">
        <v>84</v>
      </c>
      <c r="E347" s="39" t="s">
        <v>433</v>
      </c>
      <c r="F347" s="39" t="s">
        <v>434</v>
      </c>
      <c r="G347" s="39" t="s">
        <v>28</v>
      </c>
      <c r="H347" s="39" t="s">
        <v>87</v>
      </c>
      <c r="I347" s="39" t="e">
        <f>VLOOKUP(E347,#REF!,3,FALSE)</f>
        <v>#REF!</v>
      </c>
      <c r="J347" s="39" t="s">
        <v>1167</v>
      </c>
    </row>
    <row r="348" spans="1:10" x14ac:dyDescent="0.25">
      <c r="A348" t="str">
        <f t="shared" si="5"/>
        <v>BJC212</v>
      </c>
      <c r="B348" s="39" t="s">
        <v>66</v>
      </c>
      <c r="C348" s="39" t="s">
        <v>10</v>
      </c>
      <c r="D348" s="39" t="s">
        <v>150</v>
      </c>
      <c r="E348" s="39" t="s">
        <v>465</v>
      </c>
      <c r="F348" s="39" t="s">
        <v>466</v>
      </c>
      <c r="G348" s="39" t="s">
        <v>14</v>
      </c>
      <c r="H348" s="39" t="s">
        <v>87</v>
      </c>
      <c r="I348" s="39" t="e">
        <f>VLOOKUP(E348,#REF!,3,FALSE)</f>
        <v>#REF!</v>
      </c>
      <c r="J348" s="39" t="s">
        <v>1167</v>
      </c>
    </row>
    <row r="349" spans="1:10" x14ac:dyDescent="0.25">
      <c r="A349" t="str">
        <f t="shared" si="5"/>
        <v>BJC321</v>
      </c>
      <c r="B349" s="39" t="s">
        <v>66</v>
      </c>
      <c r="C349" s="39" t="s">
        <v>47</v>
      </c>
      <c r="D349" s="39" t="s">
        <v>382</v>
      </c>
      <c r="E349" s="39" t="s">
        <v>513</v>
      </c>
      <c r="F349" s="39" t="s">
        <v>514</v>
      </c>
      <c r="G349" s="39" t="s">
        <v>28</v>
      </c>
      <c r="H349" s="39" t="s">
        <v>420</v>
      </c>
      <c r="I349" s="39" t="e">
        <f>VLOOKUP(E349,#REF!,3,FALSE)</f>
        <v>#REF!</v>
      </c>
      <c r="J349" s="39" t="s">
        <v>1167</v>
      </c>
    </row>
    <row r="350" spans="1:10" x14ac:dyDescent="0.25">
      <c r="A350" t="str">
        <f t="shared" si="5"/>
        <v>BJC314</v>
      </c>
      <c r="B350" s="39" t="s">
        <v>66</v>
      </c>
      <c r="C350" s="39" t="s">
        <v>96</v>
      </c>
      <c r="D350" s="39" t="s">
        <v>396</v>
      </c>
      <c r="E350" s="39" t="s">
        <v>565</v>
      </c>
      <c r="F350" s="39" t="s">
        <v>566</v>
      </c>
      <c r="G350" s="39" t="s">
        <v>28</v>
      </c>
      <c r="H350" s="39" t="s">
        <v>420</v>
      </c>
      <c r="I350" s="39" t="e">
        <f>VLOOKUP(E350,#REF!,3,FALSE)</f>
        <v>#REF!</v>
      </c>
      <c r="J350" s="39" t="s">
        <v>1167</v>
      </c>
    </row>
    <row r="351" spans="1:10" x14ac:dyDescent="0.25">
      <c r="A351" t="str">
        <f t="shared" si="5"/>
        <v>BJC229</v>
      </c>
      <c r="B351" s="39" t="s">
        <v>66</v>
      </c>
      <c r="C351" s="39" t="s">
        <v>140</v>
      </c>
      <c r="D351" s="39" t="s">
        <v>150</v>
      </c>
      <c r="E351" s="39" t="s">
        <v>621</v>
      </c>
      <c r="F351" s="39" t="s">
        <v>622</v>
      </c>
      <c r="G351" s="39" t="s">
        <v>28</v>
      </c>
      <c r="H351" s="39" t="s">
        <v>420</v>
      </c>
      <c r="I351" s="39" t="e">
        <f>VLOOKUP(E351,#REF!,3,FALSE)</f>
        <v>#REF!</v>
      </c>
      <c r="J351" s="39" t="s">
        <v>1167</v>
      </c>
    </row>
    <row r="352" spans="1:10" x14ac:dyDescent="0.25">
      <c r="A352" t="str">
        <f t="shared" si="5"/>
        <v>HEC125</v>
      </c>
      <c r="B352" s="39" t="s">
        <v>9</v>
      </c>
      <c r="C352" s="39" t="s">
        <v>47</v>
      </c>
      <c r="D352" s="39" t="s">
        <v>1194</v>
      </c>
      <c r="E352" s="39" t="s">
        <v>235</v>
      </c>
      <c r="F352" s="39" t="s">
        <v>236</v>
      </c>
      <c r="G352" s="39" t="s">
        <v>28</v>
      </c>
      <c r="H352" s="39" t="s">
        <v>237</v>
      </c>
      <c r="I352" s="39" t="e">
        <f>VLOOKUP(E352,#REF!,3,FALSE)</f>
        <v>#REF!</v>
      </c>
      <c r="J352" s="39" t="s">
        <v>1171</v>
      </c>
    </row>
    <row r="353" spans="1:10" x14ac:dyDescent="0.25">
      <c r="A353" t="str">
        <f t="shared" si="5"/>
        <v>PLM314</v>
      </c>
      <c r="B353" s="39" t="s">
        <v>9</v>
      </c>
      <c r="C353" s="39" t="s">
        <v>96</v>
      </c>
      <c r="D353" s="39" t="s">
        <v>484</v>
      </c>
      <c r="E353" s="39" t="s">
        <v>485</v>
      </c>
      <c r="F353" s="39" t="s">
        <v>486</v>
      </c>
      <c r="G353" s="39" t="s">
        <v>19</v>
      </c>
      <c r="H353" s="39" t="s">
        <v>24</v>
      </c>
      <c r="I353" s="39" t="e">
        <f>VLOOKUP(E353,#REF!,3,FALSE)</f>
        <v>#REF!</v>
      </c>
      <c r="J353" s="39" t="s">
        <v>1171</v>
      </c>
    </row>
    <row r="354" spans="1:10" x14ac:dyDescent="0.25">
      <c r="A354" t="str">
        <f t="shared" si="5"/>
        <v>MSC720</v>
      </c>
      <c r="B354" s="39" t="s">
        <v>781</v>
      </c>
      <c r="C354" s="39" t="s">
        <v>47</v>
      </c>
      <c r="D354" s="39" t="s">
        <v>868</v>
      </c>
      <c r="E354" s="39" t="s">
        <v>869</v>
      </c>
      <c r="F354" s="39" t="s">
        <v>870</v>
      </c>
      <c r="G354" s="39" t="s">
        <v>19</v>
      </c>
      <c r="H354" s="39" t="s">
        <v>241</v>
      </c>
      <c r="I354" s="39" t="e">
        <f>VLOOKUP(E354,#REF!,3,FALSE)</f>
        <v>#REF!</v>
      </c>
      <c r="J354" s="39" t="s">
        <v>1167</v>
      </c>
    </row>
    <row r="355" spans="1:10" x14ac:dyDescent="0.25">
      <c r="A355" t="str">
        <f t="shared" si="5"/>
        <v>BJC322</v>
      </c>
      <c r="B355" s="39" t="s">
        <v>56</v>
      </c>
      <c r="C355" s="39" t="s">
        <v>96</v>
      </c>
      <c r="D355" s="39" t="s">
        <v>382</v>
      </c>
      <c r="E355" s="39" t="s">
        <v>418</v>
      </c>
      <c r="F355" s="39" t="s">
        <v>419</v>
      </c>
      <c r="G355" s="39" t="s">
        <v>28</v>
      </c>
      <c r="H355" s="39" t="s">
        <v>420</v>
      </c>
      <c r="I355" s="39" t="e">
        <f>VLOOKUP(E355,#REF!,3,FALSE)</f>
        <v>#REF!</v>
      </c>
      <c r="J355" s="39" t="s">
        <v>1167</v>
      </c>
    </row>
    <row r="356" spans="1:10" x14ac:dyDescent="0.25">
      <c r="A356" t="str">
        <f t="shared" si="5"/>
        <v>BJC214</v>
      </c>
      <c r="B356" s="39" t="s">
        <v>216</v>
      </c>
      <c r="C356" s="39" t="s">
        <v>96</v>
      </c>
      <c r="D356" s="39" t="s">
        <v>351</v>
      </c>
      <c r="E356" s="39" t="s">
        <v>731</v>
      </c>
      <c r="F356" s="39" t="s">
        <v>732</v>
      </c>
      <c r="G356" s="39" t="s">
        <v>28</v>
      </c>
      <c r="H356" s="39" t="s">
        <v>420</v>
      </c>
      <c r="I356" s="39" t="e">
        <f>VLOOKUP(E356,#REF!,3,FALSE)</f>
        <v>#REF!</v>
      </c>
      <c r="J356" s="39" t="s">
        <v>1167</v>
      </c>
    </row>
    <row r="357" spans="1:10" x14ac:dyDescent="0.25">
      <c r="A357" t="str">
        <f t="shared" si="5"/>
        <v>MBA811</v>
      </c>
      <c r="B357" s="39" t="s">
        <v>781</v>
      </c>
      <c r="C357" s="39" t="s">
        <v>47</v>
      </c>
      <c r="D357" s="39" t="s">
        <v>789</v>
      </c>
      <c r="E357" s="39" t="s">
        <v>834</v>
      </c>
      <c r="F357" s="39" t="s">
        <v>835</v>
      </c>
      <c r="G357" s="39" t="s">
        <v>19</v>
      </c>
      <c r="H357" s="39" t="s">
        <v>15</v>
      </c>
      <c r="I357" s="39" t="e">
        <f>VLOOKUP(E357,#REF!,3,FALSE)</f>
        <v>#REF!</v>
      </c>
      <c r="J357" s="39" t="s">
        <v>1167</v>
      </c>
    </row>
    <row r="358" spans="1:10" x14ac:dyDescent="0.25">
      <c r="A358" t="str">
        <f t="shared" si="5"/>
        <v>MBA725</v>
      </c>
      <c r="B358" s="39" t="s">
        <v>781</v>
      </c>
      <c r="C358" s="39" t="s">
        <v>96</v>
      </c>
      <c r="D358" s="39" t="s">
        <v>883</v>
      </c>
      <c r="E358" s="39" t="s">
        <v>884</v>
      </c>
      <c r="F358" s="39" t="s">
        <v>885</v>
      </c>
      <c r="G358" s="39" t="s">
        <v>19</v>
      </c>
      <c r="H358" s="39" t="s">
        <v>46</v>
      </c>
      <c r="I358" s="39" t="e">
        <f>VLOOKUP(E358,#REF!,3,FALSE)</f>
        <v>#REF!</v>
      </c>
      <c r="J358" s="39" t="s">
        <v>1167</v>
      </c>
    </row>
    <row r="359" spans="1:10" x14ac:dyDescent="0.25">
      <c r="A359" t="str">
        <f t="shared" si="5"/>
        <v xml:space="preserve">MPM811 </v>
      </c>
      <c r="B359" s="39" t="s">
        <v>781</v>
      </c>
      <c r="C359" s="39" t="s">
        <v>943</v>
      </c>
      <c r="D359" s="39" t="s">
        <v>831</v>
      </c>
      <c r="E359" s="39" t="s">
        <v>944</v>
      </c>
      <c r="F359" s="39" t="s">
        <v>945</v>
      </c>
      <c r="G359" s="39" t="s">
        <v>19</v>
      </c>
      <c r="H359" s="39" t="s">
        <v>792</v>
      </c>
      <c r="I359" s="39" t="e">
        <f>VLOOKUP(E359,#REF!,3,FALSE)</f>
        <v>#REF!</v>
      </c>
      <c r="J359" s="39" t="s">
        <v>1167</v>
      </c>
    </row>
    <row r="360" spans="1:10" x14ac:dyDescent="0.25">
      <c r="A360" t="str">
        <f t="shared" si="5"/>
        <v>MPH713</v>
      </c>
      <c r="B360" s="39" t="s">
        <v>812</v>
      </c>
      <c r="C360" s="39" t="s">
        <v>10</v>
      </c>
      <c r="D360" s="39" t="s">
        <v>890</v>
      </c>
      <c r="E360" s="39" t="s">
        <v>982</v>
      </c>
      <c r="F360" s="39" t="s">
        <v>670</v>
      </c>
      <c r="G360" s="39" t="s">
        <v>14</v>
      </c>
      <c r="H360" s="39" t="s">
        <v>983</v>
      </c>
      <c r="I360" s="39" t="e">
        <f>VLOOKUP(E360,#REF!,3,FALSE)</f>
        <v>#REF!</v>
      </c>
      <c r="J360" s="39" t="s">
        <v>1167</v>
      </c>
    </row>
    <row r="361" spans="1:10" x14ac:dyDescent="0.25">
      <c r="A361" t="str">
        <f t="shared" si="5"/>
        <v>MPH714</v>
      </c>
      <c r="B361" s="39" t="s">
        <v>812</v>
      </c>
      <c r="C361" s="39" t="s">
        <v>47</v>
      </c>
      <c r="D361" s="39" t="s">
        <v>890</v>
      </c>
      <c r="E361" s="39" t="s">
        <v>984</v>
      </c>
      <c r="F361" s="39" t="s">
        <v>985</v>
      </c>
      <c r="G361" s="39" t="s">
        <v>14</v>
      </c>
      <c r="H361" s="39" t="s">
        <v>983</v>
      </c>
      <c r="I361" s="39" t="e">
        <f>VLOOKUP(E361,#REF!,3,FALSE)</f>
        <v>#REF!</v>
      </c>
      <c r="J361" s="39" t="s">
        <v>1167</v>
      </c>
    </row>
    <row r="362" spans="1:10" x14ac:dyDescent="0.25">
      <c r="A362" t="str">
        <f t="shared" si="5"/>
        <v>MPH812</v>
      </c>
      <c r="B362" s="39" t="s">
        <v>812</v>
      </c>
      <c r="C362" s="39" t="s">
        <v>96</v>
      </c>
      <c r="D362" s="39" t="s">
        <v>880</v>
      </c>
      <c r="E362" s="39" t="s">
        <v>1045</v>
      </c>
      <c r="F362" s="39" t="s">
        <v>1046</v>
      </c>
      <c r="G362" s="39" t="s">
        <v>14</v>
      </c>
      <c r="H362" s="39" t="s">
        <v>983</v>
      </c>
      <c r="I362" s="39" t="e">
        <f>VLOOKUP(E362,#REF!,3,FALSE)</f>
        <v>#REF!</v>
      </c>
      <c r="J362" s="39" t="s">
        <v>1167</v>
      </c>
    </row>
    <row r="363" spans="1:10" x14ac:dyDescent="0.25">
      <c r="A363" t="str">
        <f t="shared" si="5"/>
        <v>MPH726</v>
      </c>
      <c r="B363" s="39" t="s">
        <v>812</v>
      </c>
      <c r="C363" s="39" t="s">
        <v>140</v>
      </c>
      <c r="D363" s="39" t="s">
        <v>794</v>
      </c>
      <c r="E363" s="39" t="s">
        <v>1066</v>
      </c>
      <c r="F363" s="39" t="s">
        <v>1067</v>
      </c>
      <c r="G363" s="39" t="s">
        <v>14</v>
      </c>
      <c r="H363" s="39" t="s">
        <v>983</v>
      </c>
      <c r="I363" s="39" t="e">
        <f>VLOOKUP(E363,#REF!,3,FALSE)</f>
        <v>#REF!</v>
      </c>
      <c r="J363" s="39" t="s">
        <v>1167</v>
      </c>
    </row>
    <row r="364" spans="1:10" x14ac:dyDescent="0.25">
      <c r="A364" t="str">
        <f t="shared" si="5"/>
        <v>BPA217</v>
      </c>
      <c r="B364" s="39" t="s">
        <v>170</v>
      </c>
      <c r="C364" s="39" t="s">
        <v>47</v>
      </c>
      <c r="D364" s="39" t="s">
        <v>62</v>
      </c>
      <c r="E364" s="39" t="s">
        <v>613</v>
      </c>
      <c r="F364" s="39" t="s">
        <v>614</v>
      </c>
      <c r="G364" s="39" t="s">
        <v>28</v>
      </c>
      <c r="H364" s="39" t="s">
        <v>29</v>
      </c>
      <c r="I364" s="39" t="e">
        <f>VLOOKUP(E364,#REF!,3,FALSE)</f>
        <v>#REF!</v>
      </c>
      <c r="J364" s="39" t="s">
        <v>1167</v>
      </c>
    </row>
    <row r="365" spans="1:10" x14ac:dyDescent="0.25">
      <c r="A365" t="str">
        <f t="shared" si="5"/>
        <v>BPA111</v>
      </c>
      <c r="B365" s="39" t="s">
        <v>216</v>
      </c>
      <c r="C365" s="39" t="s">
        <v>96</v>
      </c>
      <c r="D365" s="39" t="s">
        <v>733</v>
      </c>
      <c r="E365" s="39" t="s">
        <v>734</v>
      </c>
      <c r="F365" s="39" t="s">
        <v>735</v>
      </c>
      <c r="G365" s="39" t="s">
        <v>28</v>
      </c>
      <c r="H365" s="39" t="s">
        <v>79</v>
      </c>
      <c r="I365" s="39" t="e">
        <f>VLOOKUP(E365,#REF!,3,FALSE)</f>
        <v>#REF!</v>
      </c>
      <c r="J365" s="39" t="s">
        <v>1167</v>
      </c>
    </row>
    <row r="366" spans="1:10" x14ac:dyDescent="0.25">
      <c r="A366" t="str">
        <f t="shared" si="5"/>
        <v>BPA325</v>
      </c>
      <c r="B366" s="39" t="s">
        <v>216</v>
      </c>
      <c r="C366" s="39" t="s">
        <v>140</v>
      </c>
      <c r="D366" s="39" t="s">
        <v>479</v>
      </c>
      <c r="E366" s="39" t="s">
        <v>771</v>
      </c>
      <c r="F366" s="39" t="s">
        <v>772</v>
      </c>
      <c r="G366" s="39" t="s">
        <v>28</v>
      </c>
      <c r="H366" s="39" t="s">
        <v>103</v>
      </c>
      <c r="I366" s="39" t="e">
        <f>VLOOKUP(E366,#REF!,3,FALSE)</f>
        <v>#REF!</v>
      </c>
      <c r="J366" s="39" t="s">
        <v>1167</v>
      </c>
    </row>
    <row r="367" spans="1:10" x14ac:dyDescent="0.25">
      <c r="A367" t="str">
        <f t="shared" si="5"/>
        <v>MIR715</v>
      </c>
      <c r="B367" s="39" t="s">
        <v>781</v>
      </c>
      <c r="C367" s="39" t="s">
        <v>140</v>
      </c>
      <c r="D367" s="39" t="s">
        <v>908</v>
      </c>
      <c r="E367" s="39" t="s">
        <v>954</v>
      </c>
      <c r="F367" s="39" t="s">
        <v>955</v>
      </c>
      <c r="G367" s="39" t="s">
        <v>28</v>
      </c>
      <c r="H367" s="39" t="s">
        <v>51</v>
      </c>
      <c r="I367" s="39" t="e">
        <f>VLOOKUP(E367,#REF!,3,FALSE)</f>
        <v>#REF!</v>
      </c>
      <c r="J367" s="39" t="s">
        <v>1167</v>
      </c>
    </row>
    <row r="368" spans="1:10" x14ac:dyDescent="0.25">
      <c r="A368" t="str">
        <f t="shared" si="5"/>
        <v>RSC001</v>
      </c>
      <c r="B368" s="39" t="s">
        <v>216</v>
      </c>
      <c r="C368" s="39" t="s">
        <v>10</v>
      </c>
      <c r="D368" s="39" t="s">
        <v>1250</v>
      </c>
      <c r="E368" s="39" t="s">
        <v>645</v>
      </c>
      <c r="F368" s="39" t="s">
        <v>646</v>
      </c>
      <c r="G368" s="39" t="s">
        <v>19</v>
      </c>
      <c r="H368" s="39" t="s">
        <v>112</v>
      </c>
      <c r="I368" s="39" t="e">
        <f>VLOOKUP(E368,#REF!,3,FALSE)</f>
        <v>#REF!</v>
      </c>
      <c r="J368" s="39" t="s">
        <v>1167</v>
      </c>
    </row>
    <row r="369" spans="1:10" x14ac:dyDescent="0.25">
      <c r="A369" t="str">
        <f t="shared" si="5"/>
        <v>RSC001-B</v>
      </c>
      <c r="B369" s="39" t="s">
        <v>216</v>
      </c>
      <c r="C369" s="39" t="s">
        <v>47</v>
      </c>
      <c r="D369" s="39" t="s">
        <v>251</v>
      </c>
      <c r="E369" s="39" t="s">
        <v>677</v>
      </c>
      <c r="F369" s="39" t="s">
        <v>646</v>
      </c>
      <c r="G369" s="39" t="s">
        <v>19</v>
      </c>
      <c r="H369" s="39" t="s">
        <v>20</v>
      </c>
      <c r="I369" s="39" t="e">
        <f>VLOOKUP(E369,#REF!,3,FALSE)</f>
        <v>#REF!</v>
      </c>
      <c r="J369" s="39" t="s">
        <v>1167</v>
      </c>
    </row>
    <row r="370" spans="1:10" x14ac:dyDescent="0.25">
      <c r="A370" t="str">
        <f t="shared" si="5"/>
        <v>MBA727</v>
      </c>
      <c r="B370" s="39" t="s">
        <v>781</v>
      </c>
      <c r="C370" s="39" t="s">
        <v>10</v>
      </c>
      <c r="D370" s="39" t="s">
        <v>797</v>
      </c>
      <c r="E370" s="39" t="s">
        <v>798</v>
      </c>
      <c r="F370" s="39" t="s">
        <v>740</v>
      </c>
      <c r="G370" s="39" t="s">
        <v>19</v>
      </c>
      <c r="H370" s="39" t="s">
        <v>91</v>
      </c>
      <c r="I370" s="39" t="e">
        <f>VLOOKUP(E370,#REF!,3,FALSE)</f>
        <v>#REF!</v>
      </c>
      <c r="J370" s="39" t="s">
        <v>1167</v>
      </c>
    </row>
    <row r="371" spans="1:10" x14ac:dyDescent="0.25">
      <c r="A371" t="str">
        <f t="shared" si="5"/>
        <v>RSC001</v>
      </c>
      <c r="B371" s="39" t="s">
        <v>781</v>
      </c>
      <c r="C371" s="39" t="s">
        <v>47</v>
      </c>
      <c r="D371" s="39" t="s">
        <v>838</v>
      </c>
      <c r="E371" s="39" t="s">
        <v>645</v>
      </c>
      <c r="F371" s="39" t="s">
        <v>646</v>
      </c>
      <c r="G371" s="39" t="s">
        <v>14</v>
      </c>
      <c r="H371" s="39" t="s">
        <v>112</v>
      </c>
      <c r="I371" s="39" t="e">
        <f>VLOOKUP(E371,#REF!,3,FALSE)</f>
        <v>#REF!</v>
      </c>
      <c r="J371" s="39" t="s">
        <v>1167</v>
      </c>
    </row>
    <row r="372" spans="1:10" x14ac:dyDescent="0.25">
      <c r="A372" t="str">
        <f t="shared" si="5"/>
        <v>MBA721</v>
      </c>
      <c r="B372" s="39" t="s">
        <v>781</v>
      </c>
      <c r="C372" s="39" t="s">
        <v>96</v>
      </c>
      <c r="D372" s="39" t="s">
        <v>827</v>
      </c>
      <c r="E372" s="39" t="s">
        <v>889</v>
      </c>
      <c r="F372" s="39" t="s">
        <v>570</v>
      </c>
      <c r="G372" s="39" t="s">
        <v>19</v>
      </c>
      <c r="H372" s="39" t="s">
        <v>15</v>
      </c>
      <c r="I372" s="39" t="e">
        <f>VLOOKUP(E372,#REF!,3,FALSE)</f>
        <v>#REF!</v>
      </c>
      <c r="J372" s="39" t="s">
        <v>1167</v>
      </c>
    </row>
    <row r="373" spans="1:10" x14ac:dyDescent="0.25">
      <c r="A373" t="str">
        <f t="shared" si="5"/>
        <v>MBA813</v>
      </c>
      <c r="B373" s="39" t="s">
        <v>781</v>
      </c>
      <c r="C373" s="39" t="s">
        <v>140</v>
      </c>
      <c r="D373" s="39" t="s">
        <v>932</v>
      </c>
      <c r="E373" s="39" t="s">
        <v>933</v>
      </c>
      <c r="F373" s="39" t="s">
        <v>934</v>
      </c>
      <c r="G373" s="39" t="s">
        <v>19</v>
      </c>
      <c r="H373" s="39" t="s">
        <v>61</v>
      </c>
      <c r="I373" s="39" t="e">
        <f>VLOOKUP(E373,#REF!,3,FALSE)</f>
        <v>#REF!</v>
      </c>
      <c r="J373" s="39" t="s">
        <v>1167</v>
      </c>
    </row>
    <row r="374" spans="1:10" x14ac:dyDescent="0.25">
      <c r="A374" t="str">
        <f t="shared" si="5"/>
        <v>MIR811/MSS812</v>
      </c>
      <c r="B374" s="39" t="s">
        <v>812</v>
      </c>
      <c r="C374" s="39" t="s">
        <v>10</v>
      </c>
      <c r="D374" s="39" t="s">
        <v>1038</v>
      </c>
      <c r="E374" s="39" t="s">
        <v>1039</v>
      </c>
      <c r="F374" s="39" t="s">
        <v>1040</v>
      </c>
      <c r="G374" s="39" t="s">
        <v>28</v>
      </c>
      <c r="H374" s="39" t="s">
        <v>79</v>
      </c>
      <c r="I374" s="39" t="e">
        <f>VLOOKUP(E374,#REF!,3,FALSE)</f>
        <v>#REF!</v>
      </c>
      <c r="J374" s="39" t="s">
        <v>1167</v>
      </c>
    </row>
    <row r="375" spans="1:10" x14ac:dyDescent="0.25">
      <c r="A375" t="str">
        <f t="shared" si="5"/>
        <v>MSS725</v>
      </c>
      <c r="B375" s="39" t="s">
        <v>812</v>
      </c>
      <c r="C375" s="39" t="s">
        <v>96</v>
      </c>
      <c r="D375" s="39" t="s">
        <v>819</v>
      </c>
      <c r="E375" s="39" t="s">
        <v>906</v>
      </c>
      <c r="F375" s="39" t="s">
        <v>907</v>
      </c>
      <c r="G375" s="39" t="s">
        <v>28</v>
      </c>
      <c r="H375" s="39" t="s">
        <v>822</v>
      </c>
      <c r="I375" s="39" t="e">
        <f>VLOOKUP(E375,#REF!,3,FALSE)</f>
        <v>#REF!</v>
      </c>
      <c r="J375" s="39" t="s">
        <v>1167</v>
      </c>
    </row>
    <row r="376" spans="1:10" x14ac:dyDescent="0.25">
      <c r="A376" t="str">
        <f t="shared" si="5"/>
        <v>MSS810</v>
      </c>
      <c r="B376" s="39" t="s">
        <v>812</v>
      </c>
      <c r="C376" s="39" t="s">
        <v>140</v>
      </c>
      <c r="D376" s="39" t="s">
        <v>816</v>
      </c>
      <c r="E376" s="39" t="s">
        <v>946</v>
      </c>
      <c r="F376" s="39" t="s">
        <v>947</v>
      </c>
      <c r="G376" s="39" t="s">
        <v>28</v>
      </c>
      <c r="H376" s="39" t="s">
        <v>267</v>
      </c>
      <c r="I376" s="39" t="e">
        <f>VLOOKUP(E376,#REF!,3,FALSE)</f>
        <v>#REF!</v>
      </c>
      <c r="J376" s="39" t="s">
        <v>1167</v>
      </c>
    </row>
    <row r="377" spans="1:10" x14ac:dyDescent="0.25">
      <c r="A377" t="str">
        <f t="shared" si="5"/>
        <v>PLM311</v>
      </c>
      <c r="B377" s="39" t="s">
        <v>216</v>
      </c>
      <c r="C377" s="39" t="s">
        <v>47</v>
      </c>
      <c r="D377" s="39" t="s">
        <v>1251</v>
      </c>
      <c r="E377" s="39" t="s">
        <v>697</v>
      </c>
      <c r="F377" s="39" t="s">
        <v>698</v>
      </c>
      <c r="G377" s="39" t="s">
        <v>19</v>
      </c>
      <c r="H377" s="39" t="s">
        <v>237</v>
      </c>
      <c r="I377" s="39" t="e">
        <f>VLOOKUP(E377,#REF!,3,FALSE)</f>
        <v>#REF!</v>
      </c>
      <c r="J377" s="39" t="s">
        <v>1167</v>
      </c>
    </row>
    <row r="378" spans="1:10" x14ac:dyDescent="0.25">
      <c r="A378" t="str">
        <f t="shared" si="5"/>
        <v>PLM317</v>
      </c>
      <c r="B378" s="39" t="s">
        <v>216</v>
      </c>
      <c r="C378" s="39" t="s">
        <v>96</v>
      </c>
      <c r="D378" s="39" t="s">
        <v>276</v>
      </c>
      <c r="E378" s="39" t="s">
        <v>1252</v>
      </c>
      <c r="F378" s="39" t="s">
        <v>737</v>
      </c>
      <c r="G378" s="39" t="s">
        <v>19</v>
      </c>
      <c r="H378" s="39" t="s">
        <v>55</v>
      </c>
      <c r="I378" s="39" t="e">
        <f>VLOOKUP(E378,#REF!,3,FALSE)</f>
        <v>#REF!</v>
      </c>
      <c r="J378" s="39" t="s">
        <v>1167</v>
      </c>
    </row>
    <row r="379" spans="1:10" x14ac:dyDescent="0.25">
      <c r="A379" t="str">
        <f t="shared" si="5"/>
        <v>PLM323</v>
      </c>
      <c r="B379" s="39" t="s">
        <v>216</v>
      </c>
      <c r="C379" s="39" t="s">
        <v>140</v>
      </c>
      <c r="D379" s="39" t="s">
        <v>187</v>
      </c>
      <c r="E379" s="39" t="s">
        <v>773</v>
      </c>
      <c r="F379" s="39" t="s">
        <v>774</v>
      </c>
      <c r="G379" s="39" t="s">
        <v>19</v>
      </c>
      <c r="H379" s="39" t="s">
        <v>55</v>
      </c>
      <c r="I379" s="39" t="e">
        <f>VLOOKUP(E379,#REF!,3,FALSE)</f>
        <v>#REF!</v>
      </c>
      <c r="J379" s="39" t="s">
        <v>1167</v>
      </c>
    </row>
    <row r="380" spans="1:10" x14ac:dyDescent="0.25">
      <c r="A380" t="str">
        <f t="shared" si="5"/>
        <v>MSC810</v>
      </c>
      <c r="B380" s="39" t="s">
        <v>781</v>
      </c>
      <c r="C380" s="39" t="s">
        <v>96</v>
      </c>
      <c r="D380" s="39" t="s">
        <v>868</v>
      </c>
      <c r="E380" s="39" t="s">
        <v>917</v>
      </c>
      <c r="F380" s="39" t="s">
        <v>918</v>
      </c>
      <c r="G380" s="39" t="s">
        <v>19</v>
      </c>
      <c r="H380" s="39" t="s">
        <v>33</v>
      </c>
      <c r="I380" s="39" t="e">
        <f>VLOOKUP(E380,#REF!,3,FALSE)</f>
        <v>#REF!</v>
      </c>
      <c r="J380" s="39" t="s">
        <v>1167</v>
      </c>
    </row>
    <row r="381" spans="1:10" x14ac:dyDescent="0.25">
      <c r="A381" t="str">
        <f t="shared" si="5"/>
        <v>MSC814</v>
      </c>
      <c r="B381" s="39" t="s">
        <v>781</v>
      </c>
      <c r="C381" s="39" t="s">
        <v>140</v>
      </c>
      <c r="D381" s="39" t="s">
        <v>868</v>
      </c>
      <c r="E381" s="39" t="s">
        <v>956</v>
      </c>
      <c r="F381" s="39" t="s">
        <v>957</v>
      </c>
      <c r="G381" s="39" t="s">
        <v>19</v>
      </c>
      <c r="H381" s="39" t="s">
        <v>33</v>
      </c>
      <c r="I381" s="39" t="e">
        <f>VLOOKUP(E381,#REF!,3,FALSE)</f>
        <v>#REF!</v>
      </c>
      <c r="J381" s="39" t="s">
        <v>1167</v>
      </c>
    </row>
    <row r="382" spans="1:10" x14ac:dyDescent="0.25">
      <c r="A382" t="str">
        <f t="shared" si="5"/>
        <v>PLM311</v>
      </c>
      <c r="B382" s="39" t="s">
        <v>812</v>
      </c>
      <c r="C382" s="39" t="s">
        <v>10</v>
      </c>
      <c r="D382" s="39" t="s">
        <v>811</v>
      </c>
      <c r="E382" s="39" t="s">
        <v>697</v>
      </c>
      <c r="F382" s="39" t="s">
        <v>698</v>
      </c>
      <c r="G382" s="39" t="s">
        <v>19</v>
      </c>
      <c r="H382" s="39" t="s">
        <v>237</v>
      </c>
      <c r="I382" s="39" t="e">
        <f>VLOOKUP(E382,#REF!,3,FALSE)</f>
        <v>#REF!</v>
      </c>
      <c r="J382" s="39" t="s">
        <v>1167</v>
      </c>
    </row>
    <row r="383" spans="1:10" x14ac:dyDescent="0.25">
      <c r="A383" t="str">
        <f t="shared" si="5"/>
        <v>BBA221</v>
      </c>
      <c r="B383" s="39" t="s">
        <v>66</v>
      </c>
      <c r="C383" s="39" t="s">
        <v>96</v>
      </c>
      <c r="D383" s="39" t="s">
        <v>251</v>
      </c>
      <c r="E383" s="39" t="s">
        <v>569</v>
      </c>
      <c r="F383" s="39" t="s">
        <v>570</v>
      </c>
      <c r="G383" s="39" t="s">
        <v>19</v>
      </c>
      <c r="H383" s="39" t="s">
        <v>287</v>
      </c>
      <c r="I383" s="39" t="e">
        <f>VLOOKUP(E383,#REF!,3,FALSE)</f>
        <v>#REF!</v>
      </c>
      <c r="J383" s="39" t="s">
        <v>1167</v>
      </c>
    </row>
    <row r="384" spans="1:10" x14ac:dyDescent="0.25">
      <c r="A384" t="str">
        <f t="shared" si="5"/>
        <v>BBF313</v>
      </c>
      <c r="B384" s="39" t="s">
        <v>66</v>
      </c>
      <c r="C384" s="39" t="s">
        <v>140</v>
      </c>
      <c r="D384" s="39" t="s">
        <v>688</v>
      </c>
      <c r="E384" s="39" t="s">
        <v>775</v>
      </c>
      <c r="F384" s="39" t="s">
        <v>776</v>
      </c>
      <c r="G384" s="39" t="s">
        <v>19</v>
      </c>
      <c r="H384" s="39" t="s">
        <v>237</v>
      </c>
      <c r="I384" s="39" t="e">
        <f>VLOOKUP(E384,#REF!,3,FALSE)</f>
        <v>#REF!</v>
      </c>
      <c r="J384" s="39" t="s">
        <v>1167</v>
      </c>
    </row>
    <row r="385" spans="1:10" x14ac:dyDescent="0.25">
      <c r="A385" t="str">
        <f t="shared" si="5"/>
        <v>BBF325</v>
      </c>
      <c r="B385" s="39" t="s">
        <v>216</v>
      </c>
      <c r="C385" s="39" t="s">
        <v>47</v>
      </c>
      <c r="D385" s="39" t="s">
        <v>284</v>
      </c>
      <c r="E385" s="39" t="s">
        <v>699</v>
      </c>
      <c r="F385" s="39" t="s">
        <v>700</v>
      </c>
      <c r="G385" s="39" t="s">
        <v>19</v>
      </c>
      <c r="H385" s="39" t="s">
        <v>83</v>
      </c>
      <c r="I385" s="39" t="e">
        <f>VLOOKUP(E385,#REF!,3,FALSE)</f>
        <v>#REF!</v>
      </c>
      <c r="J385" s="39" t="s">
        <v>1167</v>
      </c>
    </row>
    <row r="386" spans="1:10" x14ac:dyDescent="0.25">
      <c r="A386" t="str">
        <f t="shared" si="5"/>
        <v>BBA215/DBA215</v>
      </c>
      <c r="B386" s="39" t="s">
        <v>216</v>
      </c>
      <c r="C386" s="39" t="s">
        <v>96</v>
      </c>
      <c r="D386" s="39" t="s">
        <v>738</v>
      </c>
      <c r="E386" s="39" t="s">
        <v>739</v>
      </c>
      <c r="F386" s="39" t="s">
        <v>740</v>
      </c>
      <c r="G386" s="39" t="s">
        <v>19</v>
      </c>
      <c r="H386" s="39" t="s">
        <v>237</v>
      </c>
      <c r="I386" s="39" t="e">
        <f>VLOOKUP(E386,#REF!,3,FALSE)</f>
        <v>#REF!</v>
      </c>
      <c r="J386" s="39" t="s">
        <v>1167</v>
      </c>
    </row>
    <row r="387" spans="1:10" x14ac:dyDescent="0.25">
      <c r="A387" t="str">
        <f t="shared" si="5"/>
        <v>BBA215/DBA215</v>
      </c>
      <c r="B387" s="39" t="s">
        <v>781</v>
      </c>
      <c r="C387" s="39" t="s">
        <v>47</v>
      </c>
      <c r="D387" s="39" t="s">
        <v>785</v>
      </c>
      <c r="E387" s="39" t="s">
        <v>739</v>
      </c>
      <c r="F387" s="39" t="s">
        <v>740</v>
      </c>
      <c r="G387" s="39" t="s">
        <v>19</v>
      </c>
      <c r="H387" s="39" t="s">
        <v>287</v>
      </c>
      <c r="I387" s="39" t="e">
        <f>VLOOKUP(E387,#REF!,3,FALSE)</f>
        <v>#REF!</v>
      </c>
      <c r="J387" s="39" t="s">
        <v>1167</v>
      </c>
    </row>
    <row r="388" spans="1:10" x14ac:dyDescent="0.25">
      <c r="A388" t="str">
        <f t="shared" ref="A388:A425" si="6">E388</f>
        <v>BBA221</v>
      </c>
      <c r="B388" s="39" t="s">
        <v>781</v>
      </c>
      <c r="C388" s="39" t="s">
        <v>96</v>
      </c>
      <c r="D388" s="39" t="s">
        <v>919</v>
      </c>
      <c r="E388" s="39" t="s">
        <v>569</v>
      </c>
      <c r="F388" s="39" t="s">
        <v>570</v>
      </c>
      <c r="G388" s="39" t="s">
        <v>19</v>
      </c>
      <c r="H388" s="39" t="s">
        <v>83</v>
      </c>
      <c r="I388" s="39" t="e">
        <f>VLOOKUP(E388,#REF!,3,FALSE)</f>
        <v>#REF!</v>
      </c>
      <c r="J388" s="39" t="s">
        <v>1167</v>
      </c>
    </row>
    <row r="389" spans="1:10" x14ac:dyDescent="0.25">
      <c r="A389" t="str">
        <f t="shared" si="6"/>
        <v>HEC112</v>
      </c>
      <c r="B389" s="39" t="s">
        <v>66</v>
      </c>
      <c r="C389" s="39" t="s">
        <v>47</v>
      </c>
      <c r="D389" s="39" t="s">
        <v>1253</v>
      </c>
      <c r="E389" s="39" t="s">
        <v>1254</v>
      </c>
      <c r="F389" s="39" t="s">
        <v>1255</v>
      </c>
      <c r="G389" s="39" t="s">
        <v>14</v>
      </c>
      <c r="H389" s="39" t="s">
        <v>492</v>
      </c>
      <c r="I389" s="39" t="e">
        <f>VLOOKUP(E389,#REF!,3,FALSE)</f>
        <v>#REF!</v>
      </c>
      <c r="J389" s="39" t="s">
        <v>1167</v>
      </c>
    </row>
    <row r="390" spans="1:10" x14ac:dyDescent="0.25">
      <c r="A390" t="str">
        <f t="shared" si="6"/>
        <v>HEC115</v>
      </c>
      <c r="B390" s="39" t="s">
        <v>216</v>
      </c>
      <c r="C390" s="39" t="s">
        <v>96</v>
      </c>
      <c r="D390" s="39" t="s">
        <v>1253</v>
      </c>
      <c r="E390" s="39" t="s">
        <v>1256</v>
      </c>
      <c r="F390" s="39" t="s">
        <v>1257</v>
      </c>
      <c r="G390" s="39" t="s">
        <v>14</v>
      </c>
      <c r="H390" s="39" t="s">
        <v>492</v>
      </c>
      <c r="I390" s="39" t="e">
        <f>VLOOKUP(E390,#REF!,3,FALSE)</f>
        <v>#REF!</v>
      </c>
      <c r="J390" s="39" t="s">
        <v>1171</v>
      </c>
    </row>
    <row r="391" spans="1:10" x14ac:dyDescent="0.25">
      <c r="A391" t="str">
        <f t="shared" si="6"/>
        <v>HEC123</v>
      </c>
      <c r="B391" s="39" t="s">
        <v>216</v>
      </c>
      <c r="C391" s="39" t="s">
        <v>140</v>
      </c>
      <c r="D391" s="39" t="s">
        <v>1239</v>
      </c>
      <c r="E391" s="39" t="s">
        <v>1258</v>
      </c>
      <c r="F391" s="39" t="s">
        <v>1259</v>
      </c>
      <c r="G391" s="39" t="s">
        <v>14</v>
      </c>
      <c r="H391" s="39" t="s">
        <v>363</v>
      </c>
      <c r="I391" s="39" t="e">
        <f>VLOOKUP(E391,#REF!,3,FALSE)</f>
        <v>#REF!</v>
      </c>
      <c r="J391" s="39" t="s">
        <v>1171</v>
      </c>
    </row>
    <row r="392" spans="1:10" x14ac:dyDescent="0.25">
      <c r="A392" t="str">
        <f t="shared" si="6"/>
        <v>HRM316</v>
      </c>
      <c r="B392" s="39" t="s">
        <v>216</v>
      </c>
      <c r="C392" s="39" t="s">
        <v>140</v>
      </c>
      <c r="D392" s="39" t="s">
        <v>1260</v>
      </c>
      <c r="E392" s="39" t="s">
        <v>1261</v>
      </c>
      <c r="F392" s="39" t="s">
        <v>791</v>
      </c>
      <c r="G392" s="39" t="s">
        <v>19</v>
      </c>
      <c r="H392" s="39" t="s">
        <v>237</v>
      </c>
      <c r="I392" s="39" t="e">
        <f>VLOOKUP(E392,#REF!,3,FALSE)</f>
        <v>#REF!</v>
      </c>
      <c r="J392" s="39" t="s">
        <v>1167</v>
      </c>
    </row>
    <row r="393" spans="1:10" x14ac:dyDescent="0.25">
      <c r="A393" t="str">
        <f t="shared" si="6"/>
        <v>MBA815</v>
      </c>
      <c r="B393" s="39" t="s">
        <v>781</v>
      </c>
      <c r="C393" s="39" t="s">
        <v>10</v>
      </c>
      <c r="D393" s="39" t="s">
        <v>789</v>
      </c>
      <c r="E393" s="39" t="s">
        <v>790</v>
      </c>
      <c r="F393" s="39" t="s">
        <v>791</v>
      </c>
      <c r="G393" s="39" t="s">
        <v>19</v>
      </c>
      <c r="H393" s="39" t="s">
        <v>792</v>
      </c>
      <c r="I393" s="39" t="e">
        <f>VLOOKUP(E393,#REF!,3,FALSE)</f>
        <v>#REF!</v>
      </c>
      <c r="J393" s="39" t="s">
        <v>1167</v>
      </c>
    </row>
    <row r="394" spans="1:10" x14ac:dyDescent="0.25">
      <c r="A394" t="str">
        <f t="shared" si="6"/>
        <v>MHR815</v>
      </c>
      <c r="B394" s="39" t="s">
        <v>781</v>
      </c>
      <c r="C394" s="39" t="s">
        <v>96</v>
      </c>
      <c r="D394" s="39" t="s">
        <v>920</v>
      </c>
      <c r="E394" s="39" t="s">
        <v>921</v>
      </c>
      <c r="F394" s="39" t="s">
        <v>922</v>
      </c>
      <c r="G394" s="39" t="s">
        <v>19</v>
      </c>
      <c r="H394" s="39" t="s">
        <v>61</v>
      </c>
      <c r="I394" s="39" t="e">
        <f>VLOOKUP(E394,#REF!,3,FALSE)</f>
        <v>#REF!</v>
      </c>
      <c r="J394" s="39" t="s">
        <v>1167</v>
      </c>
    </row>
    <row r="395" spans="1:10" x14ac:dyDescent="0.25">
      <c r="A395" t="str">
        <f t="shared" si="6"/>
        <v>MBA712</v>
      </c>
      <c r="B395" s="39" t="s">
        <v>781</v>
      </c>
      <c r="C395" s="39" t="s">
        <v>140</v>
      </c>
      <c r="D395" s="39" t="s">
        <v>958</v>
      </c>
      <c r="E395" s="39" t="s">
        <v>959</v>
      </c>
      <c r="F395" s="39" t="s">
        <v>960</v>
      </c>
      <c r="G395" s="39" t="s">
        <v>19</v>
      </c>
      <c r="H395" s="39" t="s">
        <v>46</v>
      </c>
      <c r="I395" s="39" t="e">
        <f>VLOOKUP(E395,#REF!,3,FALSE)</f>
        <v>#REF!</v>
      </c>
      <c r="J395" s="39" t="s">
        <v>1167</v>
      </c>
    </row>
    <row r="396" spans="1:10" x14ac:dyDescent="0.25">
      <c r="A396" t="str">
        <f t="shared" si="6"/>
        <v>MBA724</v>
      </c>
      <c r="B396" s="39" t="s">
        <v>812</v>
      </c>
      <c r="C396" s="39" t="s">
        <v>47</v>
      </c>
      <c r="D396" s="39" t="s">
        <v>831</v>
      </c>
      <c r="E396" s="39" t="s">
        <v>1053</v>
      </c>
      <c r="F396" s="39" t="s">
        <v>680</v>
      </c>
      <c r="G396" s="39" t="s">
        <v>19</v>
      </c>
      <c r="H396" s="39" t="s">
        <v>241</v>
      </c>
      <c r="I396" s="39" t="e">
        <f>VLOOKUP(E396,#REF!,3,FALSE)</f>
        <v>#REF!</v>
      </c>
      <c r="J396" s="39" t="s">
        <v>1167</v>
      </c>
    </row>
    <row r="397" spans="1:10" x14ac:dyDescent="0.25">
      <c r="A397" t="str">
        <f t="shared" si="6"/>
        <v>BJC326</v>
      </c>
      <c r="B397" s="39" t="s">
        <v>66</v>
      </c>
      <c r="C397" s="39" t="s">
        <v>10</v>
      </c>
      <c r="D397" s="39" t="s">
        <v>382</v>
      </c>
      <c r="E397" s="39" t="s">
        <v>456</v>
      </c>
      <c r="F397" s="39" t="s">
        <v>457</v>
      </c>
      <c r="G397" s="39" t="s">
        <v>28</v>
      </c>
      <c r="H397" s="39" t="s">
        <v>29</v>
      </c>
      <c r="I397" s="39" t="e">
        <f>VLOOKUP(E397,#REF!,3,FALSE)</f>
        <v>#REF!</v>
      </c>
      <c r="J397" s="39" t="s">
        <v>1167</v>
      </c>
    </row>
    <row r="398" spans="1:10" x14ac:dyDescent="0.25">
      <c r="A398" t="str">
        <f t="shared" si="6"/>
        <v>BJC127</v>
      </c>
      <c r="B398" s="39" t="s">
        <v>66</v>
      </c>
      <c r="C398" s="39" t="s">
        <v>47</v>
      </c>
      <c r="D398" s="39" t="s">
        <v>84</v>
      </c>
      <c r="E398" s="39" t="s">
        <v>520</v>
      </c>
      <c r="F398" s="39" t="s">
        <v>521</v>
      </c>
      <c r="G398" s="39" t="s">
        <v>28</v>
      </c>
      <c r="H398" s="39" t="s">
        <v>87</v>
      </c>
      <c r="I398" s="39" t="e">
        <f>VLOOKUP(E398,#REF!,3,FALSE)</f>
        <v>#REF!</v>
      </c>
      <c r="J398" s="39" t="s">
        <v>1167</v>
      </c>
    </row>
    <row r="399" spans="1:10" x14ac:dyDescent="0.25">
      <c r="A399" t="str">
        <f t="shared" si="6"/>
        <v>BPR326</v>
      </c>
      <c r="B399" s="39" t="s">
        <v>66</v>
      </c>
      <c r="C399" s="39" t="s">
        <v>96</v>
      </c>
      <c r="D399" s="39" t="s">
        <v>504</v>
      </c>
      <c r="E399" s="39" t="s">
        <v>571</v>
      </c>
      <c r="F399" s="39" t="s">
        <v>572</v>
      </c>
      <c r="G399" s="39" t="s">
        <v>28</v>
      </c>
      <c r="H399" s="39" t="s">
        <v>368</v>
      </c>
      <c r="I399" s="39" t="e">
        <f>VLOOKUP(E399,#REF!,3,FALSE)</f>
        <v>#REF!</v>
      </c>
      <c r="J399" s="39" t="s">
        <v>1167</v>
      </c>
    </row>
    <row r="400" spans="1:10" x14ac:dyDescent="0.25">
      <c r="A400" t="str">
        <f t="shared" si="6"/>
        <v>BPR325</v>
      </c>
      <c r="B400" s="39" t="s">
        <v>66</v>
      </c>
      <c r="C400" s="39" t="s">
        <v>140</v>
      </c>
      <c r="D400" s="39" t="s">
        <v>504</v>
      </c>
      <c r="E400" s="39" t="s">
        <v>617</v>
      </c>
      <c r="F400" s="39" t="s">
        <v>618</v>
      </c>
      <c r="G400" s="39" t="s">
        <v>28</v>
      </c>
      <c r="H400" s="39" t="s">
        <v>29</v>
      </c>
      <c r="I400" s="39" t="e">
        <f>VLOOKUP(E400,#REF!,3,FALSE)</f>
        <v>#REF!</v>
      </c>
      <c r="J400" s="39" t="s">
        <v>1167</v>
      </c>
    </row>
    <row r="401" spans="1:10" x14ac:dyDescent="0.25">
      <c r="A401" t="str">
        <f t="shared" si="6"/>
        <v>BJC124</v>
      </c>
      <c r="B401" s="39" t="s">
        <v>216</v>
      </c>
      <c r="C401" s="39" t="s">
        <v>10</v>
      </c>
      <c r="D401" s="39" t="s">
        <v>351</v>
      </c>
      <c r="E401" s="39" t="s">
        <v>653</v>
      </c>
      <c r="F401" s="39" t="s">
        <v>654</v>
      </c>
      <c r="G401" s="39" t="s">
        <v>28</v>
      </c>
      <c r="H401" s="39" t="s">
        <v>29</v>
      </c>
      <c r="I401" s="39" t="e">
        <f>VLOOKUP(E401,#REF!,3,FALSE)</f>
        <v>#REF!</v>
      </c>
      <c r="J401" s="39" t="s">
        <v>1167</v>
      </c>
    </row>
    <row r="402" spans="1:10" x14ac:dyDescent="0.25">
      <c r="A402" t="str">
        <f t="shared" si="6"/>
        <v>BJC211</v>
      </c>
      <c r="B402" s="39" t="s">
        <v>216</v>
      </c>
      <c r="C402" s="39" t="s">
        <v>140</v>
      </c>
      <c r="D402" s="39" t="s">
        <v>351</v>
      </c>
      <c r="E402" s="39" t="s">
        <v>777</v>
      </c>
      <c r="F402" s="39" t="s">
        <v>778</v>
      </c>
      <c r="G402" s="39" t="s">
        <v>28</v>
      </c>
      <c r="H402" s="39" t="s">
        <v>87</v>
      </c>
      <c r="I402" s="39" t="e">
        <f>VLOOKUP(E402,#REF!,3,FALSE)</f>
        <v>#REF!</v>
      </c>
      <c r="J402" s="39" t="s">
        <v>1167</v>
      </c>
    </row>
    <row r="403" spans="1:10" x14ac:dyDescent="0.25">
      <c r="A403" t="str">
        <f t="shared" si="6"/>
        <v>BSE222</v>
      </c>
      <c r="B403" s="39" t="s">
        <v>170</v>
      </c>
      <c r="C403" s="39" t="s">
        <v>47</v>
      </c>
      <c r="D403" s="39" t="s">
        <v>238</v>
      </c>
      <c r="E403" s="39" t="s">
        <v>239</v>
      </c>
      <c r="F403" s="39" t="s">
        <v>240</v>
      </c>
      <c r="G403" s="39" t="s">
        <v>14</v>
      </c>
      <c r="H403" s="39" t="s">
        <v>241</v>
      </c>
      <c r="I403" s="39" t="e">
        <f>VLOOKUP(E403,#REF!,3,FALSE)</f>
        <v>#REF!</v>
      </c>
      <c r="J403" s="39" t="s">
        <v>1167</v>
      </c>
    </row>
    <row r="404" spans="1:10" x14ac:dyDescent="0.25">
      <c r="A404" t="str">
        <f t="shared" si="6"/>
        <v>BSE321</v>
      </c>
      <c r="B404" s="39" t="s">
        <v>170</v>
      </c>
      <c r="C404" s="39" t="s">
        <v>96</v>
      </c>
      <c r="D404" s="39" t="s">
        <v>156</v>
      </c>
      <c r="E404" s="39" t="s">
        <v>268</v>
      </c>
      <c r="F404" s="39" t="s">
        <v>269</v>
      </c>
      <c r="G404" s="39" t="s">
        <v>14</v>
      </c>
      <c r="H404" s="39" t="s">
        <v>241</v>
      </c>
      <c r="I404" s="39" t="e">
        <f>VLOOKUP(E404,#REF!,3,FALSE)</f>
        <v>#REF!</v>
      </c>
      <c r="J404" s="39" t="s">
        <v>1167</v>
      </c>
    </row>
    <row r="405" spans="1:10" x14ac:dyDescent="0.25">
      <c r="A405" t="str">
        <f t="shared" si="6"/>
        <v>COM212</v>
      </c>
      <c r="B405" s="39" t="s">
        <v>66</v>
      </c>
      <c r="C405" s="39" t="s">
        <v>10</v>
      </c>
      <c r="D405" s="39" t="s">
        <v>458</v>
      </c>
      <c r="E405" s="39" t="s">
        <v>459</v>
      </c>
      <c r="F405" s="39" t="s">
        <v>460</v>
      </c>
      <c r="G405" s="39" t="s">
        <v>14</v>
      </c>
      <c r="H405" s="39" t="s">
        <v>267</v>
      </c>
      <c r="I405" s="39" t="e">
        <f>VLOOKUP(E405,#REF!,3,FALSE)</f>
        <v>#REF!</v>
      </c>
      <c r="J405" s="39" t="s">
        <v>1167</v>
      </c>
    </row>
    <row r="406" spans="1:10" x14ac:dyDescent="0.25">
      <c r="A406" t="str">
        <f t="shared" si="6"/>
        <v>BSE422</v>
      </c>
      <c r="B406" s="39" t="s">
        <v>66</v>
      </c>
      <c r="C406" s="39" t="s">
        <v>47</v>
      </c>
      <c r="D406" s="39" t="s">
        <v>1262</v>
      </c>
      <c r="E406" s="39" t="s">
        <v>1263</v>
      </c>
      <c r="F406" s="39" t="s">
        <v>1264</v>
      </c>
      <c r="G406" s="39" t="s">
        <v>14</v>
      </c>
      <c r="H406" s="39" t="s">
        <v>267</v>
      </c>
      <c r="I406" s="39" t="e">
        <f>VLOOKUP(E406,#REF!,3,FALSE)</f>
        <v>#REF!</v>
      </c>
      <c r="J406" s="39" t="s">
        <v>1167</v>
      </c>
    </row>
    <row r="407" spans="1:10" x14ac:dyDescent="0.25">
      <c r="A407" t="str">
        <f t="shared" si="6"/>
        <v>BIT312/BSE311</v>
      </c>
      <c r="B407" s="39" t="s">
        <v>216</v>
      </c>
      <c r="C407" s="39" t="s">
        <v>10</v>
      </c>
      <c r="D407" s="39" t="s">
        <v>525</v>
      </c>
      <c r="E407" s="39" t="s">
        <v>655</v>
      </c>
      <c r="F407" s="39" t="s">
        <v>656</v>
      </c>
      <c r="G407" s="39" t="s">
        <v>14</v>
      </c>
      <c r="H407" s="39" t="s">
        <v>15</v>
      </c>
      <c r="I407" s="39" t="e">
        <f>VLOOKUP(E407,#REF!,3,FALSE)</f>
        <v>#REF!</v>
      </c>
      <c r="J407" s="39" t="s">
        <v>1167</v>
      </c>
    </row>
    <row r="408" spans="1:10" x14ac:dyDescent="0.25">
      <c r="A408" t="str">
        <f t="shared" si="6"/>
        <v>COM111</v>
      </c>
      <c r="B408" s="39" t="s">
        <v>216</v>
      </c>
      <c r="C408" s="39" t="s">
        <v>47</v>
      </c>
      <c r="D408" s="39" t="s">
        <v>681</v>
      </c>
      <c r="E408" s="39" t="s">
        <v>682</v>
      </c>
      <c r="F408" s="39" t="s">
        <v>683</v>
      </c>
      <c r="G408" s="39" t="s">
        <v>14</v>
      </c>
      <c r="H408" s="39" t="s">
        <v>267</v>
      </c>
      <c r="I408" s="39" t="e">
        <f>VLOOKUP(E408,#REF!,3,FALSE)</f>
        <v>#REF!</v>
      </c>
      <c r="J408" s="39" t="s">
        <v>1167</v>
      </c>
    </row>
    <row r="409" spans="1:10" x14ac:dyDescent="0.25">
      <c r="A409" t="str">
        <f t="shared" si="6"/>
        <v>BIT314</v>
      </c>
      <c r="B409" s="39" t="s">
        <v>66</v>
      </c>
      <c r="C409" s="39" t="s">
        <v>47</v>
      </c>
      <c r="D409" s="39" t="s">
        <v>525</v>
      </c>
      <c r="E409" s="39" t="s">
        <v>526</v>
      </c>
      <c r="F409" s="39" t="s">
        <v>527</v>
      </c>
      <c r="G409" s="39" t="s">
        <v>14</v>
      </c>
      <c r="H409" s="39" t="s">
        <v>33</v>
      </c>
      <c r="I409" s="39" t="e">
        <f>VLOOKUP(E409,#REF!,3,FALSE)</f>
        <v>#REF!</v>
      </c>
      <c r="J409" s="39" t="s">
        <v>1167</v>
      </c>
    </row>
    <row r="410" spans="1:10" x14ac:dyDescent="0.25">
      <c r="A410" t="str">
        <f t="shared" si="6"/>
        <v>BIT324</v>
      </c>
      <c r="B410" s="39" t="s">
        <v>66</v>
      </c>
      <c r="C410" s="39" t="s">
        <v>96</v>
      </c>
      <c r="D410" s="39" t="s">
        <v>573</v>
      </c>
      <c r="E410" s="39" t="s">
        <v>574</v>
      </c>
      <c r="F410" s="39" t="s">
        <v>575</v>
      </c>
      <c r="G410" s="39" t="s">
        <v>14</v>
      </c>
      <c r="H410" s="39" t="s">
        <v>33</v>
      </c>
      <c r="I410" s="39" t="e">
        <f>VLOOKUP(E410,#REF!,3,FALSE)</f>
        <v>#REF!</v>
      </c>
      <c r="J410" s="39" t="s">
        <v>1167</v>
      </c>
    </row>
    <row r="411" spans="1:10" x14ac:dyDescent="0.25">
      <c r="A411" t="str">
        <f t="shared" si="6"/>
        <v>HEC111</v>
      </c>
      <c r="B411" s="39" t="s">
        <v>216</v>
      </c>
      <c r="C411" s="39" t="s">
        <v>10</v>
      </c>
      <c r="D411" s="39" t="s">
        <v>1237</v>
      </c>
      <c r="E411" s="39" t="s">
        <v>657</v>
      </c>
      <c r="F411" s="39" t="s">
        <v>658</v>
      </c>
      <c r="G411" s="39" t="s">
        <v>14</v>
      </c>
      <c r="H411" s="39" t="s">
        <v>33</v>
      </c>
      <c r="I411" s="39" t="e">
        <f>VLOOKUP(E411,#REF!,3,FALSE)</f>
        <v>#REF!</v>
      </c>
      <c r="J411" s="39" t="s">
        <v>1167</v>
      </c>
    </row>
    <row r="412" spans="1:10" x14ac:dyDescent="0.25">
      <c r="A412" t="str">
        <f t="shared" si="6"/>
        <v>BIT223</v>
      </c>
      <c r="B412" s="39" t="s">
        <v>216</v>
      </c>
      <c r="C412" s="39" t="s">
        <v>47</v>
      </c>
      <c r="D412" s="39" t="s">
        <v>522</v>
      </c>
      <c r="E412" s="39" t="s">
        <v>703</v>
      </c>
      <c r="F412" s="39" t="s">
        <v>704</v>
      </c>
      <c r="G412" s="39" t="s">
        <v>14</v>
      </c>
      <c r="H412" s="39" t="s">
        <v>51</v>
      </c>
      <c r="I412" s="39" t="e">
        <f>VLOOKUP(E412,#REF!,3,FALSE)</f>
        <v>#REF!</v>
      </c>
      <c r="J412" s="39" t="s">
        <v>1167</v>
      </c>
    </row>
    <row r="413" spans="1:10" x14ac:dyDescent="0.25">
      <c r="A413" t="str">
        <f t="shared" si="6"/>
        <v>BIT214</v>
      </c>
      <c r="B413" s="39" t="s">
        <v>216</v>
      </c>
      <c r="C413" s="39" t="s">
        <v>96</v>
      </c>
      <c r="D413" s="39" t="s">
        <v>741</v>
      </c>
      <c r="E413" s="39" t="s">
        <v>742</v>
      </c>
      <c r="F413" s="39" t="s">
        <v>743</v>
      </c>
      <c r="G413" s="39" t="s">
        <v>14</v>
      </c>
      <c r="H413" s="39" t="s">
        <v>33</v>
      </c>
      <c r="I413" s="39" t="e">
        <f>VLOOKUP(E413,#REF!,3,FALSE)</f>
        <v>#REF!</v>
      </c>
      <c r="J413" s="39" t="s">
        <v>1167</v>
      </c>
    </row>
    <row r="414" spans="1:10" x14ac:dyDescent="0.25">
      <c r="A414" t="str">
        <f t="shared" si="6"/>
        <v>BSE324</v>
      </c>
      <c r="B414" s="39" t="s">
        <v>216</v>
      </c>
      <c r="C414" s="39" t="s">
        <v>140</v>
      </c>
      <c r="D414" s="39" t="s">
        <v>58</v>
      </c>
      <c r="E414" s="39" t="s">
        <v>1265</v>
      </c>
      <c r="F414" s="39" t="s">
        <v>1266</v>
      </c>
      <c r="G414" s="39" t="s">
        <v>14</v>
      </c>
      <c r="H414" s="39" t="s">
        <v>15</v>
      </c>
      <c r="I414" s="39" t="e">
        <f>VLOOKUP(E414,#REF!,3,FALSE)</f>
        <v>#REF!</v>
      </c>
      <c r="J414" s="39" t="s">
        <v>1167</v>
      </c>
    </row>
    <row r="415" spans="1:10" x14ac:dyDescent="0.25">
      <c r="A415" t="str">
        <f t="shared" si="6"/>
        <v>BBA214/DBA213/AGM212</v>
      </c>
      <c r="B415" s="39" t="s">
        <v>66</v>
      </c>
      <c r="C415" s="39" t="s">
        <v>47</v>
      </c>
      <c r="D415" s="39" t="s">
        <v>528</v>
      </c>
      <c r="E415" s="39" t="s">
        <v>529</v>
      </c>
      <c r="F415" s="39" t="s">
        <v>530</v>
      </c>
      <c r="G415" s="39" t="s">
        <v>19</v>
      </c>
      <c r="H415" s="39" t="s">
        <v>20</v>
      </c>
      <c r="I415" s="39" t="e">
        <f>VLOOKUP(E415,#REF!,3,FALSE)</f>
        <v>#REF!</v>
      </c>
      <c r="J415" s="39" t="s">
        <v>1167</v>
      </c>
    </row>
    <row r="416" spans="1:10" x14ac:dyDescent="0.25">
      <c r="A416" t="str">
        <f t="shared" si="6"/>
        <v>PLM321</v>
      </c>
      <c r="B416" s="39" t="s">
        <v>66</v>
      </c>
      <c r="C416" s="39" t="s">
        <v>140</v>
      </c>
      <c r="D416" s="39" t="s">
        <v>187</v>
      </c>
      <c r="E416" s="39" t="s">
        <v>619</v>
      </c>
      <c r="F416" s="39" t="s">
        <v>620</v>
      </c>
      <c r="G416" s="39" t="s">
        <v>19</v>
      </c>
      <c r="H416" s="39" t="s">
        <v>55</v>
      </c>
      <c r="I416" s="39" t="e">
        <f>VLOOKUP(E416,#REF!,3,FALSE)</f>
        <v>#REF!</v>
      </c>
      <c r="J416" s="39" t="s">
        <v>1167</v>
      </c>
    </row>
    <row r="417" spans="1:10" x14ac:dyDescent="0.25">
      <c r="A417" t="str">
        <f t="shared" si="6"/>
        <v xml:space="preserve">MPM813 </v>
      </c>
      <c r="B417" s="39" t="s">
        <v>781</v>
      </c>
      <c r="C417" s="39" t="s">
        <v>10</v>
      </c>
      <c r="D417" s="39" t="s">
        <v>831</v>
      </c>
      <c r="E417" s="39" t="s">
        <v>832</v>
      </c>
      <c r="F417" s="39" t="s">
        <v>833</v>
      </c>
      <c r="G417" s="39" t="s">
        <v>19</v>
      </c>
      <c r="H417" s="39" t="s">
        <v>241</v>
      </c>
      <c r="I417" s="39" t="e">
        <f>VLOOKUP(E417,#REF!,3,FALSE)</f>
        <v>#REF!</v>
      </c>
      <c r="J417" s="39" t="s">
        <v>1167</v>
      </c>
    </row>
    <row r="418" spans="1:10" x14ac:dyDescent="0.25">
      <c r="A418" t="str">
        <f t="shared" si="6"/>
        <v>MPM721</v>
      </c>
      <c r="B418" s="39" t="s">
        <v>781</v>
      </c>
      <c r="C418" s="39" t="s">
        <v>96</v>
      </c>
      <c r="D418" s="39" t="s">
        <v>871</v>
      </c>
      <c r="E418" s="39" t="s">
        <v>872</v>
      </c>
      <c r="F418" s="39" t="s">
        <v>873</v>
      </c>
      <c r="G418" s="39" t="s">
        <v>19</v>
      </c>
      <c r="H418" s="39" t="s">
        <v>91</v>
      </c>
      <c r="I418" s="39" t="e">
        <f>VLOOKUP(E418,#REF!,3,FALSE)</f>
        <v>#REF!</v>
      </c>
      <c r="J418" s="39" t="s">
        <v>1167</v>
      </c>
    </row>
    <row r="419" spans="1:10" x14ac:dyDescent="0.25">
      <c r="A419" t="str">
        <f t="shared" si="6"/>
        <v>BBA214</v>
      </c>
      <c r="B419" s="39" t="s">
        <v>781</v>
      </c>
      <c r="C419" s="39" t="s">
        <v>140</v>
      </c>
      <c r="D419" s="39" t="s">
        <v>785</v>
      </c>
      <c r="E419" s="39" t="s">
        <v>923</v>
      </c>
      <c r="F419" s="39" t="s">
        <v>530</v>
      </c>
      <c r="G419" s="39" t="s">
        <v>19</v>
      </c>
      <c r="H419" s="39" t="s">
        <v>287</v>
      </c>
      <c r="I419" s="39" t="e">
        <f>VLOOKUP(E419,#REF!,3,FALSE)</f>
        <v>#REF!</v>
      </c>
      <c r="J419" s="39" t="s">
        <v>1167</v>
      </c>
    </row>
    <row r="420" spans="1:10" x14ac:dyDescent="0.25">
      <c r="A420" t="str">
        <f t="shared" si="6"/>
        <v>BSE417</v>
      </c>
      <c r="B420" s="39" t="s">
        <v>170</v>
      </c>
      <c r="C420" s="39" t="s">
        <v>10</v>
      </c>
      <c r="D420" s="39" t="s">
        <v>1262</v>
      </c>
      <c r="E420" s="39" t="s">
        <v>1267</v>
      </c>
      <c r="F420" s="39" t="s">
        <v>1268</v>
      </c>
      <c r="G420" s="39" t="s">
        <v>14</v>
      </c>
      <c r="H420" s="39" t="s">
        <v>61</v>
      </c>
      <c r="I420" s="39" t="e">
        <f>VLOOKUP(E420,#REF!,3,FALSE)</f>
        <v>#REF!</v>
      </c>
      <c r="J420" s="39" t="s">
        <v>1171</v>
      </c>
    </row>
    <row r="421" spans="1:10" x14ac:dyDescent="0.25">
      <c r="A421" t="str">
        <f t="shared" si="6"/>
        <v>BIT322</v>
      </c>
      <c r="B421" s="39" t="s">
        <v>170</v>
      </c>
      <c r="C421" s="39" t="s">
        <v>96</v>
      </c>
      <c r="D421" s="39" t="s">
        <v>194</v>
      </c>
      <c r="E421" s="39" t="s">
        <v>713</v>
      </c>
      <c r="F421" s="39" t="s">
        <v>714</v>
      </c>
      <c r="G421" s="39" t="s">
        <v>14</v>
      </c>
      <c r="H421" s="39" t="s">
        <v>15</v>
      </c>
      <c r="I421" s="39" t="e">
        <f>VLOOKUP(E421,#REF!,3,FALSE)</f>
        <v>#REF!</v>
      </c>
      <c r="J421" s="39" t="s">
        <v>1171</v>
      </c>
    </row>
    <row r="422" spans="1:10" x14ac:dyDescent="0.25">
      <c r="A422" t="str">
        <f t="shared" si="6"/>
        <v>COM322</v>
      </c>
      <c r="B422" s="39" t="s">
        <v>170</v>
      </c>
      <c r="C422" s="39" t="s">
        <v>140</v>
      </c>
      <c r="D422" s="39" t="s">
        <v>408</v>
      </c>
      <c r="E422" s="39" t="s">
        <v>515</v>
      </c>
      <c r="F422" s="39" t="s">
        <v>516</v>
      </c>
      <c r="G422" s="39" t="s">
        <v>14</v>
      </c>
      <c r="H422" s="39" t="s">
        <v>267</v>
      </c>
      <c r="I422" s="39" t="e">
        <f>VLOOKUP(E422,#REF!,3,FALSE)</f>
        <v>#REF!</v>
      </c>
      <c r="J422" s="39" t="s">
        <v>1171</v>
      </c>
    </row>
    <row r="423" spans="1:10" x14ac:dyDescent="0.25">
      <c r="A423" t="str">
        <f t="shared" si="6"/>
        <v>BSE412</v>
      </c>
      <c r="B423" s="39" t="s">
        <v>66</v>
      </c>
      <c r="C423" s="39" t="s">
        <v>10</v>
      </c>
      <c r="D423" s="39" t="s">
        <v>387</v>
      </c>
      <c r="E423" s="39" t="s">
        <v>388</v>
      </c>
      <c r="F423" s="39" t="s">
        <v>389</v>
      </c>
      <c r="G423" s="39" t="s">
        <v>14</v>
      </c>
      <c r="H423" s="39" t="s">
        <v>15</v>
      </c>
      <c r="I423" s="39" t="e">
        <f>VLOOKUP(E423,#REF!,3,FALSE)</f>
        <v>#REF!</v>
      </c>
      <c r="J423" s="39" t="s">
        <v>1171</v>
      </c>
    </row>
    <row r="424" spans="1:10" x14ac:dyDescent="0.25">
      <c r="A424" t="str">
        <f t="shared" si="6"/>
        <v>FOU110</v>
      </c>
      <c r="B424" s="39" t="s">
        <v>66</v>
      </c>
      <c r="C424" s="39" t="s">
        <v>47</v>
      </c>
      <c r="D424" s="39" t="s">
        <v>1238</v>
      </c>
      <c r="E424" s="39" t="s">
        <v>538</v>
      </c>
      <c r="F424" s="39" t="s">
        <v>539</v>
      </c>
      <c r="G424" s="39" t="s">
        <v>14</v>
      </c>
      <c r="H424" s="39" t="s">
        <v>51</v>
      </c>
      <c r="I424" s="39" t="e">
        <f>VLOOKUP(E424,#REF!,3,FALSE)</f>
        <v>#REF!</v>
      </c>
      <c r="J424" s="39" t="s">
        <v>1167</v>
      </c>
    </row>
    <row r="425" spans="1:10" x14ac:dyDescent="0.25">
      <c r="A425" t="str">
        <f t="shared" si="6"/>
        <v>BSE426</v>
      </c>
      <c r="B425" s="39" t="s">
        <v>66</v>
      </c>
      <c r="C425" s="39" t="s">
        <v>96</v>
      </c>
      <c r="D425" s="39" t="s">
        <v>1262</v>
      </c>
      <c r="E425" s="39" t="s">
        <v>1269</v>
      </c>
      <c r="F425" s="39" t="s">
        <v>1270</v>
      </c>
      <c r="G425" s="39" t="s">
        <v>14</v>
      </c>
      <c r="H425" s="39" t="s">
        <v>70</v>
      </c>
      <c r="I425" s="39" t="e">
        <f>VLOOKUP(E425,#REF!,3,FALSE)</f>
        <v>#REF!</v>
      </c>
      <c r="J425" s="39" t="s">
        <v>1167</v>
      </c>
    </row>
  </sheetData>
  <autoFilter ref="B3:J425" xr:uid="{00000000-0009-0000-0000-000002000000}"/>
  <mergeCells count="2">
    <mergeCell ref="B1:J1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CA22-DF25-4FC8-9113-A07851535556}">
  <sheetPr filterMode="1">
    <pageSetUpPr fitToPage="1"/>
  </sheetPr>
  <dimension ref="A1:VTT206"/>
  <sheetViews>
    <sheetView topLeftCell="B1" zoomScale="90" zoomScaleNormal="90" workbookViewId="0">
      <pane ySplit="1" topLeftCell="A115" activePane="bottomLeft" state="frozen"/>
      <selection activeCell="B1" sqref="B1"/>
      <selection pane="bottomLeft" activeCell="J218" sqref="J218"/>
    </sheetView>
  </sheetViews>
  <sheetFormatPr defaultRowHeight="15" x14ac:dyDescent="0.25"/>
  <cols>
    <col min="1" max="1" width="20.42578125" hidden="1" customWidth="1"/>
    <col min="2" max="2" width="8.140625" customWidth="1"/>
    <col min="3" max="3" width="14.140625" customWidth="1"/>
    <col min="4" max="4" width="17.5703125" customWidth="1"/>
    <col min="5" max="5" width="20" customWidth="1"/>
    <col min="6" max="6" width="33.5703125" customWidth="1"/>
    <col min="8" max="8" width="13.140625" bestFit="1" customWidth="1"/>
    <col min="9" max="10" width="26.140625" customWidth="1"/>
    <col min="11" max="11" width="21.42578125" customWidth="1"/>
    <col min="12" max="12" width="46.5703125" bestFit="1" customWidth="1"/>
  </cols>
  <sheetData>
    <row r="1" spans="1:13" x14ac:dyDescent="0.25">
      <c r="A1" s="18"/>
      <c r="B1" s="46" t="s">
        <v>2</v>
      </c>
      <c r="C1" s="46" t="s">
        <v>3</v>
      </c>
      <c r="D1" s="46" t="s">
        <v>4</v>
      </c>
      <c r="E1" s="46" t="s">
        <v>5</v>
      </c>
      <c r="F1" s="46" t="s">
        <v>6</v>
      </c>
      <c r="G1" s="46" t="s">
        <v>7</v>
      </c>
      <c r="H1" s="46" t="s">
        <v>8</v>
      </c>
      <c r="I1" s="46" t="s">
        <v>1093</v>
      </c>
      <c r="J1" s="46" t="s">
        <v>1093</v>
      </c>
      <c r="K1" s="46" t="s">
        <v>1093</v>
      </c>
      <c r="L1" s="46" t="s">
        <v>1093</v>
      </c>
      <c r="M1" s="46" t="s">
        <v>1390</v>
      </c>
    </row>
    <row r="2" spans="1:13" ht="14.45" hidden="1" customHeight="1" x14ac:dyDescent="0.25">
      <c r="A2" s="18" t="str">
        <f t="shared" ref="A2:A65" si="0">E2</f>
        <v>BBA112/DBA112</v>
      </c>
      <c r="B2" s="47" t="s">
        <v>781</v>
      </c>
      <c r="C2" s="47" t="s">
        <v>96</v>
      </c>
      <c r="D2" s="47" t="s">
        <v>784</v>
      </c>
      <c r="E2" s="47" t="s">
        <v>17</v>
      </c>
      <c r="F2" s="47" t="s">
        <v>18</v>
      </c>
      <c r="G2" s="49" t="e">
        <f t="shared" ref="G2:G65" si="1">M2</f>
        <v>#REF!</v>
      </c>
      <c r="H2" s="47" t="s">
        <v>237</v>
      </c>
      <c r="I2" s="47" t="e">
        <f>VLOOKUP($E2,#REF!,3,FALSE)</f>
        <v>#REF!</v>
      </c>
      <c r="J2" s="47" t="str">
        <f t="shared" ref="J2:J65" si="2">$B2&amp;":"&amp;$C2&amp;":"&amp;$H2</f>
        <v>Sat:12:30-02:30:KG-14</v>
      </c>
      <c r="K2" s="18" t="e">
        <f t="shared" ref="K2:K65" si="3">B2&amp;":"&amp;C2&amp;":"&amp;I2</f>
        <v>#REF!</v>
      </c>
      <c r="L2" s="18" t="str">
        <f t="shared" ref="L2:L65" si="4">$B2&amp;":"&amp;$C2&amp;":"&amp;$D2</f>
        <v>Sat:12:30-02:30:BBA-1W</v>
      </c>
      <c r="M2" s="18" t="e">
        <f>VLOOKUP(I2,#REF!,2,FALSE)</f>
        <v>#REF!</v>
      </c>
    </row>
    <row r="3" spans="1:13" ht="14.45" hidden="1" customHeight="1" x14ac:dyDescent="0.25">
      <c r="A3" s="18" t="str">
        <f t="shared" si="0"/>
        <v>BAC215</v>
      </c>
      <c r="B3" s="47" t="s">
        <v>781</v>
      </c>
      <c r="C3" s="47" t="s">
        <v>10</v>
      </c>
      <c r="D3" s="47" t="s">
        <v>785</v>
      </c>
      <c r="E3" s="47" t="s">
        <v>628</v>
      </c>
      <c r="F3" s="47" t="s">
        <v>629</v>
      </c>
      <c r="G3" s="49" t="e">
        <f t="shared" si="1"/>
        <v>#REF!</v>
      </c>
      <c r="H3" s="47" t="s">
        <v>79</v>
      </c>
      <c r="I3" s="47" t="e">
        <f>VLOOKUP($E3,#REF!,3,FALSE)</f>
        <v>#REF!</v>
      </c>
      <c r="J3" s="47" t="str">
        <f t="shared" si="2"/>
        <v>Sat:08:00-10:00:KG-11</v>
      </c>
      <c r="K3" s="18" t="e">
        <f t="shared" si="3"/>
        <v>#REF!</v>
      </c>
      <c r="L3" s="18" t="str">
        <f t="shared" si="4"/>
        <v>Sat:08:00-10:00:BBA-3W</v>
      </c>
      <c r="M3" s="18" t="e">
        <f>VLOOKUP(I3,#REF!,2,FALSE)</f>
        <v>#REF!</v>
      </c>
    </row>
    <row r="4" spans="1:13" ht="14.45" hidden="1" customHeight="1" x14ac:dyDescent="0.25">
      <c r="A4" s="18" t="str">
        <f t="shared" si="0"/>
        <v>EHS313-EH</v>
      </c>
      <c r="B4" s="47" t="s">
        <v>781</v>
      </c>
      <c r="C4" s="47" t="s">
        <v>10</v>
      </c>
      <c r="D4" s="47" t="s">
        <v>786</v>
      </c>
      <c r="E4" s="47" t="s">
        <v>3922</v>
      </c>
      <c r="F4" s="47" t="s">
        <v>631</v>
      </c>
      <c r="G4" s="49" t="e">
        <f t="shared" si="1"/>
        <v>#REF!</v>
      </c>
      <c r="H4" s="47" t="s">
        <v>1456</v>
      </c>
      <c r="I4" s="47" t="e">
        <f>VLOOKUP($E4,#REF!,3,FALSE)</f>
        <v>#REF!</v>
      </c>
      <c r="J4" s="47" t="str">
        <f t="shared" si="2"/>
        <v>Sat:08:00-10:00:MKN-14</v>
      </c>
      <c r="K4" s="18" t="e">
        <f t="shared" si="3"/>
        <v>#REF!</v>
      </c>
      <c r="L4" s="18" t="str">
        <f t="shared" si="4"/>
        <v>Sat:08:00-10:00:BEHS-5</v>
      </c>
      <c r="M4" s="18" t="e">
        <f>VLOOKUP(I4,#REF!,2,FALSE)</f>
        <v>#REF!</v>
      </c>
    </row>
    <row r="5" spans="1:13" ht="14.45" hidden="1" customHeight="1" x14ac:dyDescent="0.25">
      <c r="A5" s="18" t="str">
        <f t="shared" si="0"/>
        <v>EHS112</v>
      </c>
      <c r="B5" s="47" t="s">
        <v>781</v>
      </c>
      <c r="C5" s="47" t="s">
        <v>10</v>
      </c>
      <c r="D5" s="47" t="s">
        <v>787</v>
      </c>
      <c r="E5" s="47" t="s">
        <v>640</v>
      </c>
      <c r="F5" s="47" t="s">
        <v>788</v>
      </c>
      <c r="G5" s="49" t="e">
        <f t="shared" si="1"/>
        <v>#REF!</v>
      </c>
      <c r="H5" s="47" t="s">
        <v>1457</v>
      </c>
      <c r="I5" s="47" t="e">
        <f>VLOOKUP($E5,#REF!,3,FALSE)</f>
        <v>#REF!</v>
      </c>
      <c r="J5" s="47" t="str">
        <f t="shared" si="2"/>
        <v>Sat:08:00-10:00:MKN-15</v>
      </c>
      <c r="K5" s="18" t="e">
        <f t="shared" si="3"/>
        <v>#REF!</v>
      </c>
      <c r="L5" s="18" t="str">
        <f t="shared" si="4"/>
        <v>Sat:08:00-10:00:BEHS-1</v>
      </c>
      <c r="M5" s="18" t="e">
        <f>VLOOKUP(I5,#REF!,2,FALSE)</f>
        <v>#REF!</v>
      </c>
    </row>
    <row r="6" spans="1:13" ht="14.45" hidden="1" customHeight="1" x14ac:dyDescent="0.25">
      <c r="A6" s="18" t="str">
        <f t="shared" si="0"/>
        <v>MBA815</v>
      </c>
      <c r="B6" s="47" t="s">
        <v>781</v>
      </c>
      <c r="C6" s="47" t="s">
        <v>47</v>
      </c>
      <c r="D6" s="47" t="s">
        <v>789</v>
      </c>
      <c r="E6" s="47" t="s">
        <v>790</v>
      </c>
      <c r="F6" s="47" t="s">
        <v>791</v>
      </c>
      <c r="G6" s="49" t="e">
        <f t="shared" si="1"/>
        <v>#REF!</v>
      </c>
      <c r="H6" s="47" t="s">
        <v>792</v>
      </c>
      <c r="I6" s="47" t="e">
        <f>VLOOKUP($E6,#REF!,3,FALSE)</f>
        <v>#REF!</v>
      </c>
      <c r="J6" s="47" t="str">
        <f t="shared" si="2"/>
        <v>Sat:10:15-12:15:SI-102</v>
      </c>
      <c r="K6" s="18" t="e">
        <f t="shared" si="3"/>
        <v>#REF!</v>
      </c>
      <c r="L6" s="18" t="str">
        <f t="shared" si="4"/>
        <v>Sat:10:15-12:15:MBA-M</v>
      </c>
      <c r="M6" s="18" t="e">
        <f>VLOOKUP(I6,#REF!,2,FALSE)</f>
        <v>#REF!</v>
      </c>
    </row>
    <row r="7" spans="1:13" ht="14.45" hidden="1" customHeight="1" x14ac:dyDescent="0.25">
      <c r="A7" s="18" t="str">
        <f t="shared" si="0"/>
        <v>MPH721</v>
      </c>
      <c r="B7" s="47" t="s">
        <v>781</v>
      </c>
      <c r="C7" s="47" t="s">
        <v>10</v>
      </c>
      <c r="D7" s="47" t="s">
        <v>794</v>
      </c>
      <c r="E7" s="47" t="s">
        <v>795</v>
      </c>
      <c r="F7" s="47" t="s">
        <v>796</v>
      </c>
      <c r="G7" s="49" t="e">
        <f t="shared" si="1"/>
        <v>#REF!</v>
      </c>
      <c r="H7" s="47" t="s">
        <v>983</v>
      </c>
      <c r="I7" s="47" t="e">
        <f>VLOOKUP($E7,#REF!,3,FALSE)</f>
        <v>#REF!</v>
      </c>
      <c r="J7" s="47" t="str">
        <f t="shared" si="2"/>
        <v>Sat:08:00-10:00:Online</v>
      </c>
      <c r="K7" s="18" t="e">
        <f t="shared" si="3"/>
        <v>#REF!</v>
      </c>
      <c r="L7" s="18" t="str">
        <f t="shared" si="4"/>
        <v>Sat:08:00-10:00:MPH-2</v>
      </c>
      <c r="M7" s="18" t="e">
        <f>VLOOKUP(I7,#REF!,2,FALSE)</f>
        <v>#REF!</v>
      </c>
    </row>
    <row r="8" spans="1:13" ht="14.45" hidden="1" customHeight="1" x14ac:dyDescent="0.25">
      <c r="A8" s="18" t="str">
        <f t="shared" si="0"/>
        <v>MBA727</v>
      </c>
      <c r="B8" s="49" t="s">
        <v>781</v>
      </c>
      <c r="C8" s="49" t="s">
        <v>10</v>
      </c>
      <c r="D8" s="49" t="s">
        <v>797</v>
      </c>
      <c r="E8" s="49" t="s">
        <v>798</v>
      </c>
      <c r="F8" s="49" t="s">
        <v>740</v>
      </c>
      <c r="G8" s="49" t="e">
        <f t="shared" si="1"/>
        <v>#REF!</v>
      </c>
      <c r="H8" s="47" t="s">
        <v>20</v>
      </c>
      <c r="I8" s="47" t="e">
        <f>VLOOKUP($E8,#REF!,3,FALSE)</f>
        <v>#REF!</v>
      </c>
      <c r="J8" s="47" t="str">
        <f t="shared" si="2"/>
        <v>Sat:08:00-10:00:KG-15</v>
      </c>
      <c r="K8" s="18" t="e">
        <f t="shared" si="3"/>
        <v>#REF!</v>
      </c>
      <c r="L8" s="18" t="str">
        <f t="shared" si="4"/>
        <v>Sat:08:00-10:00:MBA-HRM,MPM-2,MED-3</v>
      </c>
      <c r="M8" s="18" t="e">
        <f>VLOOKUP(I8,#REF!,2,FALSE)</f>
        <v>#REF!</v>
      </c>
    </row>
    <row r="9" spans="1:13" ht="14.45" hidden="1" customHeight="1" x14ac:dyDescent="0.25">
      <c r="A9" s="18" t="str">
        <f t="shared" si="0"/>
        <v>RSC003</v>
      </c>
      <c r="B9" s="47" t="s">
        <v>781</v>
      </c>
      <c r="C9" s="47" t="s">
        <v>10</v>
      </c>
      <c r="D9" s="47" t="s">
        <v>3155</v>
      </c>
      <c r="E9" s="47" t="s">
        <v>800</v>
      </c>
      <c r="F9" s="47" t="s">
        <v>801</v>
      </c>
      <c r="G9" s="49" t="e">
        <f t="shared" si="1"/>
        <v>#REF!</v>
      </c>
      <c r="H9" s="47" t="s">
        <v>46</v>
      </c>
      <c r="I9" s="47" t="e">
        <f>VLOOKUP($E9,#REF!,3,FALSE)</f>
        <v>#REF!</v>
      </c>
      <c r="J9" s="47" t="str">
        <f t="shared" si="2"/>
        <v>Sat:08:00-10:00:SI-B01</v>
      </c>
      <c r="K9" s="18" t="e">
        <f t="shared" si="3"/>
        <v>#REF!</v>
      </c>
      <c r="L9" s="18" t="str">
        <f t="shared" si="4"/>
        <v>Sat:08:00-10:00:MBA-1,MSS-1,MPM-1,MED-1,MIRDS-1</v>
      </c>
      <c r="M9" s="18" t="e">
        <f>VLOOKUP(I9,#REF!,2,FALSE)</f>
        <v>#REF!</v>
      </c>
    </row>
    <row r="10" spans="1:13" ht="14.45" hidden="1" customHeight="1" x14ac:dyDescent="0.25">
      <c r="A10" s="18" t="str">
        <f t="shared" si="0"/>
        <v>EHS222</v>
      </c>
      <c r="B10" s="47" t="s">
        <v>781</v>
      </c>
      <c r="C10" s="47" t="s">
        <v>10</v>
      </c>
      <c r="D10" s="47" t="s">
        <v>802</v>
      </c>
      <c r="E10" s="47" t="s">
        <v>803</v>
      </c>
      <c r="F10" s="47" t="s">
        <v>804</v>
      </c>
      <c r="G10" s="49" t="e">
        <f t="shared" si="1"/>
        <v>#REF!</v>
      </c>
      <c r="H10" s="47" t="s">
        <v>1458</v>
      </c>
      <c r="I10" s="47" t="e">
        <f>VLOOKUP($E10,#REF!,3,FALSE)</f>
        <v>#REF!</v>
      </c>
      <c r="J10" s="47" t="str">
        <f t="shared" si="2"/>
        <v>Sat:08:00-10:00:MKN-16</v>
      </c>
      <c r="K10" s="18" t="e">
        <f t="shared" si="3"/>
        <v>#REF!</v>
      </c>
      <c r="L10" s="18" t="str">
        <f t="shared" si="4"/>
        <v>Sat:08:00-10:00:BEHS-4</v>
      </c>
      <c r="M10" s="18" t="e">
        <f>VLOOKUP(I10,#REF!,2,FALSE)</f>
        <v>#REF!</v>
      </c>
    </row>
    <row r="11" spans="1:13" ht="14.45" hidden="1" customHeight="1" x14ac:dyDescent="0.25">
      <c r="A11" s="18" t="str">
        <f t="shared" si="0"/>
        <v>EHS124</v>
      </c>
      <c r="B11" s="47" t="s">
        <v>781</v>
      </c>
      <c r="C11" s="47" t="s">
        <v>10</v>
      </c>
      <c r="D11" s="47" t="s">
        <v>805</v>
      </c>
      <c r="E11" s="47" t="s">
        <v>806</v>
      </c>
      <c r="F11" s="47" t="s">
        <v>807</v>
      </c>
      <c r="G11" s="49" t="e">
        <f t="shared" si="1"/>
        <v>#REF!</v>
      </c>
      <c r="H11" s="47" t="s">
        <v>1674</v>
      </c>
      <c r="I11" s="47" t="e">
        <f>VLOOKUP($E11,#REF!,3,FALSE)</f>
        <v>#REF!</v>
      </c>
      <c r="J11" s="47" t="str">
        <f t="shared" si="2"/>
        <v>Sat:08:00-10:00:MKN-08</v>
      </c>
      <c r="K11" s="18" t="e">
        <f t="shared" si="3"/>
        <v>#REF!</v>
      </c>
      <c r="L11" s="18" t="str">
        <f t="shared" si="4"/>
        <v>Sat:08:00-10:00:BEHS-2</v>
      </c>
      <c r="M11" s="18" t="e">
        <f>VLOOKUP(I11,#REF!,2,FALSE)</f>
        <v>#REF!</v>
      </c>
    </row>
    <row r="12" spans="1:13" ht="14.45" hidden="1" customHeight="1" x14ac:dyDescent="0.25">
      <c r="A12" s="18" t="str">
        <f t="shared" si="0"/>
        <v>EHS212</v>
      </c>
      <c r="B12" s="47" t="s">
        <v>781</v>
      </c>
      <c r="C12" s="47" t="s">
        <v>10</v>
      </c>
      <c r="D12" s="47" t="s">
        <v>808</v>
      </c>
      <c r="E12" s="47" t="s">
        <v>809</v>
      </c>
      <c r="F12" s="47" t="s">
        <v>810</v>
      </c>
      <c r="G12" s="49" t="e">
        <f t="shared" si="1"/>
        <v>#REF!</v>
      </c>
      <c r="H12" s="47" t="s">
        <v>1460</v>
      </c>
      <c r="I12" s="47" t="e">
        <f>VLOOKUP($E12,#REF!,3,FALSE)</f>
        <v>#REF!</v>
      </c>
      <c r="J12" s="47" t="str">
        <f t="shared" si="2"/>
        <v>Sat:08:00-10:00:MKN-18</v>
      </c>
      <c r="K12" s="18" t="e">
        <f t="shared" si="3"/>
        <v>#REF!</v>
      </c>
      <c r="L12" s="18" t="str">
        <f t="shared" si="4"/>
        <v>Sat:08:00-10:00:BEHS-3</v>
      </c>
      <c r="M12" s="18" t="e">
        <f>VLOOKUP(I12,#REF!,2,FALSE)</f>
        <v>#REF!</v>
      </c>
    </row>
    <row r="13" spans="1:13" ht="14.45" hidden="1" customHeight="1" x14ac:dyDescent="0.25">
      <c r="A13" s="18" t="str">
        <f t="shared" si="0"/>
        <v>BBA122/DBA122</v>
      </c>
      <c r="B13" s="47" t="s">
        <v>812</v>
      </c>
      <c r="C13" s="47" t="s">
        <v>47</v>
      </c>
      <c r="D13" s="47" t="s">
        <v>811</v>
      </c>
      <c r="E13" s="47" t="s">
        <v>222</v>
      </c>
      <c r="F13" s="47" t="s">
        <v>223</v>
      </c>
      <c r="G13" s="49" t="e">
        <f t="shared" si="1"/>
        <v>#REF!</v>
      </c>
      <c r="H13" s="47" t="s">
        <v>287</v>
      </c>
      <c r="I13" s="47" t="e">
        <f>VLOOKUP($E13,#REF!,3,FALSE)</f>
        <v>#REF!</v>
      </c>
      <c r="J13" s="47" t="str">
        <f t="shared" si="2"/>
        <v>Sun:10:15-12:15:KG-13</v>
      </c>
      <c r="K13" s="18" t="e">
        <f t="shared" si="3"/>
        <v>#REF!</v>
      </c>
      <c r="L13" s="18" t="str">
        <f t="shared" si="4"/>
        <v>Sun:10:15-12:15:BBA-2W</v>
      </c>
      <c r="M13" s="18" t="e">
        <f>VLOOKUP(I13,#REF!,2,FALSE)</f>
        <v>#REF!</v>
      </c>
    </row>
    <row r="14" spans="1:13" ht="14.45" hidden="1" customHeight="1" x14ac:dyDescent="0.25">
      <c r="A14" s="18" t="str">
        <f t="shared" si="0"/>
        <v>BPH321</v>
      </c>
      <c r="B14" s="47" t="s">
        <v>781</v>
      </c>
      <c r="C14" s="47" t="s">
        <v>10</v>
      </c>
      <c r="D14" s="47" t="s">
        <v>826</v>
      </c>
      <c r="E14" s="47" t="s">
        <v>374</v>
      </c>
      <c r="F14" s="47" t="s">
        <v>375</v>
      </c>
      <c r="G14" s="49" t="e">
        <f t="shared" si="1"/>
        <v>#REF!</v>
      </c>
      <c r="H14" s="47" t="s">
        <v>1459</v>
      </c>
      <c r="I14" s="47" t="e">
        <f>VLOOKUP($E14,#REF!,3,FALSE)</f>
        <v>#REF!</v>
      </c>
      <c r="J14" s="47" t="str">
        <f t="shared" si="2"/>
        <v>Sat:08:00-10:00:MKN-17</v>
      </c>
      <c r="K14" s="18" t="e">
        <f t="shared" si="3"/>
        <v>#REF!</v>
      </c>
      <c r="L14" s="18" t="str">
        <f t="shared" si="4"/>
        <v>Sat:08:00-10:00:BEHS-6</v>
      </c>
      <c r="M14" s="18" t="e">
        <f>VLOOKUP(I14,#REF!,2,FALSE)</f>
        <v>#REF!</v>
      </c>
    </row>
    <row r="15" spans="1:13" ht="14.45" hidden="1" customHeight="1" x14ac:dyDescent="0.25">
      <c r="A15" s="18" t="str">
        <f t="shared" si="0"/>
        <v>MBA726</v>
      </c>
      <c r="B15" s="47" t="s">
        <v>781</v>
      </c>
      <c r="C15" s="47" t="s">
        <v>10</v>
      </c>
      <c r="D15" s="47" t="s">
        <v>827</v>
      </c>
      <c r="E15" s="47" t="s">
        <v>828</v>
      </c>
      <c r="F15" s="47" t="s">
        <v>448</v>
      </c>
      <c r="G15" s="49" t="e">
        <f t="shared" si="1"/>
        <v>#REF!</v>
      </c>
      <c r="H15" s="47" t="s">
        <v>91</v>
      </c>
      <c r="I15" s="47" t="e">
        <f>VLOOKUP($E15,#REF!,3,FALSE)</f>
        <v>#REF!</v>
      </c>
      <c r="J15" s="47" t="str">
        <f t="shared" si="2"/>
        <v>Sat:08:00-10:00:SI-205</v>
      </c>
      <c r="K15" s="18" t="e">
        <f t="shared" si="3"/>
        <v>#REF!</v>
      </c>
      <c r="L15" s="18" t="str">
        <f t="shared" si="4"/>
        <v>Sat:08:00-10:00:MBA-2</v>
      </c>
      <c r="M15" s="18" t="e">
        <f>VLOOKUP(I15,#REF!,2,FALSE)</f>
        <v>#REF!</v>
      </c>
    </row>
    <row r="16" spans="1:13" ht="14.45" hidden="1" customHeight="1" x14ac:dyDescent="0.25">
      <c r="A16" s="18" t="str">
        <f t="shared" si="0"/>
        <v xml:space="preserve">MPM813 </v>
      </c>
      <c r="B16" s="49" t="s">
        <v>781</v>
      </c>
      <c r="C16" s="47" t="s">
        <v>47</v>
      </c>
      <c r="D16" s="49" t="s">
        <v>831</v>
      </c>
      <c r="E16" s="49" t="s">
        <v>832</v>
      </c>
      <c r="F16" s="49" t="s">
        <v>833</v>
      </c>
      <c r="G16" s="49" t="e">
        <f t="shared" si="1"/>
        <v>#REF!</v>
      </c>
      <c r="H16" s="49" t="s">
        <v>61</v>
      </c>
      <c r="I16" s="47" t="e">
        <f>VLOOKUP($E16,#REF!,3,FALSE)</f>
        <v>#REF!</v>
      </c>
      <c r="J16" s="47" t="str">
        <f t="shared" si="2"/>
        <v>Sat:10:15-12:15:SI-202</v>
      </c>
      <c r="K16" s="18" t="e">
        <f t="shared" si="3"/>
        <v>#REF!</v>
      </c>
      <c r="L16" s="18" t="str">
        <f t="shared" si="4"/>
        <v>Sat:10:15-12:15:MPM-3</v>
      </c>
      <c r="M16" s="18" t="e">
        <f>VLOOKUP(I16,#REF!,2,FALSE)</f>
        <v>#REF!</v>
      </c>
    </row>
    <row r="17" spans="1:13" ht="14.45" hidden="1" customHeight="1" x14ac:dyDescent="0.25">
      <c r="A17" s="18" t="str">
        <f t="shared" si="0"/>
        <v>MBA811</v>
      </c>
      <c r="B17" s="47" t="s">
        <v>781</v>
      </c>
      <c r="C17" s="47" t="s">
        <v>10</v>
      </c>
      <c r="D17" s="47" t="s">
        <v>789</v>
      </c>
      <c r="E17" s="47" t="s">
        <v>834</v>
      </c>
      <c r="F17" s="47" t="s">
        <v>835</v>
      </c>
      <c r="G17" s="49" t="e">
        <f t="shared" si="1"/>
        <v>#REF!</v>
      </c>
      <c r="H17" s="47" t="s">
        <v>241</v>
      </c>
      <c r="I17" s="47" t="e">
        <f>VLOOKUP($E17,#REF!,3,FALSE)</f>
        <v>#REF!</v>
      </c>
      <c r="J17" s="47" t="str">
        <f t="shared" si="2"/>
        <v>Sat:08:00-10:00:SI-212</v>
      </c>
      <c r="K17" s="18" t="e">
        <f t="shared" si="3"/>
        <v>#REF!</v>
      </c>
      <c r="L17" s="18" t="str">
        <f t="shared" si="4"/>
        <v>Sat:08:00-10:00:MBA-M</v>
      </c>
      <c r="M17" s="18" t="e">
        <f>VLOOKUP(I17,#REF!,2,FALSE)</f>
        <v>#REF!</v>
      </c>
    </row>
    <row r="18" spans="1:13" ht="14.45" hidden="1" customHeight="1" x14ac:dyDescent="0.25">
      <c r="A18" s="18" t="str">
        <f t="shared" si="0"/>
        <v>MPH722</v>
      </c>
      <c r="B18" s="47" t="s">
        <v>781</v>
      </c>
      <c r="C18" s="47" t="s">
        <v>96</v>
      </c>
      <c r="D18" s="47" t="s">
        <v>890</v>
      </c>
      <c r="E18" s="47" t="s">
        <v>836</v>
      </c>
      <c r="F18" s="47" t="s">
        <v>837</v>
      </c>
      <c r="G18" s="49" t="e">
        <f t="shared" si="1"/>
        <v>#REF!</v>
      </c>
      <c r="H18" s="47" t="s">
        <v>983</v>
      </c>
      <c r="I18" s="47" t="e">
        <f>VLOOKUP($E18,#REF!,3,FALSE)</f>
        <v>#REF!</v>
      </c>
      <c r="J18" s="47" t="str">
        <f t="shared" si="2"/>
        <v>Sat:12:30-02:30:Online</v>
      </c>
      <c r="K18" s="18" t="e">
        <f t="shared" si="3"/>
        <v>#REF!</v>
      </c>
      <c r="L18" s="18" t="str">
        <f t="shared" si="4"/>
        <v>Sat:12:30-02:30:MPH-1</v>
      </c>
      <c r="M18" s="18" t="e">
        <f>VLOOKUP(I18,#REF!,2,FALSE)</f>
        <v>#REF!</v>
      </c>
    </row>
    <row r="19" spans="1:13" ht="14.45" hidden="1" customHeight="1" x14ac:dyDescent="0.25">
      <c r="A19" s="18" t="str">
        <f t="shared" si="0"/>
        <v>RSC001-BA</v>
      </c>
      <c r="B19" s="47" t="s">
        <v>781</v>
      </c>
      <c r="C19" s="47" t="s">
        <v>47</v>
      </c>
      <c r="D19" s="47" t="s">
        <v>919</v>
      </c>
      <c r="E19" s="47" t="s">
        <v>3923</v>
      </c>
      <c r="F19" s="47" t="s">
        <v>646</v>
      </c>
      <c r="G19" s="49" t="e">
        <f t="shared" si="1"/>
        <v>#REF!</v>
      </c>
      <c r="H19" s="47" t="s">
        <v>55</v>
      </c>
      <c r="I19" s="47" t="e">
        <f>VLOOKUP($E19,#REF!,3,FALSE)</f>
        <v>#REF!</v>
      </c>
      <c r="J19" s="47" t="str">
        <f t="shared" si="2"/>
        <v>Sat:10:15-12:15:KG-7</v>
      </c>
      <c r="K19" s="18" t="e">
        <f t="shared" si="3"/>
        <v>#REF!</v>
      </c>
      <c r="L19" s="18" t="str">
        <f t="shared" si="4"/>
        <v>Sat:10:15-12:15:BBA-4W</v>
      </c>
      <c r="M19" s="18" t="e">
        <f>VLOOKUP(I19,#REF!,2,FALSE)</f>
        <v>#REF!</v>
      </c>
    </row>
    <row r="20" spans="1:13" ht="14.45" hidden="1" customHeight="1" x14ac:dyDescent="0.25">
      <c r="A20" s="18" t="str">
        <f t="shared" si="0"/>
        <v>MED714</v>
      </c>
      <c r="B20" s="47" t="s">
        <v>781</v>
      </c>
      <c r="C20" s="47" t="s">
        <v>47</v>
      </c>
      <c r="D20" s="47" t="s">
        <v>839</v>
      </c>
      <c r="E20" s="47" t="s">
        <v>840</v>
      </c>
      <c r="F20" s="47" t="s">
        <v>841</v>
      </c>
      <c r="G20" s="49" t="e">
        <f t="shared" si="1"/>
        <v>#REF!</v>
      </c>
      <c r="H20" s="47" t="s">
        <v>983</v>
      </c>
      <c r="I20" s="47" t="e">
        <f>VLOOKUP($E20,#REF!,3,FALSE)</f>
        <v>#REF!</v>
      </c>
      <c r="J20" s="47" t="str">
        <f t="shared" si="2"/>
        <v>Sat:10:15-12:15:Online</v>
      </c>
      <c r="K20" s="18" t="e">
        <f t="shared" si="3"/>
        <v>#REF!</v>
      </c>
      <c r="L20" s="18" t="str">
        <f t="shared" si="4"/>
        <v>Sat:10:15-12:15:MED-1</v>
      </c>
      <c r="M20" s="18" t="e">
        <f>VLOOKUP(I20,#REF!,2,FALSE)</f>
        <v>#REF!</v>
      </c>
    </row>
    <row r="21" spans="1:13" ht="14.45" hidden="1" customHeight="1" x14ac:dyDescent="0.25">
      <c r="A21" s="18" t="str">
        <f t="shared" si="0"/>
        <v>MHR814</v>
      </c>
      <c r="B21" s="47" t="s">
        <v>781</v>
      </c>
      <c r="C21" s="47" t="s">
        <v>47</v>
      </c>
      <c r="D21" s="47" t="s">
        <v>842</v>
      </c>
      <c r="E21" s="47" t="s">
        <v>843</v>
      </c>
      <c r="F21" s="47" t="s">
        <v>844</v>
      </c>
      <c r="G21" s="49" t="e">
        <f t="shared" si="1"/>
        <v>#REF!</v>
      </c>
      <c r="H21" s="47" t="s">
        <v>267</v>
      </c>
      <c r="I21" s="47" t="e">
        <f>VLOOKUP($E21,#REF!,3,FALSE)</f>
        <v>#REF!</v>
      </c>
      <c r="J21" s="47" t="str">
        <f t="shared" si="2"/>
        <v>Sat:10:15-12:15:SI-012</v>
      </c>
      <c r="K21" s="18" t="e">
        <f t="shared" si="3"/>
        <v>#REF!</v>
      </c>
      <c r="L21" s="18" t="str">
        <f t="shared" si="4"/>
        <v>Sat:10:15-12:15:MBA-HRM,MED-3</v>
      </c>
      <c r="M21" s="18" t="e">
        <f>VLOOKUP(I21,#REF!,2,FALSE)</f>
        <v>#REF!</v>
      </c>
    </row>
    <row r="22" spans="1:13" ht="14.45" hidden="1" customHeight="1" x14ac:dyDescent="0.25">
      <c r="A22" s="18" t="str">
        <f t="shared" si="0"/>
        <v>BBA116/DBA116</v>
      </c>
      <c r="B22" s="47" t="s">
        <v>781</v>
      </c>
      <c r="C22" s="47" t="s">
        <v>47</v>
      </c>
      <c r="D22" s="47" t="s">
        <v>784</v>
      </c>
      <c r="E22" s="47" t="s">
        <v>192</v>
      </c>
      <c r="F22" s="47" t="s">
        <v>193</v>
      </c>
      <c r="G22" s="49" t="e">
        <f t="shared" si="1"/>
        <v>#REF!</v>
      </c>
      <c r="H22" s="47" t="s">
        <v>20</v>
      </c>
      <c r="I22" s="47" t="e">
        <f>VLOOKUP($E22,#REF!,3,FALSE)</f>
        <v>#REF!</v>
      </c>
      <c r="J22" s="47" t="str">
        <f t="shared" si="2"/>
        <v>Sat:10:15-12:15:KG-15</v>
      </c>
      <c r="K22" s="18" t="e">
        <f t="shared" si="3"/>
        <v>#REF!</v>
      </c>
      <c r="L22" s="18" t="str">
        <f t="shared" si="4"/>
        <v>Sat:10:15-12:15:BBA-1W</v>
      </c>
      <c r="M22" s="18" t="e">
        <f>VLOOKUP(I22,#REF!,2,FALSE)</f>
        <v>#REF!</v>
      </c>
    </row>
    <row r="23" spans="1:13" ht="14.45" hidden="1" customHeight="1" x14ac:dyDescent="0.25">
      <c r="A23" s="18" t="str">
        <f t="shared" si="0"/>
        <v>BPH211</v>
      </c>
      <c r="B23" s="47" t="s">
        <v>781</v>
      </c>
      <c r="C23" s="47" t="s">
        <v>47</v>
      </c>
      <c r="D23" s="47" t="s">
        <v>808</v>
      </c>
      <c r="E23" s="47" t="s">
        <v>761</v>
      </c>
      <c r="F23" s="47" t="s">
        <v>762</v>
      </c>
      <c r="G23" s="49" t="e">
        <f t="shared" si="1"/>
        <v>#REF!</v>
      </c>
      <c r="H23" s="47" t="s">
        <v>1458</v>
      </c>
      <c r="I23" s="47" t="e">
        <f>VLOOKUP($E23,#REF!,3,FALSE)</f>
        <v>#REF!</v>
      </c>
      <c r="J23" s="47" t="str">
        <f t="shared" si="2"/>
        <v>Sat:10:15-12:15:MKN-16</v>
      </c>
      <c r="K23" s="18" t="e">
        <f t="shared" si="3"/>
        <v>#REF!</v>
      </c>
      <c r="L23" s="18" t="str">
        <f t="shared" si="4"/>
        <v>Sat:10:15-12:15:BEHS-3</v>
      </c>
      <c r="M23" s="18" t="e">
        <f>VLOOKUP(I23,#REF!,2,FALSE)</f>
        <v>#REF!</v>
      </c>
    </row>
    <row r="24" spans="1:13" ht="14.45" hidden="1" customHeight="1" x14ac:dyDescent="0.25">
      <c r="A24" s="18" t="str">
        <f t="shared" si="0"/>
        <v>MBF817</v>
      </c>
      <c r="B24" s="47" t="s">
        <v>781</v>
      </c>
      <c r="C24" s="47" t="s">
        <v>96</v>
      </c>
      <c r="D24" s="47" t="s">
        <v>847</v>
      </c>
      <c r="E24" s="47" t="s">
        <v>848</v>
      </c>
      <c r="F24" s="47" t="s">
        <v>849</v>
      </c>
      <c r="G24" s="49" t="e">
        <f t="shared" si="1"/>
        <v>#REF!</v>
      </c>
      <c r="H24" s="47" t="s">
        <v>33</v>
      </c>
      <c r="I24" s="47" t="e">
        <f>VLOOKUP($E24,#REF!,3,FALSE)</f>
        <v>#REF!</v>
      </c>
      <c r="J24" s="47" t="str">
        <f t="shared" si="2"/>
        <v>Sat:12:30-02:30:SI-214</v>
      </c>
      <c r="K24" s="18" t="e">
        <f t="shared" si="3"/>
        <v>#REF!</v>
      </c>
      <c r="L24" s="18" t="str">
        <f t="shared" si="4"/>
        <v>Sat:12:30-02:30:MBA-AF</v>
      </c>
      <c r="M24" s="18" t="e">
        <f>VLOOKUP(I24,#REF!,2,FALSE)</f>
        <v>#REF!</v>
      </c>
    </row>
    <row r="25" spans="1:13" ht="14.45" hidden="1" customHeight="1" x14ac:dyDescent="0.25">
      <c r="A25" s="18" t="str">
        <f t="shared" si="0"/>
        <v>MED722</v>
      </c>
      <c r="B25" s="47" t="s">
        <v>781</v>
      </c>
      <c r="C25" s="47" t="s">
        <v>10</v>
      </c>
      <c r="D25" s="47" t="s">
        <v>850</v>
      </c>
      <c r="E25" s="47" t="s">
        <v>851</v>
      </c>
      <c r="F25" s="47" t="s">
        <v>852</v>
      </c>
      <c r="G25" s="49" t="e">
        <f t="shared" si="1"/>
        <v>#REF!</v>
      </c>
      <c r="H25" s="47" t="s">
        <v>983</v>
      </c>
      <c r="I25" s="47" t="e">
        <f>VLOOKUP($E25,#REF!,3,FALSE)</f>
        <v>#REF!</v>
      </c>
      <c r="J25" s="47" t="str">
        <f t="shared" si="2"/>
        <v>Sat:08:00-10:00:Online</v>
      </c>
      <c r="K25" s="18" t="e">
        <f t="shared" si="3"/>
        <v>#REF!</v>
      </c>
      <c r="L25" s="18" t="str">
        <f t="shared" si="4"/>
        <v>Sat:08:00-10:00:MED-2</v>
      </c>
      <c r="M25" s="18" t="e">
        <f>VLOOKUP(I25,#REF!,2,FALSE)</f>
        <v>#REF!</v>
      </c>
    </row>
    <row r="26" spans="1:13" ht="14.45" hidden="1" customHeight="1" x14ac:dyDescent="0.25">
      <c r="A26" s="18" t="str">
        <f t="shared" si="0"/>
        <v>MSS714</v>
      </c>
      <c r="B26" s="47" t="s">
        <v>781</v>
      </c>
      <c r="C26" s="47" t="s">
        <v>47</v>
      </c>
      <c r="D26" s="47" t="s">
        <v>855</v>
      </c>
      <c r="E26" s="47" t="s">
        <v>856</v>
      </c>
      <c r="F26" s="47" t="s">
        <v>857</v>
      </c>
      <c r="G26" s="49" t="e">
        <f t="shared" si="1"/>
        <v>#REF!</v>
      </c>
      <c r="H26" s="47" t="s">
        <v>79</v>
      </c>
      <c r="I26" s="47" t="e">
        <f>VLOOKUP($E26,#REF!,3,FALSE)</f>
        <v>#REF!</v>
      </c>
      <c r="J26" s="47" t="str">
        <f t="shared" si="2"/>
        <v>Sat:10:15-12:15:KG-11</v>
      </c>
      <c r="K26" s="18" t="e">
        <f t="shared" si="3"/>
        <v>#REF!</v>
      </c>
      <c r="L26" s="18" t="str">
        <f t="shared" si="4"/>
        <v>Sat:10:15-12:15:MSS-1</v>
      </c>
      <c r="M26" s="18" t="e">
        <f>VLOOKUP(I26,#REF!,2,FALSE)</f>
        <v>#REF!</v>
      </c>
    </row>
    <row r="27" spans="1:13" ht="14.45" hidden="1" customHeight="1" x14ac:dyDescent="0.25">
      <c r="A27" s="18" t="str">
        <f t="shared" si="0"/>
        <v>MBF811</v>
      </c>
      <c r="B27" s="47" t="s">
        <v>781</v>
      </c>
      <c r="C27" s="47" t="s">
        <v>47</v>
      </c>
      <c r="D27" s="47" t="s">
        <v>847</v>
      </c>
      <c r="E27" s="47" t="s">
        <v>861</v>
      </c>
      <c r="F27" s="47" t="s">
        <v>862</v>
      </c>
      <c r="G27" s="49" t="e">
        <f t="shared" si="1"/>
        <v>#REF!</v>
      </c>
      <c r="H27" s="47" t="s">
        <v>91</v>
      </c>
      <c r="I27" s="47" t="e">
        <f>VLOOKUP($E27,#REF!,3,FALSE)</f>
        <v>#REF!</v>
      </c>
      <c r="J27" s="47" t="str">
        <f t="shared" si="2"/>
        <v>Sat:10:15-12:15:SI-205</v>
      </c>
      <c r="K27" s="18" t="e">
        <f t="shared" si="3"/>
        <v>#REF!</v>
      </c>
      <c r="L27" s="18" t="str">
        <f t="shared" si="4"/>
        <v>Sat:10:15-12:15:MBA-AF</v>
      </c>
      <c r="M27" s="18" t="e">
        <f>VLOOKUP(I27,#REF!,2,FALSE)</f>
        <v>#REF!</v>
      </c>
    </row>
    <row r="28" spans="1:13" ht="14.45" hidden="1" customHeight="1" x14ac:dyDescent="0.25">
      <c r="A28" s="18" t="str">
        <f t="shared" si="0"/>
        <v>MBA711/MPM715</v>
      </c>
      <c r="B28" s="47" t="s">
        <v>781</v>
      </c>
      <c r="C28" s="47" t="s">
        <v>47</v>
      </c>
      <c r="D28" s="47" t="s">
        <v>863</v>
      </c>
      <c r="E28" s="47" t="s">
        <v>864</v>
      </c>
      <c r="F28" s="47" t="s">
        <v>865</v>
      </c>
      <c r="G28" s="49" t="e">
        <f t="shared" si="1"/>
        <v>#REF!</v>
      </c>
      <c r="H28" s="47" t="s">
        <v>3227</v>
      </c>
      <c r="I28" s="47" t="e">
        <f>VLOOKUP($E28,#REF!,3,FALSE)</f>
        <v>#REF!</v>
      </c>
      <c r="J28" s="47" t="str">
        <f t="shared" si="2"/>
        <v>Sat:10:15-12:15:SI-B01 |Online</v>
      </c>
      <c r="K28" s="18" t="e">
        <f t="shared" si="3"/>
        <v>#REF!</v>
      </c>
      <c r="L28" s="18" t="str">
        <f t="shared" si="4"/>
        <v>Sat:10:15-12:15:MPH-1,MBA-1,MPM-1</v>
      </c>
      <c r="M28" s="18" t="e">
        <f>VLOOKUP(I28,#REF!,2,FALSE)</f>
        <v>#REF!</v>
      </c>
    </row>
    <row r="29" spans="1:13" ht="14.45" hidden="1" customHeight="1" x14ac:dyDescent="0.25">
      <c r="A29" s="18" t="str">
        <f t="shared" si="0"/>
        <v>EHS321</v>
      </c>
      <c r="B29" s="47" t="s">
        <v>781</v>
      </c>
      <c r="C29" s="47" t="s">
        <v>47</v>
      </c>
      <c r="D29" s="47" t="s">
        <v>826</v>
      </c>
      <c r="E29" s="47" t="s">
        <v>866</v>
      </c>
      <c r="F29" s="47" t="s">
        <v>867</v>
      </c>
      <c r="G29" s="49" t="e">
        <f t="shared" si="1"/>
        <v>#REF!</v>
      </c>
      <c r="H29" s="47" t="s">
        <v>1459</v>
      </c>
      <c r="I29" s="47" t="e">
        <f>VLOOKUP($E29,#REF!,3,FALSE)</f>
        <v>#REF!</v>
      </c>
      <c r="J29" s="47" t="str">
        <f t="shared" si="2"/>
        <v>Sat:10:15-12:15:MKN-17</v>
      </c>
      <c r="K29" s="18" t="e">
        <f t="shared" si="3"/>
        <v>#REF!</v>
      </c>
      <c r="L29" s="18" t="str">
        <f t="shared" si="4"/>
        <v>Sat:10:15-12:15:BEHS-6</v>
      </c>
      <c r="M29" s="18" t="e">
        <f>VLOOKUP(I29,#REF!,2,FALSE)</f>
        <v>#REF!</v>
      </c>
    </row>
    <row r="30" spans="1:13" ht="14.45" hidden="1" customHeight="1" x14ac:dyDescent="0.25">
      <c r="A30" s="18" t="str">
        <f t="shared" si="0"/>
        <v>BPH311</v>
      </c>
      <c r="B30" s="47" t="s">
        <v>781</v>
      </c>
      <c r="C30" s="47" t="s">
        <v>47</v>
      </c>
      <c r="D30" s="47" t="s">
        <v>786</v>
      </c>
      <c r="E30" s="47" t="s">
        <v>561</v>
      </c>
      <c r="F30" s="47" t="s">
        <v>562</v>
      </c>
      <c r="G30" s="49" t="e">
        <f t="shared" si="1"/>
        <v>#REF!</v>
      </c>
      <c r="H30" s="47" t="s">
        <v>1460</v>
      </c>
      <c r="I30" s="47" t="e">
        <f>VLOOKUP($E30,#REF!,3,FALSE)</f>
        <v>#REF!</v>
      </c>
      <c r="J30" s="47" t="str">
        <f t="shared" si="2"/>
        <v>Sat:10:15-12:15:MKN-18</v>
      </c>
      <c r="K30" s="18" t="e">
        <f t="shared" si="3"/>
        <v>#REF!</v>
      </c>
      <c r="L30" s="18" t="str">
        <f t="shared" si="4"/>
        <v>Sat:10:15-12:15:BEHS-5</v>
      </c>
      <c r="M30" s="18" t="e">
        <f>VLOOKUP(I30,#REF!,2,FALSE)</f>
        <v>#REF!</v>
      </c>
    </row>
    <row r="31" spans="1:13" ht="14.45" hidden="1" customHeight="1" x14ac:dyDescent="0.25">
      <c r="A31" s="18" t="str">
        <f t="shared" si="0"/>
        <v>MSC720</v>
      </c>
      <c r="B31" s="47" t="s">
        <v>781</v>
      </c>
      <c r="C31" s="47" t="s">
        <v>10</v>
      </c>
      <c r="D31" s="47" t="s">
        <v>868</v>
      </c>
      <c r="E31" s="47" t="s">
        <v>869</v>
      </c>
      <c r="F31" s="47" t="s">
        <v>870</v>
      </c>
      <c r="G31" s="49" t="e">
        <f t="shared" si="1"/>
        <v>#REF!</v>
      </c>
      <c r="H31" s="47" t="s">
        <v>70</v>
      </c>
      <c r="I31" s="47" t="e">
        <f>VLOOKUP($E31,#REF!,3,FALSE)</f>
        <v>#REF!</v>
      </c>
      <c r="J31" s="47" t="str">
        <f t="shared" si="2"/>
        <v>Sat:08:00-10:00:SI-011</v>
      </c>
      <c r="K31" s="18" t="e">
        <f t="shared" si="3"/>
        <v>#REF!</v>
      </c>
      <c r="L31" s="18" t="str">
        <f t="shared" si="4"/>
        <v>Sat:08:00-10:00:MBA-PS</v>
      </c>
      <c r="M31" s="18" t="e">
        <f>VLOOKUP(I31,#REF!,2,FALSE)</f>
        <v>#REF!</v>
      </c>
    </row>
    <row r="32" spans="1:13" ht="14.45" hidden="1" customHeight="1" x14ac:dyDescent="0.25">
      <c r="A32" s="18" t="str">
        <f t="shared" si="0"/>
        <v>BBA124/DBA124</v>
      </c>
      <c r="B32" s="47" t="s">
        <v>781</v>
      </c>
      <c r="C32" s="53" t="s">
        <v>47</v>
      </c>
      <c r="D32" s="47" t="s">
        <v>811</v>
      </c>
      <c r="E32" s="47" t="s">
        <v>729</v>
      </c>
      <c r="F32" s="47" t="s">
        <v>730</v>
      </c>
      <c r="G32" s="49" t="e">
        <f t="shared" si="1"/>
        <v>#REF!</v>
      </c>
      <c r="H32" s="47" t="s">
        <v>237</v>
      </c>
      <c r="I32" s="47" t="e">
        <f>VLOOKUP($E32,#REF!,3,FALSE)</f>
        <v>#REF!</v>
      </c>
      <c r="J32" s="47" t="str">
        <f t="shared" si="2"/>
        <v>Sat:10:15-12:15:KG-14</v>
      </c>
      <c r="K32" s="18" t="e">
        <f t="shared" si="3"/>
        <v>#REF!</v>
      </c>
      <c r="L32" s="18" t="str">
        <f t="shared" si="4"/>
        <v>Sat:10:15-12:15:BBA-2W</v>
      </c>
      <c r="M32" s="18" t="e">
        <f>VLOOKUP(I32,#REF!,2,FALSE)</f>
        <v>#REF!</v>
      </c>
    </row>
    <row r="33" spans="1:13" ht="14.45" hidden="1" customHeight="1" x14ac:dyDescent="0.25">
      <c r="A33" s="18" t="str">
        <f t="shared" si="0"/>
        <v>BBA215/DBA215</v>
      </c>
      <c r="B33" s="47" t="s">
        <v>781</v>
      </c>
      <c r="C33" s="47" t="s">
        <v>47</v>
      </c>
      <c r="D33" s="47" t="s">
        <v>785</v>
      </c>
      <c r="E33" s="47" t="s">
        <v>739</v>
      </c>
      <c r="F33" s="47" t="s">
        <v>740</v>
      </c>
      <c r="G33" s="49" t="e">
        <f t="shared" si="1"/>
        <v>#REF!</v>
      </c>
      <c r="H33" s="47" t="s">
        <v>287</v>
      </c>
      <c r="I33" s="47" t="e">
        <f>VLOOKUP($E33,#REF!,3,FALSE)</f>
        <v>#REF!</v>
      </c>
      <c r="J33" s="47" t="str">
        <f t="shared" si="2"/>
        <v>Sat:10:15-12:15:KG-13</v>
      </c>
      <c r="K33" s="18" t="e">
        <f t="shared" si="3"/>
        <v>#REF!</v>
      </c>
      <c r="L33" s="18" t="str">
        <f t="shared" si="4"/>
        <v>Sat:10:15-12:15:BBA-3W</v>
      </c>
      <c r="M33" s="18" t="e">
        <f>VLOOKUP(I33,#REF!,2,FALSE)</f>
        <v>#REF!</v>
      </c>
    </row>
    <row r="34" spans="1:13" ht="14.45" hidden="1" customHeight="1" x14ac:dyDescent="0.25">
      <c r="A34" s="18" t="str">
        <f t="shared" si="0"/>
        <v>MPM721</v>
      </c>
      <c r="B34" s="49" t="s">
        <v>812</v>
      </c>
      <c r="C34" s="49" t="s">
        <v>10</v>
      </c>
      <c r="D34" s="49" t="s">
        <v>871</v>
      </c>
      <c r="E34" s="49" t="s">
        <v>872</v>
      </c>
      <c r="F34" s="49" t="s">
        <v>873</v>
      </c>
      <c r="G34" s="49" t="e">
        <f t="shared" si="1"/>
        <v>#REF!</v>
      </c>
      <c r="H34" s="49" t="s">
        <v>70</v>
      </c>
      <c r="I34" s="47" t="e">
        <f>VLOOKUP($E34,#REF!,3,FALSE)</f>
        <v>#REF!</v>
      </c>
      <c r="J34" s="47" t="str">
        <f t="shared" si="2"/>
        <v>Sun:08:00-10:00:SI-011</v>
      </c>
      <c r="K34" s="18" t="e">
        <f t="shared" si="3"/>
        <v>#REF!</v>
      </c>
      <c r="L34" s="18" t="str">
        <f t="shared" si="4"/>
        <v>Sun:08:00-10:00:MPM-2</v>
      </c>
      <c r="M34" s="18" t="e">
        <f>VLOOKUP(I34,#REF!,2,FALSE)</f>
        <v>#REF!</v>
      </c>
    </row>
    <row r="35" spans="1:13" ht="14.45" hidden="1" customHeight="1" x14ac:dyDescent="0.25">
      <c r="A35" s="18" t="str">
        <f t="shared" si="0"/>
        <v>BAC314</v>
      </c>
      <c r="B35" s="47" t="s">
        <v>781</v>
      </c>
      <c r="C35" s="47" t="s">
        <v>47</v>
      </c>
      <c r="D35" s="47" t="s">
        <v>535</v>
      </c>
      <c r="E35" s="47" t="s">
        <v>661</v>
      </c>
      <c r="F35" s="47" t="s">
        <v>662</v>
      </c>
      <c r="G35" s="49" t="e">
        <f t="shared" si="1"/>
        <v>#REF!</v>
      </c>
      <c r="H35" s="47" t="s">
        <v>87</v>
      </c>
      <c r="I35" s="47" t="e">
        <f>VLOOKUP($E35,#REF!,3,FALSE)</f>
        <v>#REF!</v>
      </c>
      <c r="J35" s="47" t="str">
        <f t="shared" si="2"/>
        <v>Sat:10:15-12:15:KG-6</v>
      </c>
      <c r="K35" s="18" t="e">
        <f t="shared" si="3"/>
        <v>#REF!</v>
      </c>
      <c r="L35" s="18" t="str">
        <f t="shared" si="4"/>
        <v>Sat:10:15-12:15:BBA-AF-5</v>
      </c>
      <c r="M35" s="18" t="e">
        <f>VLOOKUP(I35,#REF!,2,FALSE)</f>
        <v>#REF!</v>
      </c>
    </row>
    <row r="36" spans="1:13" ht="14.45" hidden="1" customHeight="1" x14ac:dyDescent="0.25">
      <c r="A36" s="18" t="str">
        <f t="shared" si="0"/>
        <v>MED723</v>
      </c>
      <c r="B36" s="47" t="s">
        <v>781</v>
      </c>
      <c r="C36" s="47" t="s">
        <v>96</v>
      </c>
      <c r="D36" s="47" t="s">
        <v>850</v>
      </c>
      <c r="E36" s="47" t="s">
        <v>876</v>
      </c>
      <c r="F36" s="47" t="s">
        <v>877</v>
      </c>
      <c r="G36" s="49" t="e">
        <f t="shared" si="1"/>
        <v>#REF!</v>
      </c>
      <c r="H36" s="47" t="s">
        <v>983</v>
      </c>
      <c r="I36" s="47" t="e">
        <f>VLOOKUP($E36,#REF!,3,FALSE)</f>
        <v>#REF!</v>
      </c>
      <c r="J36" s="47" t="str">
        <f t="shared" si="2"/>
        <v>Sat:12:30-02:30:Online</v>
      </c>
      <c r="K36" s="18" t="e">
        <f t="shared" si="3"/>
        <v>#REF!</v>
      </c>
      <c r="L36" s="18" t="str">
        <f t="shared" si="4"/>
        <v>Sat:12:30-02:30:MED-2</v>
      </c>
      <c r="M36" s="18" t="e">
        <f>VLOOKUP(I36,#REF!,2,FALSE)</f>
        <v>#REF!</v>
      </c>
    </row>
    <row r="37" spans="1:13" ht="14.45" hidden="1" customHeight="1" x14ac:dyDescent="0.25">
      <c r="A37" s="18" t="str">
        <f t="shared" si="0"/>
        <v>MPH813</v>
      </c>
      <c r="B37" s="47" t="s">
        <v>781</v>
      </c>
      <c r="C37" s="47" t="s">
        <v>96</v>
      </c>
      <c r="D37" s="47" t="s">
        <v>880</v>
      </c>
      <c r="E37" s="47" t="s">
        <v>881</v>
      </c>
      <c r="F37" s="47" t="s">
        <v>882</v>
      </c>
      <c r="G37" s="49" t="e">
        <f t="shared" si="1"/>
        <v>#REF!</v>
      </c>
      <c r="H37" s="47" t="s">
        <v>1459</v>
      </c>
      <c r="I37" s="47" t="e">
        <f>VLOOKUP($E37,#REF!,3,FALSE)</f>
        <v>#REF!</v>
      </c>
      <c r="J37" s="47" t="str">
        <f t="shared" si="2"/>
        <v>Sat:12:30-02:30:MKN-17</v>
      </c>
      <c r="K37" s="18" t="e">
        <f t="shared" si="3"/>
        <v>#REF!</v>
      </c>
      <c r="L37" s="18" t="str">
        <f t="shared" si="4"/>
        <v>Sat:12:30-02:30:MPH-3</v>
      </c>
      <c r="M37" s="18" t="e">
        <f>VLOOKUP(I37,#REF!,2,FALSE)</f>
        <v>#REF!</v>
      </c>
    </row>
    <row r="38" spans="1:13" ht="14.45" hidden="1" customHeight="1" x14ac:dyDescent="0.25">
      <c r="A38" s="18" t="str">
        <f t="shared" si="0"/>
        <v>MBA725</v>
      </c>
      <c r="B38" s="47" t="s">
        <v>781</v>
      </c>
      <c r="C38" s="47" t="s">
        <v>96</v>
      </c>
      <c r="D38" s="47" t="s">
        <v>883</v>
      </c>
      <c r="E38" s="47" t="s">
        <v>884</v>
      </c>
      <c r="F38" s="47" t="s">
        <v>885</v>
      </c>
      <c r="G38" s="49" t="e">
        <f t="shared" si="1"/>
        <v>#REF!</v>
      </c>
      <c r="H38" s="47" t="s">
        <v>46</v>
      </c>
      <c r="I38" s="47" t="e">
        <f>VLOOKUP($E38,#REF!,3,FALSE)</f>
        <v>#REF!</v>
      </c>
      <c r="J38" s="47" t="str">
        <f t="shared" si="2"/>
        <v>Sat:12:30-02:30:SI-B01</v>
      </c>
      <c r="K38" s="18" t="e">
        <f t="shared" si="3"/>
        <v>#REF!</v>
      </c>
      <c r="L38" s="18" t="str">
        <f t="shared" si="4"/>
        <v>Sat:12:30-02:30:MBA-1</v>
      </c>
      <c r="M38" s="18" t="e">
        <f>VLOOKUP(I38,#REF!,2,FALSE)</f>
        <v>#REF!</v>
      </c>
    </row>
    <row r="39" spans="1:13" ht="14.45" hidden="1" customHeight="1" x14ac:dyDescent="0.25">
      <c r="A39" s="18" t="str">
        <f t="shared" si="0"/>
        <v>MPH715</v>
      </c>
      <c r="B39" s="47" t="s">
        <v>781</v>
      </c>
      <c r="C39" s="47" t="s">
        <v>10</v>
      </c>
      <c r="D39" s="47" t="s">
        <v>890</v>
      </c>
      <c r="E39" s="47" t="s">
        <v>891</v>
      </c>
      <c r="F39" s="47" t="s">
        <v>892</v>
      </c>
      <c r="G39" s="49" t="e">
        <f t="shared" si="1"/>
        <v>#REF!</v>
      </c>
      <c r="H39" s="47" t="s">
        <v>3163</v>
      </c>
      <c r="I39" s="47" t="e">
        <f>VLOOKUP($E39,#REF!,3,FALSE)</f>
        <v>#REF!</v>
      </c>
      <c r="J39" s="47" t="str">
        <f t="shared" si="2"/>
        <v>Sat:08:00-10:00:MKN-09</v>
      </c>
      <c r="K39" s="18" t="e">
        <f t="shared" si="3"/>
        <v>#REF!</v>
      </c>
      <c r="L39" s="18" t="str">
        <f t="shared" si="4"/>
        <v>Sat:08:00-10:00:MPH-1</v>
      </c>
      <c r="M39" s="18" t="e">
        <f>VLOOKUP(I39,#REF!,2,FALSE)</f>
        <v>#REF!</v>
      </c>
    </row>
    <row r="40" spans="1:13" ht="14.45" hidden="1" customHeight="1" x14ac:dyDescent="0.25">
      <c r="A40" s="18" t="str">
        <f t="shared" si="0"/>
        <v>MIR714</v>
      </c>
      <c r="B40" s="47" t="s">
        <v>781</v>
      </c>
      <c r="C40" s="47" t="s">
        <v>96</v>
      </c>
      <c r="D40" s="47" t="s">
        <v>908</v>
      </c>
      <c r="E40" s="47" t="s">
        <v>900</v>
      </c>
      <c r="F40" s="47" t="s">
        <v>901</v>
      </c>
      <c r="G40" s="49" t="e">
        <f t="shared" si="1"/>
        <v>#REF!</v>
      </c>
      <c r="H40" s="47" t="s">
        <v>287</v>
      </c>
      <c r="I40" s="47" t="e">
        <f>VLOOKUP($E40,#REF!,3,FALSE)</f>
        <v>#REF!</v>
      </c>
      <c r="J40" s="47" t="str">
        <f t="shared" si="2"/>
        <v>Sat:12:30-02:30:KG-13</v>
      </c>
      <c r="K40" s="18" t="e">
        <f t="shared" si="3"/>
        <v>#REF!</v>
      </c>
      <c r="L40" s="18" t="str">
        <f t="shared" si="4"/>
        <v>Sat:12:30-02:30:MIRDS-1</v>
      </c>
      <c r="M40" s="18" t="e">
        <f>VLOOKUP(I40,#REF!,2,FALSE)</f>
        <v>#REF!</v>
      </c>
    </row>
    <row r="41" spans="1:13" ht="14.45" hidden="1" customHeight="1" x14ac:dyDescent="0.25">
      <c r="A41" s="18" t="str">
        <f t="shared" si="0"/>
        <v>MIR812</v>
      </c>
      <c r="B41" s="47" t="s">
        <v>781</v>
      </c>
      <c r="C41" s="47" t="s">
        <v>47</v>
      </c>
      <c r="D41" s="47" t="s">
        <v>858</v>
      </c>
      <c r="E41" s="47" t="s">
        <v>902</v>
      </c>
      <c r="F41" s="47" t="s">
        <v>903</v>
      </c>
      <c r="G41" s="49" t="e">
        <f t="shared" si="1"/>
        <v>#REF!</v>
      </c>
      <c r="H41" s="47" t="s">
        <v>287</v>
      </c>
      <c r="I41" s="47" t="e">
        <f>VLOOKUP($E41,#REF!,3,FALSE)</f>
        <v>#REF!</v>
      </c>
      <c r="J41" s="47" t="str">
        <f t="shared" si="2"/>
        <v>Sat:10:15-12:15:KG-13</v>
      </c>
      <c r="K41" s="18" t="e">
        <f t="shared" si="3"/>
        <v>#REF!</v>
      </c>
      <c r="L41" s="18" t="str">
        <f t="shared" si="4"/>
        <v>Sat:10:15-12:15:MIRDS-3</v>
      </c>
      <c r="M41" s="18" t="e">
        <f>VLOOKUP(I41,#REF!,2,FALSE)</f>
        <v>#REF!</v>
      </c>
    </row>
    <row r="42" spans="1:13" ht="14.45" hidden="1" customHeight="1" x14ac:dyDescent="0.25">
      <c r="A42" s="18" t="str">
        <f t="shared" si="0"/>
        <v>MIR724</v>
      </c>
      <c r="B42" s="47" t="s">
        <v>781</v>
      </c>
      <c r="C42" s="47" t="s">
        <v>47</v>
      </c>
      <c r="D42" s="47" t="s">
        <v>904</v>
      </c>
      <c r="E42" s="47" t="s">
        <v>905</v>
      </c>
      <c r="F42" s="47" t="s">
        <v>726</v>
      </c>
      <c r="G42" s="49" t="e">
        <f t="shared" si="1"/>
        <v>#REF!</v>
      </c>
      <c r="H42" s="47" t="s">
        <v>287</v>
      </c>
      <c r="I42" s="47" t="e">
        <f>VLOOKUP($E42,#REF!,3,FALSE)</f>
        <v>#REF!</v>
      </c>
      <c r="J42" s="47" t="str">
        <f t="shared" si="2"/>
        <v>Sat:10:15-12:15:KG-13</v>
      </c>
      <c r="K42" s="18" t="e">
        <f t="shared" si="3"/>
        <v>#REF!</v>
      </c>
      <c r="L42" s="18" t="str">
        <f t="shared" si="4"/>
        <v>Sat:10:15-12:15:MIRDS-2</v>
      </c>
      <c r="M42" s="18" t="e">
        <f>VLOOKUP(I42,#REF!,2,FALSE)</f>
        <v>#REF!</v>
      </c>
    </row>
    <row r="43" spans="1:13" ht="14.45" hidden="1" customHeight="1" x14ac:dyDescent="0.25">
      <c r="A43" s="18" t="str">
        <f t="shared" si="0"/>
        <v>MIR712</v>
      </c>
      <c r="B43" s="47" t="s">
        <v>781</v>
      </c>
      <c r="C43" s="47" t="s">
        <v>47</v>
      </c>
      <c r="D43" s="47" t="s">
        <v>908</v>
      </c>
      <c r="E43" s="47" t="s">
        <v>909</v>
      </c>
      <c r="F43" s="47" t="s">
        <v>910</v>
      </c>
      <c r="G43" s="49" t="e">
        <f t="shared" si="1"/>
        <v>#REF!</v>
      </c>
      <c r="H43" s="47" t="s">
        <v>24</v>
      </c>
      <c r="I43" s="47" t="e">
        <f>VLOOKUP($E43,#REF!,3,FALSE)</f>
        <v>#REF!</v>
      </c>
      <c r="J43" s="47" t="str">
        <f t="shared" si="2"/>
        <v>Sat:10:15-12:15:KG-9</v>
      </c>
      <c r="K43" s="18" t="e">
        <f t="shared" si="3"/>
        <v>#REF!</v>
      </c>
      <c r="L43" s="18" t="str">
        <f t="shared" si="4"/>
        <v>Sat:10:15-12:15:MIRDS-1</v>
      </c>
      <c r="M43" s="18" t="e">
        <f>VLOOKUP(I43,#REF!,2,FALSE)</f>
        <v>#REF!</v>
      </c>
    </row>
    <row r="44" spans="1:13" ht="14.45" hidden="1" customHeight="1" x14ac:dyDescent="0.25">
      <c r="A44" s="18" t="str">
        <f t="shared" si="0"/>
        <v>EHS215</v>
      </c>
      <c r="B44" s="47" t="s">
        <v>781</v>
      </c>
      <c r="C44" s="47" t="s">
        <v>140</v>
      </c>
      <c r="D44" s="47" t="s">
        <v>808</v>
      </c>
      <c r="E44" s="47" t="s">
        <v>911</v>
      </c>
      <c r="F44" s="47" t="s">
        <v>912</v>
      </c>
      <c r="G44" s="49" t="e">
        <f t="shared" si="1"/>
        <v>#REF!</v>
      </c>
      <c r="H44" s="47" t="s">
        <v>1458</v>
      </c>
      <c r="I44" s="47" t="e">
        <f>VLOOKUP($E44,#REF!,3,FALSE)</f>
        <v>#REF!</v>
      </c>
      <c r="J44" s="47" t="str">
        <f t="shared" si="2"/>
        <v>Sat:02:45-04:45:MKN-16</v>
      </c>
      <c r="K44" s="18" t="e">
        <f t="shared" si="3"/>
        <v>#REF!</v>
      </c>
      <c r="L44" s="18" t="str">
        <f t="shared" si="4"/>
        <v>Sat:02:45-04:45:BEHS-3</v>
      </c>
      <c r="M44" s="18" t="e">
        <f>VLOOKUP(I44,#REF!,2,FALSE)</f>
        <v>#REF!</v>
      </c>
    </row>
    <row r="45" spans="1:13" ht="14.45" hidden="1" customHeight="1" x14ac:dyDescent="0.25">
      <c r="A45" s="18" t="str">
        <f t="shared" si="0"/>
        <v>BJC110/DJC110-BA</v>
      </c>
      <c r="B45" s="47" t="s">
        <v>781</v>
      </c>
      <c r="C45" s="47" t="s">
        <v>140</v>
      </c>
      <c r="D45" s="47" t="s">
        <v>784</v>
      </c>
      <c r="E45" s="47" t="s">
        <v>3925</v>
      </c>
      <c r="F45" s="47" t="s">
        <v>207</v>
      </c>
      <c r="G45" s="49" t="e">
        <f t="shared" si="1"/>
        <v>#REF!</v>
      </c>
      <c r="H45" s="47" t="s">
        <v>20</v>
      </c>
      <c r="I45" s="47" t="e">
        <f>VLOOKUP($E45,#REF!,3,FALSE)</f>
        <v>#REF!</v>
      </c>
      <c r="J45" s="47" t="str">
        <f t="shared" si="2"/>
        <v>Sat:02:45-04:45:KG-15</v>
      </c>
      <c r="K45" s="18" t="e">
        <f t="shared" si="3"/>
        <v>#REF!</v>
      </c>
      <c r="L45" s="18" t="str">
        <f t="shared" si="4"/>
        <v>Sat:02:45-04:45:BBA-1W</v>
      </c>
      <c r="M45" s="18" t="e">
        <f>VLOOKUP(I45,#REF!,2,FALSE)</f>
        <v>#REF!</v>
      </c>
    </row>
    <row r="46" spans="1:13" ht="14.45" hidden="1" customHeight="1" x14ac:dyDescent="0.25">
      <c r="A46" s="18" t="str">
        <f t="shared" si="0"/>
        <v>MSC810</v>
      </c>
      <c r="B46" s="47" t="s">
        <v>781</v>
      </c>
      <c r="C46" s="47" t="s">
        <v>96</v>
      </c>
      <c r="D46" s="47" t="s">
        <v>868</v>
      </c>
      <c r="E46" s="47" t="s">
        <v>917</v>
      </c>
      <c r="F46" s="47" t="s">
        <v>918</v>
      </c>
      <c r="G46" s="49" t="e">
        <f t="shared" si="1"/>
        <v>#REF!</v>
      </c>
      <c r="H46" s="47" t="s">
        <v>61</v>
      </c>
      <c r="I46" s="47" t="e">
        <f>VLOOKUP($E46,#REF!,3,FALSE)</f>
        <v>#REF!</v>
      </c>
      <c r="J46" s="47" t="str">
        <f t="shared" si="2"/>
        <v>Sat:12:30-02:30:SI-202</v>
      </c>
      <c r="K46" s="18" t="e">
        <f t="shared" si="3"/>
        <v>#REF!</v>
      </c>
      <c r="L46" s="18" t="str">
        <f t="shared" si="4"/>
        <v>Sat:12:30-02:30:MBA-PS</v>
      </c>
      <c r="M46" s="18" t="e">
        <f>VLOOKUP(I46,#REF!,2,FALSE)</f>
        <v>#REF!</v>
      </c>
    </row>
    <row r="47" spans="1:13" ht="14.45" hidden="1" customHeight="1" x14ac:dyDescent="0.25">
      <c r="A47" s="18" t="str">
        <f t="shared" si="0"/>
        <v>BBA221</v>
      </c>
      <c r="B47" s="47" t="s">
        <v>781</v>
      </c>
      <c r="C47" s="47" t="s">
        <v>96</v>
      </c>
      <c r="D47" s="47" t="s">
        <v>919</v>
      </c>
      <c r="E47" s="47" t="s">
        <v>569</v>
      </c>
      <c r="F47" s="47" t="s">
        <v>570</v>
      </c>
      <c r="G47" s="49" t="e">
        <f t="shared" si="1"/>
        <v>#REF!</v>
      </c>
      <c r="H47" s="47" t="s">
        <v>83</v>
      </c>
      <c r="I47" s="47" t="e">
        <f>VLOOKUP($E47,#REF!,3,FALSE)</f>
        <v>#REF!</v>
      </c>
      <c r="J47" s="47" t="str">
        <f t="shared" si="2"/>
        <v>Sat:12:30-02:30:KG-10</v>
      </c>
      <c r="K47" s="18" t="e">
        <f t="shared" si="3"/>
        <v>#REF!</v>
      </c>
      <c r="L47" s="18" t="str">
        <f t="shared" si="4"/>
        <v>Sat:12:30-02:30:BBA-4W</v>
      </c>
      <c r="M47" s="18" t="e">
        <f>VLOOKUP(I47,#REF!,2,FALSE)</f>
        <v>#REF!</v>
      </c>
    </row>
    <row r="48" spans="1:13" ht="14.45" hidden="1" customHeight="1" x14ac:dyDescent="0.25">
      <c r="A48" s="18" t="str">
        <f t="shared" si="0"/>
        <v>MHR815</v>
      </c>
      <c r="B48" s="47" t="s">
        <v>812</v>
      </c>
      <c r="C48" s="47" t="s">
        <v>140</v>
      </c>
      <c r="D48" s="47" t="s">
        <v>920</v>
      </c>
      <c r="E48" s="47" t="s">
        <v>921</v>
      </c>
      <c r="F48" s="47" t="s">
        <v>922</v>
      </c>
      <c r="G48" s="49" t="e">
        <f t="shared" si="1"/>
        <v>#REF!</v>
      </c>
      <c r="H48" s="47" t="s">
        <v>241</v>
      </c>
      <c r="I48" s="47" t="e">
        <f>VLOOKUP($E48,#REF!,3,FALSE)</f>
        <v>#REF!</v>
      </c>
      <c r="J48" s="47" t="str">
        <f t="shared" si="2"/>
        <v>Sun:02:45-04:45:SI-212</v>
      </c>
      <c r="K48" s="18" t="e">
        <f t="shared" si="3"/>
        <v>#REF!</v>
      </c>
      <c r="L48" s="18" t="str">
        <f t="shared" si="4"/>
        <v>Sun:02:45-04:45:MBA-HRM</v>
      </c>
      <c r="M48" s="18" t="e">
        <f>VLOOKUP(I48,#REF!,2,FALSE)</f>
        <v>#REF!</v>
      </c>
    </row>
    <row r="49" spans="1:13" ht="14.45" hidden="1" customHeight="1" x14ac:dyDescent="0.25">
      <c r="A49" s="18" t="str">
        <f t="shared" si="0"/>
        <v>BBF316</v>
      </c>
      <c r="B49" s="47" t="s">
        <v>781</v>
      </c>
      <c r="C49" s="47" t="s">
        <v>10</v>
      </c>
      <c r="D49" s="47" t="s">
        <v>401</v>
      </c>
      <c r="E49" s="47" t="s">
        <v>402</v>
      </c>
      <c r="F49" s="47" t="s">
        <v>403</v>
      </c>
      <c r="G49" s="49" t="e">
        <f t="shared" si="1"/>
        <v>#REF!</v>
      </c>
      <c r="H49" s="47" t="s">
        <v>61</v>
      </c>
      <c r="I49" s="47" t="e">
        <f>VLOOKUP($E49,#REF!,3,FALSE)</f>
        <v>#REF!</v>
      </c>
      <c r="J49" s="47" t="str">
        <f t="shared" si="2"/>
        <v>Sat:08:00-10:00:SI-202</v>
      </c>
      <c r="K49" s="18" t="e">
        <f t="shared" si="3"/>
        <v>#REF!</v>
      </c>
      <c r="L49" s="18" t="str">
        <f t="shared" si="4"/>
        <v>Sat:08:00-10:00:BBA-AF-5,BF-5,G-5</v>
      </c>
      <c r="M49" s="18" t="e">
        <f>VLOOKUP(I49,#REF!,2,FALSE)</f>
        <v>#REF!</v>
      </c>
    </row>
    <row r="50" spans="1:13" ht="14.45" hidden="1" customHeight="1" x14ac:dyDescent="0.25">
      <c r="A50" s="18" t="str">
        <f t="shared" si="0"/>
        <v>MED713</v>
      </c>
      <c r="B50" s="47" t="s">
        <v>781</v>
      </c>
      <c r="C50" s="47" t="s">
        <v>140</v>
      </c>
      <c r="D50" s="47" t="s">
        <v>839</v>
      </c>
      <c r="E50" s="47" t="s">
        <v>926</v>
      </c>
      <c r="F50" s="47" t="s">
        <v>927</v>
      </c>
      <c r="G50" s="49" t="e">
        <f t="shared" si="1"/>
        <v>#REF!</v>
      </c>
      <c r="H50" s="47" t="s">
        <v>983</v>
      </c>
      <c r="I50" s="47" t="e">
        <f>VLOOKUP($E50,#REF!,3,FALSE)</f>
        <v>#REF!</v>
      </c>
      <c r="J50" s="47" t="str">
        <f t="shared" si="2"/>
        <v>Sat:02:45-04:45:Online</v>
      </c>
      <c r="K50" s="18" t="e">
        <f t="shared" si="3"/>
        <v>#REF!</v>
      </c>
      <c r="L50" s="18" t="str">
        <f t="shared" si="4"/>
        <v>Sat:02:45-04:45:MED-1</v>
      </c>
      <c r="M50" s="18" t="e">
        <f>VLOOKUP(I50,#REF!,2,FALSE)</f>
        <v>#REF!</v>
      </c>
    </row>
    <row r="51" spans="1:13" ht="14.45" hidden="1" customHeight="1" x14ac:dyDescent="0.25">
      <c r="A51" s="18" t="str">
        <f t="shared" si="0"/>
        <v>BPH124-EH</v>
      </c>
      <c r="B51" s="47" t="s">
        <v>781</v>
      </c>
      <c r="C51" s="47" t="s">
        <v>96</v>
      </c>
      <c r="D51" s="47" t="s">
        <v>805</v>
      </c>
      <c r="E51" s="47" t="s">
        <v>3911</v>
      </c>
      <c r="F51" s="47" t="s">
        <v>928</v>
      </c>
      <c r="G51" s="49" t="e">
        <f t="shared" si="1"/>
        <v>#REF!</v>
      </c>
      <c r="H51" s="47" t="s">
        <v>1456</v>
      </c>
      <c r="I51" s="47" t="e">
        <f>VLOOKUP($E51,#REF!,3,FALSE)</f>
        <v>#REF!</v>
      </c>
      <c r="J51" s="47" t="str">
        <f t="shared" si="2"/>
        <v>Sat:12:30-02:30:MKN-14</v>
      </c>
      <c r="K51" s="18" t="e">
        <f t="shared" si="3"/>
        <v>#REF!</v>
      </c>
      <c r="L51" s="18" t="str">
        <f t="shared" si="4"/>
        <v>Sat:12:30-02:30:BEHS-2</v>
      </c>
      <c r="M51" s="18" t="e">
        <f>VLOOKUP(I51,#REF!,2,FALSE)</f>
        <v>#REF!</v>
      </c>
    </row>
    <row r="52" spans="1:13" ht="14.45" hidden="1" customHeight="1" x14ac:dyDescent="0.25">
      <c r="A52" s="18" t="str">
        <f t="shared" si="0"/>
        <v>EHS322</v>
      </c>
      <c r="B52" s="47" t="s">
        <v>781</v>
      </c>
      <c r="C52" s="47" t="s">
        <v>140</v>
      </c>
      <c r="D52" s="47" t="s">
        <v>826</v>
      </c>
      <c r="E52" s="47" t="s">
        <v>750</v>
      </c>
      <c r="F52" s="47" t="s">
        <v>751</v>
      </c>
      <c r="G52" s="49" t="e">
        <f t="shared" si="1"/>
        <v>#REF!</v>
      </c>
      <c r="H52" s="47" t="s">
        <v>1460</v>
      </c>
      <c r="I52" s="47" t="e">
        <f>VLOOKUP($E52,#REF!,3,FALSE)</f>
        <v>#REF!</v>
      </c>
      <c r="J52" s="47" t="str">
        <f t="shared" si="2"/>
        <v>Sat:02:45-04:45:MKN-18</v>
      </c>
      <c r="K52" s="18" t="e">
        <f t="shared" si="3"/>
        <v>#REF!</v>
      </c>
      <c r="L52" s="18" t="str">
        <f t="shared" si="4"/>
        <v>Sat:02:45-04:45:BEHS-6</v>
      </c>
      <c r="M52" s="18" t="e">
        <f>VLOOKUP(I52,#REF!,2,FALSE)</f>
        <v>#REF!</v>
      </c>
    </row>
    <row r="53" spans="1:13" ht="14.45" hidden="1" customHeight="1" x14ac:dyDescent="0.25">
      <c r="A53" s="18" t="str">
        <f t="shared" si="0"/>
        <v>MBA728</v>
      </c>
      <c r="B53" s="47" t="s">
        <v>781</v>
      </c>
      <c r="C53" s="47" t="s">
        <v>140</v>
      </c>
      <c r="D53" s="47" t="s">
        <v>3333</v>
      </c>
      <c r="E53" s="47" t="s">
        <v>930</v>
      </c>
      <c r="F53" s="47" t="s">
        <v>931</v>
      </c>
      <c r="G53" s="49" t="e">
        <f t="shared" si="1"/>
        <v>#REF!</v>
      </c>
      <c r="H53" s="47" t="s">
        <v>91</v>
      </c>
      <c r="I53" s="47" t="e">
        <f>VLOOKUP($E53,#REF!,3,FALSE)</f>
        <v>#REF!</v>
      </c>
      <c r="J53" s="47" t="str">
        <f t="shared" si="2"/>
        <v>Sat:02:45-04:45:SI-205</v>
      </c>
      <c r="K53" s="18" t="e">
        <f t="shared" si="3"/>
        <v>#REF!</v>
      </c>
      <c r="L53" s="18" t="str">
        <f t="shared" si="4"/>
        <v>Sat:02:45-04:45:MBA-2,MPM-2,MED-2,MIT-1,MIRDS-2,MSS-2</v>
      </c>
      <c r="M53" s="18" t="e">
        <f>VLOOKUP(I53,#REF!,2,FALSE)</f>
        <v>#REF!</v>
      </c>
    </row>
    <row r="54" spans="1:13" ht="14.45" hidden="1" customHeight="1" x14ac:dyDescent="0.25">
      <c r="A54" s="18" t="str">
        <f t="shared" si="0"/>
        <v>MBA813</v>
      </c>
      <c r="B54" s="47" t="s">
        <v>781</v>
      </c>
      <c r="C54" s="47" t="s">
        <v>96</v>
      </c>
      <c r="D54" s="47" t="s">
        <v>932</v>
      </c>
      <c r="E54" s="47" t="s">
        <v>933</v>
      </c>
      <c r="F54" s="47" t="s">
        <v>934</v>
      </c>
      <c r="G54" s="49" t="e">
        <f t="shared" si="1"/>
        <v>#REF!</v>
      </c>
      <c r="H54" s="47" t="s">
        <v>267</v>
      </c>
      <c r="I54" s="47" t="e">
        <f>VLOOKUP($E54,#REF!,3,FALSE)</f>
        <v>#REF!</v>
      </c>
      <c r="J54" s="47" t="str">
        <f t="shared" si="2"/>
        <v>Sat:12:30-02:30:SI-012</v>
      </c>
      <c r="K54" s="18" t="e">
        <f t="shared" si="3"/>
        <v>#REF!</v>
      </c>
      <c r="L54" s="18" t="str">
        <f t="shared" si="4"/>
        <v>Sat:12:30-02:30:MBA-M,MPM-3</v>
      </c>
      <c r="M54" s="18" t="e">
        <f>VLOOKUP(I54,#REF!,2,FALSE)</f>
        <v>#REF!</v>
      </c>
    </row>
    <row r="55" spans="1:13" ht="14.45" hidden="1" customHeight="1" x14ac:dyDescent="0.25">
      <c r="A55" s="18" t="str">
        <f t="shared" si="0"/>
        <v>MPH815</v>
      </c>
      <c r="B55" s="47" t="s">
        <v>781</v>
      </c>
      <c r="C55" s="47" t="s">
        <v>140</v>
      </c>
      <c r="D55" s="47" t="s">
        <v>794</v>
      </c>
      <c r="E55" s="47" t="s">
        <v>935</v>
      </c>
      <c r="F55" s="47" t="s">
        <v>936</v>
      </c>
      <c r="G55" s="49" t="e">
        <f t="shared" si="1"/>
        <v>#REF!</v>
      </c>
      <c r="H55" s="47" t="s">
        <v>1662</v>
      </c>
      <c r="I55" s="47" t="e">
        <f>VLOOKUP($E55,#REF!,3,FALSE)</f>
        <v>#REF!</v>
      </c>
      <c r="J55" s="47" t="str">
        <f t="shared" si="2"/>
        <v>Sat:02:45-04:45:MKN-05</v>
      </c>
      <c r="K55" s="18" t="e">
        <f t="shared" si="3"/>
        <v>#REF!</v>
      </c>
      <c r="L55" s="18" t="str">
        <f t="shared" si="4"/>
        <v>Sat:02:45-04:45:MPH-2</v>
      </c>
      <c r="M55" s="18" t="e">
        <f>VLOOKUP(I55,#REF!,2,FALSE)</f>
        <v>#REF!</v>
      </c>
    </row>
    <row r="56" spans="1:13" ht="14.45" hidden="1" customHeight="1" x14ac:dyDescent="0.25">
      <c r="A56" s="18" t="str">
        <f t="shared" si="0"/>
        <v>MED813</v>
      </c>
      <c r="B56" s="47" t="s">
        <v>781</v>
      </c>
      <c r="C56" s="47" t="s">
        <v>140</v>
      </c>
      <c r="D56" s="47" t="s">
        <v>813</v>
      </c>
      <c r="E56" s="47" t="s">
        <v>937</v>
      </c>
      <c r="F56" s="47" t="s">
        <v>938</v>
      </c>
      <c r="G56" s="49" t="e">
        <f t="shared" si="1"/>
        <v>#REF!</v>
      </c>
      <c r="H56" s="47" t="s">
        <v>983</v>
      </c>
      <c r="I56" s="47" t="e">
        <f>VLOOKUP($E56,#REF!,3,FALSE)</f>
        <v>#REF!</v>
      </c>
      <c r="J56" s="47" t="str">
        <f t="shared" si="2"/>
        <v>Sat:02:45-04:45:Online</v>
      </c>
      <c r="K56" s="18" t="e">
        <f t="shared" si="3"/>
        <v>#REF!</v>
      </c>
      <c r="L56" s="18" t="str">
        <f t="shared" si="4"/>
        <v>Sat:02:45-04:45:MED-3</v>
      </c>
      <c r="M56" s="18" t="e">
        <f>VLOOKUP(I56,#REF!,2,FALSE)</f>
        <v>#REF!</v>
      </c>
    </row>
    <row r="57" spans="1:13" ht="14.45" hidden="1" customHeight="1" x14ac:dyDescent="0.25">
      <c r="A57" s="18" t="str">
        <f t="shared" si="0"/>
        <v>EHS224</v>
      </c>
      <c r="B57" s="47" t="s">
        <v>781</v>
      </c>
      <c r="C57" s="47" t="s">
        <v>96</v>
      </c>
      <c r="D57" s="47" t="s">
        <v>802</v>
      </c>
      <c r="E57" s="47" t="s">
        <v>939</v>
      </c>
      <c r="F57" s="47" t="s">
        <v>940</v>
      </c>
      <c r="G57" s="49" t="e">
        <f t="shared" si="1"/>
        <v>#REF!</v>
      </c>
      <c r="H57" s="47" t="s">
        <v>1459</v>
      </c>
      <c r="I57" s="47" t="e">
        <f>VLOOKUP($E57,#REF!,3,FALSE)</f>
        <v>#REF!</v>
      </c>
      <c r="J57" s="47" t="str">
        <f t="shared" si="2"/>
        <v>Sat:12:30-02:30:MKN-17</v>
      </c>
      <c r="K57" s="18" t="e">
        <f t="shared" si="3"/>
        <v>#REF!</v>
      </c>
      <c r="L57" s="18" t="str">
        <f t="shared" si="4"/>
        <v>Sat:12:30-02:30:BEHS-4</v>
      </c>
      <c r="M57" s="18" t="e">
        <f>VLOOKUP(I57,#REF!,2,FALSE)</f>
        <v>#REF!</v>
      </c>
    </row>
    <row r="58" spans="1:13" ht="14.45" hidden="1" customHeight="1" x14ac:dyDescent="0.25">
      <c r="A58" s="18" t="str">
        <f t="shared" si="0"/>
        <v>MPM811</v>
      </c>
      <c r="B58" s="47" t="s">
        <v>812</v>
      </c>
      <c r="C58" s="47" t="s">
        <v>47</v>
      </c>
      <c r="D58" s="47" t="s">
        <v>831</v>
      </c>
      <c r="E58" s="47" t="s">
        <v>3915</v>
      </c>
      <c r="F58" s="47" t="s">
        <v>945</v>
      </c>
      <c r="G58" s="49" t="e">
        <f t="shared" si="1"/>
        <v>#REF!</v>
      </c>
      <c r="H58" s="49" t="s">
        <v>792</v>
      </c>
      <c r="I58" s="47" t="e">
        <f>VLOOKUP($E58,#REF!,3,FALSE)</f>
        <v>#REF!</v>
      </c>
      <c r="J58" s="47" t="str">
        <f t="shared" si="2"/>
        <v>Sun:10:15-12:15:SI-102</v>
      </c>
      <c r="K58" s="18" t="e">
        <f t="shared" si="3"/>
        <v>#REF!</v>
      </c>
      <c r="L58" s="18" t="str">
        <f t="shared" si="4"/>
        <v>Sun:10:15-12:15:MPM-3</v>
      </c>
      <c r="M58" s="18" t="e">
        <f>VLOOKUP(I58,#REF!,2,FALSE)</f>
        <v>#REF!</v>
      </c>
    </row>
    <row r="59" spans="1:13" ht="14.45" hidden="1" customHeight="1" x14ac:dyDescent="0.25">
      <c r="A59" s="18" t="str">
        <f t="shared" si="0"/>
        <v>MIR814</v>
      </c>
      <c r="B59" s="47" t="s">
        <v>781</v>
      </c>
      <c r="C59" s="47" t="s">
        <v>140</v>
      </c>
      <c r="D59" s="47" t="s">
        <v>858</v>
      </c>
      <c r="E59" s="47" t="s">
        <v>950</v>
      </c>
      <c r="F59" s="47" t="s">
        <v>951</v>
      </c>
      <c r="G59" s="49" t="e">
        <f t="shared" si="1"/>
        <v>#REF!</v>
      </c>
      <c r="H59" s="47" t="s">
        <v>79</v>
      </c>
      <c r="I59" s="47" t="e">
        <f>VLOOKUP($E59,#REF!,3,FALSE)</f>
        <v>#REF!</v>
      </c>
      <c r="J59" s="47" t="str">
        <f t="shared" si="2"/>
        <v>Sat:02:45-04:45:KG-11</v>
      </c>
      <c r="K59" s="18" t="e">
        <f t="shared" si="3"/>
        <v>#REF!</v>
      </c>
      <c r="L59" s="18" t="str">
        <f t="shared" si="4"/>
        <v>Sat:02:45-04:45:MIRDS-3</v>
      </c>
      <c r="M59" s="18" t="e">
        <f>VLOOKUP(I59,#REF!,2,FALSE)</f>
        <v>#REF!</v>
      </c>
    </row>
    <row r="60" spans="1:13" ht="14.45" hidden="1" customHeight="1" x14ac:dyDescent="0.25">
      <c r="A60" s="18" t="str">
        <f t="shared" si="0"/>
        <v>MSS716</v>
      </c>
      <c r="B60" s="47" t="s">
        <v>781</v>
      </c>
      <c r="C60" s="47" t="s">
        <v>96</v>
      </c>
      <c r="D60" s="47" t="s">
        <v>855</v>
      </c>
      <c r="E60" s="47" t="s">
        <v>952</v>
      </c>
      <c r="F60" s="47" t="s">
        <v>953</v>
      </c>
      <c r="G60" s="49" t="e">
        <f t="shared" si="1"/>
        <v>#REF!</v>
      </c>
      <c r="H60" s="47" t="s">
        <v>79</v>
      </c>
      <c r="I60" s="47" t="e">
        <f>VLOOKUP($E60,#REF!,3,FALSE)</f>
        <v>#REF!</v>
      </c>
      <c r="J60" s="47" t="str">
        <f t="shared" si="2"/>
        <v>Sat:12:30-02:30:KG-11</v>
      </c>
      <c r="K60" s="18" t="e">
        <f t="shared" si="3"/>
        <v>#REF!</v>
      </c>
      <c r="L60" s="18" t="str">
        <f t="shared" si="4"/>
        <v>Sat:12:30-02:30:MSS-1</v>
      </c>
      <c r="M60" s="18" t="e">
        <f>VLOOKUP(I60,#REF!,2,FALSE)</f>
        <v>#REF!</v>
      </c>
    </row>
    <row r="61" spans="1:13" ht="14.45" hidden="1" customHeight="1" x14ac:dyDescent="0.25">
      <c r="A61" s="18" t="str">
        <f t="shared" si="0"/>
        <v>BBA123</v>
      </c>
      <c r="B61" s="47" t="s">
        <v>781</v>
      </c>
      <c r="C61" s="47" t="s">
        <v>10</v>
      </c>
      <c r="D61" s="47" t="s">
        <v>811</v>
      </c>
      <c r="E61" s="47" t="s">
        <v>1485</v>
      </c>
      <c r="F61" s="47" t="s">
        <v>560</v>
      </c>
      <c r="G61" s="49" t="e">
        <f t="shared" si="1"/>
        <v>#REF!</v>
      </c>
      <c r="H61" s="47" t="s">
        <v>15</v>
      </c>
      <c r="I61" s="47" t="e">
        <f>VLOOKUP($E61,#REF!,3,FALSE)</f>
        <v>#REF!</v>
      </c>
      <c r="J61" s="47" t="str">
        <f t="shared" si="2"/>
        <v>Sat:08:00-10:00:SI-105</v>
      </c>
      <c r="K61" s="18" t="e">
        <f t="shared" si="3"/>
        <v>#REF!</v>
      </c>
      <c r="L61" s="18" t="str">
        <f t="shared" si="4"/>
        <v>Sat:08:00-10:00:BBA-2W</v>
      </c>
      <c r="M61" s="18" t="e">
        <f>VLOOKUP(I61,#REF!,2,FALSE)</f>
        <v>#REF!</v>
      </c>
    </row>
    <row r="62" spans="1:13" ht="14.45" hidden="1" customHeight="1" x14ac:dyDescent="0.25">
      <c r="A62" s="18" t="str">
        <f t="shared" si="0"/>
        <v>BBA223</v>
      </c>
      <c r="B62" s="47" t="s">
        <v>781</v>
      </c>
      <c r="C62" s="47" t="s">
        <v>140</v>
      </c>
      <c r="D62" s="47" t="s">
        <v>919</v>
      </c>
      <c r="E62" s="47" t="s">
        <v>511</v>
      </c>
      <c r="F62" s="47" t="s">
        <v>512</v>
      </c>
      <c r="G62" s="49" t="e">
        <f t="shared" si="1"/>
        <v>#REF!</v>
      </c>
      <c r="H62" s="47" t="s">
        <v>83</v>
      </c>
      <c r="I62" s="47" t="e">
        <f>VLOOKUP($E62,#REF!,3,FALSE)</f>
        <v>#REF!</v>
      </c>
      <c r="J62" s="47" t="str">
        <f t="shared" si="2"/>
        <v>Sat:02:45-04:45:KG-10</v>
      </c>
      <c r="K62" s="18" t="e">
        <f t="shared" si="3"/>
        <v>#REF!</v>
      </c>
      <c r="L62" s="18" t="str">
        <f t="shared" si="4"/>
        <v>Sat:02:45-04:45:BBA-4W</v>
      </c>
      <c r="M62" s="18" t="e">
        <f>VLOOKUP(I62,#REF!,2,FALSE)</f>
        <v>#REF!</v>
      </c>
    </row>
    <row r="63" spans="1:13" ht="14.45" hidden="1" customHeight="1" x14ac:dyDescent="0.25">
      <c r="A63" s="18" t="str">
        <f t="shared" si="0"/>
        <v>MSC814</v>
      </c>
      <c r="B63" s="47" t="s">
        <v>781</v>
      </c>
      <c r="C63" s="47" t="s">
        <v>140</v>
      </c>
      <c r="D63" s="47" t="s">
        <v>868</v>
      </c>
      <c r="E63" s="47" t="s">
        <v>956</v>
      </c>
      <c r="F63" s="47" t="s">
        <v>957</v>
      </c>
      <c r="G63" s="49" t="e">
        <f t="shared" si="1"/>
        <v>#REF!</v>
      </c>
      <c r="H63" s="47" t="s">
        <v>241</v>
      </c>
      <c r="I63" s="47" t="e">
        <f>VLOOKUP($E63,#REF!,3,FALSE)</f>
        <v>#REF!</v>
      </c>
      <c r="J63" s="47" t="str">
        <f t="shared" si="2"/>
        <v>Sat:02:45-04:45:SI-212</v>
      </c>
      <c r="K63" s="18" t="e">
        <f t="shared" si="3"/>
        <v>#REF!</v>
      </c>
      <c r="L63" s="18" t="str">
        <f t="shared" si="4"/>
        <v>Sat:02:45-04:45:MBA-PS</v>
      </c>
      <c r="M63" s="18" t="e">
        <f>VLOOKUP(I63,#REF!,2,FALSE)</f>
        <v>#REF!</v>
      </c>
    </row>
    <row r="64" spans="1:13" ht="14.45" hidden="1" customHeight="1" x14ac:dyDescent="0.25">
      <c r="A64" s="18" t="str">
        <f t="shared" si="0"/>
        <v>MPH810</v>
      </c>
      <c r="B64" s="47" t="s">
        <v>781</v>
      </c>
      <c r="C64" s="47" t="s">
        <v>47</v>
      </c>
      <c r="D64" s="47" t="s">
        <v>880</v>
      </c>
      <c r="E64" s="47" t="s">
        <v>993</v>
      </c>
      <c r="F64" s="47" t="s">
        <v>994</v>
      </c>
      <c r="G64" s="49" t="e">
        <f t="shared" si="1"/>
        <v>#REF!</v>
      </c>
      <c r="H64" s="47" t="s">
        <v>1662</v>
      </c>
      <c r="I64" s="47" t="e">
        <f>VLOOKUP($E64,#REF!,3,FALSE)</f>
        <v>#REF!</v>
      </c>
      <c r="J64" s="47" t="str">
        <f t="shared" si="2"/>
        <v>Sat:10:15-12:15:MKN-05</v>
      </c>
      <c r="K64" s="18" t="e">
        <f t="shared" si="3"/>
        <v>#REF!</v>
      </c>
      <c r="L64" s="18" t="str">
        <f t="shared" si="4"/>
        <v>Sat:10:15-12:15:MPH-3</v>
      </c>
      <c r="M64" s="18" t="e">
        <f>VLOOKUP(I64,#REF!,2,FALSE)</f>
        <v>#REF!</v>
      </c>
    </row>
    <row r="65" spans="1:13" ht="14.45" hidden="1" customHeight="1" x14ac:dyDescent="0.25">
      <c r="A65" s="18" t="str">
        <f t="shared" si="0"/>
        <v>MSS811</v>
      </c>
      <c r="B65" s="47" t="s">
        <v>781</v>
      </c>
      <c r="C65" s="47" t="s">
        <v>10</v>
      </c>
      <c r="D65" s="47" t="s">
        <v>816</v>
      </c>
      <c r="E65" s="47" t="s">
        <v>995</v>
      </c>
      <c r="F65" s="47" t="s">
        <v>996</v>
      </c>
      <c r="G65" s="49" t="e">
        <f t="shared" si="1"/>
        <v>#REF!</v>
      </c>
      <c r="H65" s="47" t="s">
        <v>983</v>
      </c>
      <c r="I65" s="47" t="e">
        <f>VLOOKUP($E65,#REF!,3,FALSE)</f>
        <v>#REF!</v>
      </c>
      <c r="J65" s="47" t="str">
        <f t="shared" si="2"/>
        <v>Sat:08:00-10:00:Online</v>
      </c>
      <c r="K65" s="18" t="e">
        <f t="shared" si="3"/>
        <v>#REF!</v>
      </c>
      <c r="L65" s="18" t="str">
        <f t="shared" si="4"/>
        <v>Sat:08:00-10:00:MSS-3</v>
      </c>
      <c r="M65" s="18" t="e">
        <f>VLOOKUP(I65,#REF!,2,FALSE)</f>
        <v>#REF!</v>
      </c>
    </row>
    <row r="66" spans="1:13" ht="14.45" hidden="1" customHeight="1" x14ac:dyDescent="0.25">
      <c r="A66" s="18" t="str">
        <f t="shared" ref="A66:A113" si="5">E66</f>
        <v>PLM311</v>
      </c>
      <c r="B66" s="47" t="s">
        <v>781</v>
      </c>
      <c r="C66" s="47" t="s">
        <v>96</v>
      </c>
      <c r="D66" s="47" t="s">
        <v>811</v>
      </c>
      <c r="E66" s="47" t="s">
        <v>697</v>
      </c>
      <c r="F66" s="47" t="s">
        <v>698</v>
      </c>
      <c r="G66" s="49" t="e">
        <f t="shared" ref="G66:G129" si="6">M66</f>
        <v>#REF!</v>
      </c>
      <c r="H66" s="47" t="s">
        <v>20</v>
      </c>
      <c r="I66" s="47" t="e">
        <f>VLOOKUP($E66,#REF!,3,FALSE)</f>
        <v>#REF!</v>
      </c>
      <c r="J66" s="47" t="str">
        <f t="shared" ref="J66:J129" si="7">$B66&amp;":"&amp;$C66&amp;":"&amp;$H66</f>
        <v>Sat:12:30-02:30:KG-15</v>
      </c>
      <c r="K66" s="18" t="e">
        <f t="shared" ref="K66:K129" si="8">B66&amp;":"&amp;C66&amp;":"&amp;I66</f>
        <v>#REF!</v>
      </c>
      <c r="L66" s="18" t="str">
        <f t="shared" ref="L66:L94" si="9">$B66&amp;":"&amp;$C66&amp;":"&amp;$D66</f>
        <v>Sat:12:30-02:30:BBA-2W</v>
      </c>
      <c r="M66" s="18" t="e">
        <f>VLOOKUP(I66,#REF!,2,FALSE)</f>
        <v>#REF!</v>
      </c>
    </row>
    <row r="67" spans="1:13" ht="14.45" hidden="1" customHeight="1" x14ac:dyDescent="0.25">
      <c r="A67" s="18" t="str">
        <f t="shared" si="5"/>
        <v>MBA716</v>
      </c>
      <c r="B67" s="47" t="s">
        <v>812</v>
      </c>
      <c r="C67" s="47" t="s">
        <v>96</v>
      </c>
      <c r="D67" s="47" t="s">
        <v>1001</v>
      </c>
      <c r="E67" s="47" t="s">
        <v>1002</v>
      </c>
      <c r="F67" s="47" t="s">
        <v>381</v>
      </c>
      <c r="G67" s="49" t="e">
        <f t="shared" si="6"/>
        <v>#REF!</v>
      </c>
      <c r="H67" s="47" t="s">
        <v>20</v>
      </c>
      <c r="I67" s="47" t="e">
        <f>VLOOKUP($E67,#REF!,3,FALSE)</f>
        <v>#REF!</v>
      </c>
      <c r="J67" s="47" t="str">
        <f t="shared" si="7"/>
        <v>Sun:12:30-02:30:KG-15</v>
      </c>
      <c r="K67" s="18" t="e">
        <f t="shared" si="8"/>
        <v>#REF!</v>
      </c>
      <c r="L67" s="18" t="str">
        <f t="shared" si="9"/>
        <v>Sun:12:30-02:30:MBA-2,MPM-1</v>
      </c>
      <c r="M67" s="18" t="e">
        <f>VLOOKUP(I67,#REF!,2,FALSE)</f>
        <v>#REF!</v>
      </c>
    </row>
    <row r="68" spans="1:13" ht="14.45" hidden="1" customHeight="1" x14ac:dyDescent="0.25">
      <c r="A68" s="18" t="str">
        <f t="shared" si="5"/>
        <v>EHS121</v>
      </c>
      <c r="B68" s="47" t="s">
        <v>781</v>
      </c>
      <c r="C68" s="47" t="s">
        <v>47</v>
      </c>
      <c r="D68" s="47" t="s">
        <v>805</v>
      </c>
      <c r="E68" s="47" t="s">
        <v>669</v>
      </c>
      <c r="F68" s="47" t="s">
        <v>670</v>
      </c>
      <c r="G68" s="49" t="e">
        <f t="shared" si="6"/>
        <v>#REF!</v>
      </c>
      <c r="H68" s="47" t="s">
        <v>1456</v>
      </c>
      <c r="I68" s="47" t="e">
        <f>VLOOKUP($E68,#REF!,3,FALSE)</f>
        <v>#REF!</v>
      </c>
      <c r="J68" s="47" t="str">
        <f t="shared" si="7"/>
        <v>Sat:10:15-12:15:MKN-14</v>
      </c>
      <c r="K68" s="18" t="e">
        <f t="shared" si="8"/>
        <v>#REF!</v>
      </c>
      <c r="L68" s="18" t="str">
        <f t="shared" si="9"/>
        <v>Sat:10:15-12:15:BEHS-2</v>
      </c>
      <c r="M68" s="18" t="e">
        <f>VLOOKUP(I68,#REF!,2,FALSE)</f>
        <v>#REF!</v>
      </c>
    </row>
    <row r="69" spans="1:13" ht="14.45" hidden="1" customHeight="1" x14ac:dyDescent="0.25">
      <c r="A69" s="18" t="str">
        <f t="shared" si="5"/>
        <v>EHS223</v>
      </c>
      <c r="B69" s="47" t="s">
        <v>781</v>
      </c>
      <c r="C69" s="47" t="s">
        <v>140</v>
      </c>
      <c r="D69" s="47" t="s">
        <v>802</v>
      </c>
      <c r="E69" s="47" t="s">
        <v>406</v>
      </c>
      <c r="F69" s="47" t="s">
        <v>1009</v>
      </c>
      <c r="G69" s="49" t="e">
        <f t="shared" si="6"/>
        <v>#REF!</v>
      </c>
      <c r="H69" s="47" t="s">
        <v>1457</v>
      </c>
      <c r="I69" s="47" t="e">
        <f>VLOOKUP($E69,#REF!,3,FALSE)</f>
        <v>#REF!</v>
      </c>
      <c r="J69" s="47" t="str">
        <f t="shared" si="7"/>
        <v>Sat:02:45-04:45:MKN-15</v>
      </c>
      <c r="K69" s="18" t="e">
        <f t="shared" si="8"/>
        <v>#REF!</v>
      </c>
      <c r="L69" s="18" t="str">
        <f t="shared" si="9"/>
        <v>Sat:02:45-04:45:BEHS-4</v>
      </c>
      <c r="M69" s="18" t="e">
        <f>VLOOKUP(I69,#REF!,2,FALSE)</f>
        <v>#REF!</v>
      </c>
    </row>
    <row r="70" spans="1:13" ht="14.45" hidden="1" customHeight="1" x14ac:dyDescent="0.25">
      <c r="A70" s="18" t="str">
        <f t="shared" si="5"/>
        <v>EHS113</v>
      </c>
      <c r="B70" s="47" t="s">
        <v>781</v>
      </c>
      <c r="C70" s="47" t="s">
        <v>47</v>
      </c>
      <c r="D70" s="47" t="s">
        <v>787</v>
      </c>
      <c r="E70" s="47" t="s">
        <v>1010</v>
      </c>
      <c r="F70" s="47" t="s">
        <v>1011</v>
      </c>
      <c r="G70" s="49" t="e">
        <f t="shared" si="6"/>
        <v>#REF!</v>
      </c>
      <c r="H70" s="47" t="s">
        <v>3163</v>
      </c>
      <c r="I70" s="47" t="e">
        <f>VLOOKUP($E70,#REF!,3,FALSE)</f>
        <v>#REF!</v>
      </c>
      <c r="J70" s="47" t="str">
        <f t="shared" si="7"/>
        <v>Sat:10:15-12:15:MKN-09</v>
      </c>
      <c r="K70" s="18" t="e">
        <f t="shared" si="8"/>
        <v>#REF!</v>
      </c>
      <c r="L70" s="18" t="str">
        <f t="shared" si="9"/>
        <v>Sat:10:15-12:15:BEHS-1</v>
      </c>
      <c r="M70" s="18" t="e">
        <f>VLOOKUP(I70,#REF!,2,FALSE)</f>
        <v>#REF!</v>
      </c>
    </row>
    <row r="71" spans="1:13" ht="14.45" hidden="1" customHeight="1" x14ac:dyDescent="0.25">
      <c r="A71" s="18" t="str">
        <f t="shared" si="5"/>
        <v>MSS724</v>
      </c>
      <c r="B71" s="47" t="s">
        <v>781</v>
      </c>
      <c r="C71" s="47" t="s">
        <v>96</v>
      </c>
      <c r="D71" s="47" t="s">
        <v>1227</v>
      </c>
      <c r="E71" s="47" t="s">
        <v>820</v>
      </c>
      <c r="F71" s="47" t="s">
        <v>1228</v>
      </c>
      <c r="G71" s="49" t="e">
        <f t="shared" si="6"/>
        <v>#REF!</v>
      </c>
      <c r="H71" s="47" t="s">
        <v>83</v>
      </c>
      <c r="I71" s="47" t="e">
        <f>VLOOKUP($E71,#REF!,3,FALSE)</f>
        <v>#REF!</v>
      </c>
      <c r="J71" s="47" t="str">
        <f t="shared" si="7"/>
        <v>Sat:12:30-02:30:KG-10</v>
      </c>
      <c r="K71" s="18" t="e">
        <f t="shared" si="8"/>
        <v>#REF!</v>
      </c>
      <c r="L71" s="18" t="str">
        <f t="shared" si="9"/>
        <v>Sat:12:30-02:30:MIRDS-3,MSS-2</v>
      </c>
      <c r="M71" s="18" t="e">
        <f>VLOOKUP(I71,#REF!,2,FALSE)</f>
        <v>#REF!</v>
      </c>
    </row>
    <row r="72" spans="1:13" ht="14.45" hidden="1" customHeight="1" x14ac:dyDescent="0.25">
      <c r="A72" s="18" t="str">
        <f t="shared" si="5"/>
        <v>MBA729</v>
      </c>
      <c r="B72" s="47" t="s">
        <v>781</v>
      </c>
      <c r="C72" s="47" t="s">
        <v>47</v>
      </c>
      <c r="D72" s="47" t="s">
        <v>1201</v>
      </c>
      <c r="E72" s="47" t="s">
        <v>1024</v>
      </c>
      <c r="F72" s="47" t="s">
        <v>1025</v>
      </c>
      <c r="G72" s="49" t="e">
        <f t="shared" si="6"/>
        <v>#REF!</v>
      </c>
      <c r="H72" s="47" t="s">
        <v>33</v>
      </c>
      <c r="I72" s="47" t="e">
        <f>VLOOKUP($E72,#REF!,3,FALSE)</f>
        <v>#REF!</v>
      </c>
      <c r="J72" s="47" t="str">
        <f t="shared" si="7"/>
        <v>Sat:10:15-12:15:SI-214</v>
      </c>
      <c r="K72" s="18" t="e">
        <f t="shared" si="8"/>
        <v>#REF!</v>
      </c>
      <c r="L72" s="18" t="str">
        <f t="shared" si="9"/>
        <v>Sat:10:15-12:15:MBA-2,MPM-2,MED-2,MIT-2</v>
      </c>
      <c r="M72" s="18" t="e">
        <f>VLOOKUP(I72,#REF!,2,FALSE)</f>
        <v>#REF!</v>
      </c>
    </row>
    <row r="73" spans="1:13" ht="14.45" hidden="1" customHeight="1" x14ac:dyDescent="0.25">
      <c r="A73" s="18" t="str">
        <f t="shared" si="5"/>
        <v>EHS323</v>
      </c>
      <c r="B73" s="47" t="s">
        <v>812</v>
      </c>
      <c r="C73" s="47" t="s">
        <v>10</v>
      </c>
      <c r="D73" s="47" t="s">
        <v>826</v>
      </c>
      <c r="E73" s="47" t="s">
        <v>1030</v>
      </c>
      <c r="F73" s="47" t="s">
        <v>1031</v>
      </c>
      <c r="G73" s="49" t="e">
        <f t="shared" si="6"/>
        <v>#REF!</v>
      </c>
      <c r="H73" s="47" t="s">
        <v>1458</v>
      </c>
      <c r="I73" s="47" t="e">
        <f>VLOOKUP($E73,#REF!,3,FALSE)</f>
        <v>#REF!</v>
      </c>
      <c r="J73" s="47" t="str">
        <f t="shared" si="7"/>
        <v>Sun:08:00-10:00:MKN-16</v>
      </c>
      <c r="K73" s="18" t="e">
        <f t="shared" si="8"/>
        <v>#REF!</v>
      </c>
      <c r="L73" s="18" t="str">
        <f t="shared" si="9"/>
        <v>Sun:08:00-10:00:BEHS-6</v>
      </c>
      <c r="M73" s="18" t="e">
        <f>VLOOKUP(I73,#REF!,2,FALSE)</f>
        <v>#REF!</v>
      </c>
    </row>
    <row r="74" spans="1:13" ht="14.45" hidden="1" customHeight="1" x14ac:dyDescent="0.25">
      <c r="A74" s="18" t="str">
        <f t="shared" si="5"/>
        <v>MPM814</v>
      </c>
      <c r="B74" s="47" t="s">
        <v>781</v>
      </c>
      <c r="C74" s="47" t="s">
        <v>10</v>
      </c>
      <c r="D74" s="47" t="s">
        <v>831</v>
      </c>
      <c r="E74" s="47" t="s">
        <v>1054</v>
      </c>
      <c r="F74" s="47" t="s">
        <v>1055</v>
      </c>
      <c r="G74" s="49" t="e">
        <f t="shared" si="6"/>
        <v>#REF!</v>
      </c>
      <c r="H74" s="49" t="s">
        <v>792</v>
      </c>
      <c r="I74" s="47" t="e">
        <f>VLOOKUP($E74,#REF!,3,FALSE)</f>
        <v>#REF!</v>
      </c>
      <c r="J74" s="47" t="str">
        <f t="shared" si="7"/>
        <v>Sat:08:00-10:00:SI-102</v>
      </c>
      <c r="K74" s="18" t="e">
        <f t="shared" si="8"/>
        <v>#REF!</v>
      </c>
      <c r="L74" s="18" t="str">
        <f t="shared" si="9"/>
        <v>Sat:08:00-10:00:MPM-3</v>
      </c>
      <c r="M74" s="18" t="e">
        <f>VLOOKUP(I74,#REF!,2,FALSE)</f>
        <v>#REF!</v>
      </c>
    </row>
    <row r="75" spans="1:13" ht="14.45" hidden="1" customHeight="1" x14ac:dyDescent="0.25">
      <c r="A75" s="18" t="str">
        <f t="shared" si="5"/>
        <v>MSS814</v>
      </c>
      <c r="B75" s="47" t="s">
        <v>781</v>
      </c>
      <c r="C75" s="47" t="s">
        <v>140</v>
      </c>
      <c r="D75" s="47" t="s">
        <v>816</v>
      </c>
      <c r="E75" s="47" t="s">
        <v>1062</v>
      </c>
      <c r="F75" s="47" t="s">
        <v>1063</v>
      </c>
      <c r="G75" s="49" t="e">
        <f t="shared" si="6"/>
        <v>#REF!</v>
      </c>
      <c r="H75" s="47" t="s">
        <v>87</v>
      </c>
      <c r="I75" s="47" t="e">
        <f>VLOOKUP($E75,#REF!,3,FALSE)</f>
        <v>#REF!</v>
      </c>
      <c r="J75" s="47" t="str">
        <f t="shared" si="7"/>
        <v>Sat:02:45-04:45:KG-6</v>
      </c>
      <c r="K75" s="18" t="e">
        <f t="shared" si="8"/>
        <v>#REF!</v>
      </c>
      <c r="L75" s="18" t="str">
        <f t="shared" si="9"/>
        <v>Sat:02:45-04:45:MSS-3</v>
      </c>
      <c r="M75" s="18" t="e">
        <f>VLOOKUP(I75,#REF!,2,FALSE)</f>
        <v>#REF!</v>
      </c>
    </row>
    <row r="76" spans="1:13" ht="14.45" hidden="1" customHeight="1" x14ac:dyDescent="0.25">
      <c r="A76" s="18" t="str">
        <f t="shared" si="5"/>
        <v>MIT715</v>
      </c>
      <c r="B76" s="47" t="s">
        <v>781</v>
      </c>
      <c r="C76" s="47" t="s">
        <v>10</v>
      </c>
      <c r="D76" s="47" t="s">
        <v>1179</v>
      </c>
      <c r="E76" s="47" t="s">
        <v>1233</v>
      </c>
      <c r="F76" s="47" t="s">
        <v>1234</v>
      </c>
      <c r="G76" s="49" t="e">
        <f t="shared" si="6"/>
        <v>#REF!</v>
      </c>
      <c r="H76" s="47" t="s">
        <v>983</v>
      </c>
      <c r="I76" s="47" t="e">
        <f>VLOOKUP($E76,#REF!,3,FALSE)</f>
        <v>#REF!</v>
      </c>
      <c r="J76" s="47" t="str">
        <f t="shared" si="7"/>
        <v>Sat:08:00-10:00:Online</v>
      </c>
      <c r="K76" s="18" t="e">
        <f t="shared" si="8"/>
        <v>#REF!</v>
      </c>
      <c r="L76" s="18" t="str">
        <f t="shared" si="9"/>
        <v>Sat:08:00-10:00:MIT-1</v>
      </c>
      <c r="M76" s="18" t="e">
        <f>VLOOKUP(I76,#REF!,2,FALSE)</f>
        <v>#REF!</v>
      </c>
    </row>
    <row r="77" spans="1:13" ht="14.45" hidden="1" customHeight="1" x14ac:dyDescent="0.25">
      <c r="A77" s="18" t="str">
        <f t="shared" si="5"/>
        <v>MIT716</v>
      </c>
      <c r="B77" s="47" t="s">
        <v>781</v>
      </c>
      <c r="C77" s="47" t="s">
        <v>96</v>
      </c>
      <c r="D77" s="47" t="s">
        <v>1179</v>
      </c>
      <c r="E77" s="47" t="s">
        <v>1225</v>
      </c>
      <c r="F77" s="47" t="s">
        <v>1226</v>
      </c>
      <c r="G77" s="49" t="e">
        <f t="shared" si="6"/>
        <v>#REF!</v>
      </c>
      <c r="H77" s="47" t="s">
        <v>983</v>
      </c>
      <c r="I77" s="47" t="e">
        <f>VLOOKUP($E77,#REF!,3,FALSE)</f>
        <v>#REF!</v>
      </c>
      <c r="J77" s="47" t="str">
        <f t="shared" si="7"/>
        <v>Sat:12:30-02:30:Online</v>
      </c>
      <c r="K77" s="18" t="e">
        <f t="shared" si="8"/>
        <v>#REF!</v>
      </c>
      <c r="L77" s="18" t="str">
        <f t="shared" si="9"/>
        <v>Sat:12:30-02:30:MIT-1</v>
      </c>
      <c r="M77" s="18" t="e">
        <f>VLOOKUP(I77,#REF!,2,FALSE)</f>
        <v>#REF!</v>
      </c>
    </row>
    <row r="78" spans="1:13" ht="14.45" hidden="1" customHeight="1" x14ac:dyDescent="0.25">
      <c r="A78" s="18" t="str">
        <f t="shared" si="5"/>
        <v>MIT718</v>
      </c>
      <c r="B78" s="47" t="s">
        <v>781</v>
      </c>
      <c r="C78" s="47" t="s">
        <v>47</v>
      </c>
      <c r="D78" s="47" t="s">
        <v>1179</v>
      </c>
      <c r="E78" s="47" t="s">
        <v>1180</v>
      </c>
      <c r="F78" s="47" t="s">
        <v>1181</v>
      </c>
      <c r="G78" s="49" t="e">
        <f t="shared" si="6"/>
        <v>#REF!</v>
      </c>
      <c r="H78" s="47" t="s">
        <v>983</v>
      </c>
      <c r="I78" s="47" t="e">
        <f>VLOOKUP($E78,#REF!,3,FALSE)</f>
        <v>#REF!</v>
      </c>
      <c r="J78" s="47" t="str">
        <f t="shared" si="7"/>
        <v>Sat:10:15-12:15:Online</v>
      </c>
      <c r="K78" s="18" t="e">
        <f t="shared" si="8"/>
        <v>#REF!</v>
      </c>
      <c r="L78" s="18" t="str">
        <f t="shared" si="9"/>
        <v>Sat:10:15-12:15:MIT-1</v>
      </c>
      <c r="M78" s="18" t="e">
        <f>VLOOKUP(I78,#REF!,2,FALSE)</f>
        <v>#REF!</v>
      </c>
    </row>
    <row r="79" spans="1:13" ht="14.45" hidden="1" customHeight="1" x14ac:dyDescent="0.25">
      <c r="A79" s="18" t="str">
        <f t="shared" si="5"/>
        <v>MIT727</v>
      </c>
      <c r="B79" s="47" t="s">
        <v>781</v>
      </c>
      <c r="C79" s="47" t="s">
        <v>96</v>
      </c>
      <c r="D79" s="47" t="s">
        <v>1182</v>
      </c>
      <c r="E79" s="47" t="s">
        <v>1183</v>
      </c>
      <c r="F79" s="47" t="s">
        <v>1184</v>
      </c>
      <c r="G79" s="49" t="e">
        <f t="shared" si="6"/>
        <v>#REF!</v>
      </c>
      <c r="H79" s="47" t="s">
        <v>983</v>
      </c>
      <c r="I79" s="47" t="e">
        <f>VLOOKUP($E79,#REF!,3,FALSE)</f>
        <v>#REF!</v>
      </c>
      <c r="J79" s="47" t="str">
        <f t="shared" si="7"/>
        <v>Sat:12:30-02:30:Online</v>
      </c>
      <c r="K79" s="18" t="e">
        <f t="shared" si="8"/>
        <v>#REF!</v>
      </c>
      <c r="L79" s="18" t="str">
        <f t="shared" si="9"/>
        <v>Sat:12:30-02:30:MIT-2</v>
      </c>
      <c r="M79" s="18" t="e">
        <f>VLOOKUP(I79,#REF!,2,FALSE)</f>
        <v>#REF!</v>
      </c>
    </row>
    <row r="80" spans="1:13" ht="14.45" hidden="1" customHeight="1" x14ac:dyDescent="0.25">
      <c r="A80" s="18" t="str">
        <f t="shared" si="5"/>
        <v>MIT728</v>
      </c>
      <c r="B80" s="47" t="s">
        <v>781</v>
      </c>
      <c r="C80" s="47" t="s">
        <v>140</v>
      </c>
      <c r="D80" s="47" t="s">
        <v>1182</v>
      </c>
      <c r="E80" s="47" t="s">
        <v>1192</v>
      </c>
      <c r="F80" s="47" t="s">
        <v>1193</v>
      </c>
      <c r="G80" s="49" t="e">
        <f t="shared" si="6"/>
        <v>#REF!</v>
      </c>
      <c r="H80" s="47" t="s">
        <v>983</v>
      </c>
      <c r="I80" s="47" t="e">
        <f>VLOOKUP($E80,#REF!,3,FALSE)</f>
        <v>#REF!</v>
      </c>
      <c r="J80" s="47" t="str">
        <f t="shared" si="7"/>
        <v>Sat:02:45-04:45:Online</v>
      </c>
      <c r="K80" s="18" t="e">
        <f t="shared" si="8"/>
        <v>#REF!</v>
      </c>
      <c r="L80" s="18" t="str">
        <f t="shared" si="9"/>
        <v>Sat:02:45-04:45:MIT-2</v>
      </c>
      <c r="M80" s="18" t="e">
        <f>VLOOKUP(I80,#REF!,2,FALSE)</f>
        <v>#REF!</v>
      </c>
    </row>
    <row r="81" spans="1:13" ht="14.45" hidden="1" customHeight="1" x14ac:dyDescent="0.25">
      <c r="A81" s="18" t="str">
        <f t="shared" si="5"/>
        <v>MIT729</v>
      </c>
      <c r="B81" s="47" t="s">
        <v>781</v>
      </c>
      <c r="C81" s="47" t="s">
        <v>10</v>
      </c>
      <c r="D81" s="47" t="s">
        <v>1182</v>
      </c>
      <c r="E81" s="47" t="s">
        <v>1199</v>
      </c>
      <c r="F81" s="47" t="s">
        <v>1200</v>
      </c>
      <c r="G81" s="49" t="e">
        <f t="shared" si="6"/>
        <v>#REF!</v>
      </c>
      <c r="H81" s="47" t="s">
        <v>983</v>
      </c>
      <c r="I81" s="47" t="e">
        <f>VLOOKUP($E81,#REF!,3,FALSE)</f>
        <v>#REF!</v>
      </c>
      <c r="J81" s="47" t="str">
        <f t="shared" si="7"/>
        <v>Sat:08:00-10:00:Online</v>
      </c>
      <c r="K81" s="18" t="e">
        <f t="shared" si="8"/>
        <v>#REF!</v>
      </c>
      <c r="L81" s="18" t="str">
        <f t="shared" si="9"/>
        <v>Sat:08:00-10:00:MIT-2</v>
      </c>
      <c r="M81" s="18" t="e">
        <f>VLOOKUP(I81,#REF!,2,FALSE)</f>
        <v>#REF!</v>
      </c>
    </row>
    <row r="82" spans="1:13" ht="14.45" hidden="1" customHeight="1" x14ac:dyDescent="0.25">
      <c r="A82" s="18" t="str">
        <f t="shared" si="5"/>
        <v>BBF317</v>
      </c>
      <c r="B82" s="47" t="s">
        <v>812</v>
      </c>
      <c r="C82" s="47" t="s">
        <v>140</v>
      </c>
      <c r="D82" s="47" t="s">
        <v>535</v>
      </c>
      <c r="E82" s="47" t="s">
        <v>1230</v>
      </c>
      <c r="F82" s="47" t="s">
        <v>1231</v>
      </c>
      <c r="G82" s="49" t="e">
        <f t="shared" si="6"/>
        <v>#REF!</v>
      </c>
      <c r="H82" s="47" t="s">
        <v>87</v>
      </c>
      <c r="I82" s="47" t="e">
        <f>VLOOKUP($E82,#REF!,3,FALSE)</f>
        <v>#REF!</v>
      </c>
      <c r="J82" s="47" t="str">
        <f t="shared" si="7"/>
        <v>Sun:02:45-04:45:KG-6</v>
      </c>
      <c r="K82" s="18" t="e">
        <f t="shared" si="8"/>
        <v>#REF!</v>
      </c>
      <c r="L82" s="18" t="str">
        <f t="shared" si="9"/>
        <v>Sun:02:45-04:45:BBA-AF-5</v>
      </c>
      <c r="M82" s="18" t="e">
        <f>VLOOKUP(I82,#REF!,2,FALSE)</f>
        <v>#REF!</v>
      </c>
    </row>
    <row r="83" spans="1:13" ht="14.45" hidden="1" customHeight="1" x14ac:dyDescent="0.25">
      <c r="A83" s="18" t="str">
        <f t="shared" si="5"/>
        <v>MIT722</v>
      </c>
      <c r="B83" s="47" t="s">
        <v>781</v>
      </c>
      <c r="C83" s="47" t="s">
        <v>140</v>
      </c>
      <c r="D83" s="47" t="s">
        <v>1524</v>
      </c>
      <c r="E83" s="47" t="s">
        <v>1464</v>
      </c>
      <c r="F83" s="47" t="s">
        <v>1465</v>
      </c>
      <c r="G83" s="49" t="e">
        <f t="shared" si="6"/>
        <v>#REF!</v>
      </c>
      <c r="H83" s="47" t="s">
        <v>983</v>
      </c>
      <c r="I83" s="47" t="e">
        <f>VLOOKUP($E83,#REF!,3,FALSE)</f>
        <v>#REF!</v>
      </c>
      <c r="J83" s="47" t="str">
        <f t="shared" si="7"/>
        <v>Sat:02:45-04:45:Online</v>
      </c>
      <c r="K83" s="18" t="e">
        <f t="shared" si="8"/>
        <v>#REF!</v>
      </c>
      <c r="L83" s="18" t="str">
        <f t="shared" si="9"/>
        <v>Sat:02:45-04:45:MIT-3</v>
      </c>
      <c r="M83" s="18" t="e">
        <f>VLOOKUP(I83,#REF!,2,FALSE)</f>
        <v>#REF!</v>
      </c>
    </row>
    <row r="84" spans="1:13" ht="14.45" hidden="1" customHeight="1" x14ac:dyDescent="0.25">
      <c r="A84" s="18" t="str">
        <f t="shared" si="5"/>
        <v>MIT821</v>
      </c>
      <c r="B84" s="47" t="s">
        <v>781</v>
      </c>
      <c r="C84" s="47" t="s">
        <v>47</v>
      </c>
      <c r="D84" s="47" t="s">
        <v>1524</v>
      </c>
      <c r="E84" s="47" t="s">
        <v>1463</v>
      </c>
      <c r="F84" s="47" t="s">
        <v>139</v>
      </c>
      <c r="G84" s="49" t="e">
        <f t="shared" si="6"/>
        <v>#REF!</v>
      </c>
      <c r="H84" s="47" t="s">
        <v>983</v>
      </c>
      <c r="I84" s="47" t="e">
        <f>VLOOKUP($E84,#REF!,3,FALSE)</f>
        <v>#REF!</v>
      </c>
      <c r="J84" s="47" t="str">
        <f t="shared" si="7"/>
        <v>Sat:10:15-12:15:Online</v>
      </c>
      <c r="K84" s="18" t="e">
        <f t="shared" si="8"/>
        <v>#REF!</v>
      </c>
      <c r="L84" s="18" t="str">
        <f t="shared" si="9"/>
        <v>Sat:10:15-12:15:MIT-3</v>
      </c>
      <c r="M84" s="18" t="e">
        <f>VLOOKUP(I84,#REF!,2,FALSE)</f>
        <v>#REF!</v>
      </c>
    </row>
    <row r="85" spans="1:13" ht="14.45" hidden="1" customHeight="1" x14ac:dyDescent="0.25">
      <c r="A85" s="18" t="str">
        <f t="shared" si="5"/>
        <v>MIT822</v>
      </c>
      <c r="B85" s="47" t="s">
        <v>781</v>
      </c>
      <c r="C85" s="47" t="s">
        <v>10</v>
      </c>
      <c r="D85" s="47" t="s">
        <v>1524</v>
      </c>
      <c r="E85" s="47" t="s">
        <v>1461</v>
      </c>
      <c r="F85" s="47" t="s">
        <v>1462</v>
      </c>
      <c r="G85" s="49" t="e">
        <f t="shared" si="6"/>
        <v>#REF!</v>
      </c>
      <c r="H85" s="47" t="s">
        <v>983</v>
      </c>
      <c r="I85" s="47" t="e">
        <f>VLOOKUP($E85,#REF!,3,FALSE)</f>
        <v>#REF!</v>
      </c>
      <c r="J85" s="47" t="str">
        <f t="shared" si="7"/>
        <v>Sat:08:00-10:00:Online</v>
      </c>
      <c r="K85" s="18" t="e">
        <f t="shared" si="8"/>
        <v>#REF!</v>
      </c>
      <c r="L85" s="18" t="str">
        <f t="shared" si="9"/>
        <v>Sat:08:00-10:00:MIT-3</v>
      </c>
      <c r="M85" s="18" t="e">
        <f>VLOOKUP(I85,#REF!,2,FALSE)</f>
        <v>#REF!</v>
      </c>
    </row>
    <row r="86" spans="1:13" ht="14.45" hidden="1" customHeight="1" x14ac:dyDescent="0.25">
      <c r="A86" s="18" t="str">
        <f t="shared" si="5"/>
        <v>MIT823</v>
      </c>
      <c r="B86" s="47" t="s">
        <v>781</v>
      </c>
      <c r="C86" s="47" t="s">
        <v>96</v>
      </c>
      <c r="D86" s="47" t="s">
        <v>1524</v>
      </c>
      <c r="E86" s="47" t="s">
        <v>1466</v>
      </c>
      <c r="F86" s="47" t="s">
        <v>1467</v>
      </c>
      <c r="G86" s="49" t="e">
        <f t="shared" si="6"/>
        <v>#REF!</v>
      </c>
      <c r="H86" s="47" t="s">
        <v>983</v>
      </c>
      <c r="I86" s="47" t="e">
        <f>VLOOKUP($E86,#REF!,3,FALSE)</f>
        <v>#REF!</v>
      </c>
      <c r="J86" s="47" t="str">
        <f t="shared" si="7"/>
        <v>Sat:12:30-02:30:Online</v>
      </c>
      <c r="K86" s="18" t="e">
        <f t="shared" si="8"/>
        <v>#REF!</v>
      </c>
      <c r="L86" s="18" t="str">
        <f t="shared" si="9"/>
        <v>Sat:12:30-02:30:MIT-3</v>
      </c>
      <c r="M86" s="18" t="e">
        <f>VLOOKUP(I86,#REF!,2,FALSE)</f>
        <v>#REF!</v>
      </c>
    </row>
    <row r="87" spans="1:13" ht="14.45" hidden="1" customHeight="1" x14ac:dyDescent="0.25">
      <c r="A87" s="18" t="str">
        <f t="shared" si="5"/>
        <v>BAC322</v>
      </c>
      <c r="B87" s="47" t="s">
        <v>781</v>
      </c>
      <c r="C87" s="47" t="s">
        <v>96</v>
      </c>
      <c r="D87" s="47" t="s">
        <v>284</v>
      </c>
      <c r="E87" s="47" t="s">
        <v>586</v>
      </c>
      <c r="F87" s="47" t="s">
        <v>587</v>
      </c>
      <c r="G87" s="49" t="e">
        <f t="shared" si="6"/>
        <v>#REF!</v>
      </c>
      <c r="H87" s="47" t="s">
        <v>237</v>
      </c>
      <c r="I87" s="47" t="e">
        <f>VLOOKUP($E87,#REF!,3,FALSE)</f>
        <v>#REF!</v>
      </c>
      <c r="J87" s="47" t="str">
        <f t="shared" si="7"/>
        <v>Sat:12:30-02:30:KG-14</v>
      </c>
      <c r="K87" s="18" t="e">
        <f t="shared" si="8"/>
        <v>#REF!</v>
      </c>
      <c r="L87" s="18" t="str">
        <f t="shared" si="9"/>
        <v>Sat:12:30-02:30:BBA-AF-6</v>
      </c>
      <c r="M87" s="18" t="e">
        <f>VLOOKUP(I87,#REF!,2,FALSE)</f>
        <v>#REF!</v>
      </c>
    </row>
    <row r="88" spans="1:13" ht="14.45" hidden="1" customHeight="1" x14ac:dyDescent="0.25">
      <c r="A88" s="18" t="str">
        <f t="shared" si="5"/>
        <v>BAC326</v>
      </c>
      <c r="B88" s="47" t="s">
        <v>781</v>
      </c>
      <c r="C88" s="47" t="s">
        <v>47</v>
      </c>
      <c r="D88" s="47" t="s">
        <v>284</v>
      </c>
      <c r="E88" s="47" t="s">
        <v>720</v>
      </c>
      <c r="F88" s="47" t="s">
        <v>721</v>
      </c>
      <c r="G88" s="49" t="e">
        <f t="shared" si="6"/>
        <v>#REF!</v>
      </c>
      <c r="H88" s="47" t="s">
        <v>55</v>
      </c>
      <c r="I88" s="47" t="e">
        <f>VLOOKUP($E88,#REF!,3,FALSE)</f>
        <v>#REF!</v>
      </c>
      <c r="J88" s="47" t="str">
        <f t="shared" si="7"/>
        <v>Sat:10:15-12:15:KG-7</v>
      </c>
      <c r="K88" s="18" t="e">
        <f t="shared" si="8"/>
        <v>#REF!</v>
      </c>
      <c r="L88" s="18" t="str">
        <f t="shared" si="9"/>
        <v>Sat:10:15-12:15:BBA-AF-6</v>
      </c>
      <c r="M88" s="18" t="e">
        <f>VLOOKUP(I88,#REF!,2,FALSE)</f>
        <v>#REF!</v>
      </c>
    </row>
    <row r="89" spans="1:13" ht="14.45" hidden="1" customHeight="1" x14ac:dyDescent="0.25">
      <c r="A89" s="18" t="str">
        <f t="shared" si="5"/>
        <v xml:space="preserve">BAC321 </v>
      </c>
      <c r="B89" s="47" t="s">
        <v>781</v>
      </c>
      <c r="C89" s="47" t="s">
        <v>10</v>
      </c>
      <c r="D89" s="47" t="s">
        <v>1483</v>
      </c>
      <c r="E89" s="47" t="s">
        <v>1484</v>
      </c>
      <c r="F89" s="47" t="s">
        <v>510</v>
      </c>
      <c r="G89" s="49" t="e">
        <f t="shared" si="6"/>
        <v>#REF!</v>
      </c>
      <c r="H89" s="47" t="s">
        <v>287</v>
      </c>
      <c r="I89" s="47" t="e">
        <f>VLOOKUP($E89,#REF!,3,FALSE)</f>
        <v>#REF!</v>
      </c>
      <c r="J89" s="47" t="str">
        <f t="shared" si="7"/>
        <v>Sat:08:00-10:00:KG-13</v>
      </c>
      <c r="K89" s="18" t="e">
        <f t="shared" si="8"/>
        <v>#REF!</v>
      </c>
      <c r="L89" s="18" t="str">
        <f t="shared" si="9"/>
        <v>Sat:08:00-10:00:BBA-BF-6,AF-6</v>
      </c>
      <c r="M89" s="18" t="e">
        <f>VLOOKUP(I89,#REF!,2,FALSE)</f>
        <v>#REF!</v>
      </c>
    </row>
    <row r="90" spans="1:13" ht="14.45" hidden="1" customHeight="1" x14ac:dyDescent="0.25">
      <c r="A90" s="18" t="str">
        <f t="shared" si="5"/>
        <v>HRM312</v>
      </c>
      <c r="B90" s="47" t="s">
        <v>781</v>
      </c>
      <c r="C90" s="47" t="s">
        <v>140</v>
      </c>
      <c r="D90" s="47" t="s">
        <v>229</v>
      </c>
      <c r="E90" s="47" t="s">
        <v>615</v>
      </c>
      <c r="F90" s="47" t="s">
        <v>616</v>
      </c>
      <c r="G90" s="49" t="e">
        <f t="shared" si="6"/>
        <v>#REF!</v>
      </c>
      <c r="H90" s="47" t="s">
        <v>83</v>
      </c>
      <c r="I90" s="47" t="e">
        <f>VLOOKUP($E90,#REF!,3,FALSE)</f>
        <v>#REF!</v>
      </c>
      <c r="J90" s="47" t="str">
        <f t="shared" si="7"/>
        <v>Sat:02:45-04:45:KG-10</v>
      </c>
      <c r="K90" s="18" t="e">
        <f t="shared" si="8"/>
        <v>#REF!</v>
      </c>
      <c r="L90" s="18" t="str">
        <f t="shared" si="9"/>
        <v>Sat:02:45-04:45:BBA-HRM-5</v>
      </c>
      <c r="M90" s="18" t="e">
        <f>VLOOKUP(I90,#REF!,2,FALSE)</f>
        <v>#REF!</v>
      </c>
    </row>
    <row r="91" spans="1:13" ht="14.45" hidden="1" customHeight="1" x14ac:dyDescent="0.25">
      <c r="A91" s="18" t="str">
        <f t="shared" si="5"/>
        <v>HRM313</v>
      </c>
      <c r="B91" s="47" t="s">
        <v>781</v>
      </c>
      <c r="C91" s="47" t="s">
        <v>10</v>
      </c>
      <c r="D91" s="47" t="s">
        <v>229</v>
      </c>
      <c r="E91" s="47" t="s">
        <v>691</v>
      </c>
      <c r="F91" s="47" t="s">
        <v>692</v>
      </c>
      <c r="G91" s="49" t="e">
        <f t="shared" si="6"/>
        <v>#REF!</v>
      </c>
      <c r="H91" s="47" t="s">
        <v>24</v>
      </c>
      <c r="I91" s="47" t="e">
        <f>VLOOKUP($E91,#REF!,3,FALSE)</f>
        <v>#REF!</v>
      </c>
      <c r="J91" s="47" t="str">
        <f t="shared" si="7"/>
        <v>Sat:08:00-10:00:KG-9</v>
      </c>
      <c r="K91" s="18" t="e">
        <f t="shared" si="8"/>
        <v>#REF!</v>
      </c>
      <c r="L91" s="18" t="str">
        <f t="shared" si="9"/>
        <v>Sat:08:00-10:00:BBA-HRM-5</v>
      </c>
      <c r="M91" s="18" t="e">
        <f>VLOOKUP(I91,#REF!,2,FALSE)</f>
        <v>#REF!</v>
      </c>
    </row>
    <row r="92" spans="1:13" ht="14.45" hidden="1" customHeight="1" x14ac:dyDescent="0.25">
      <c r="A92" s="18" t="str">
        <f t="shared" si="5"/>
        <v>HRM316</v>
      </c>
      <c r="B92" s="47" t="s">
        <v>781</v>
      </c>
      <c r="C92" s="47" t="s">
        <v>96</v>
      </c>
      <c r="D92" s="47" t="s">
        <v>1260</v>
      </c>
      <c r="E92" s="47" t="s">
        <v>1261</v>
      </c>
      <c r="F92" s="47" t="s">
        <v>1525</v>
      </c>
      <c r="G92" s="49" t="e">
        <f t="shared" si="6"/>
        <v>#REF!</v>
      </c>
      <c r="H92" s="47" t="s">
        <v>79</v>
      </c>
      <c r="I92" s="47" t="e">
        <f>VLOOKUP($E92,#REF!,3,FALSE)</f>
        <v>#REF!</v>
      </c>
      <c r="J92" s="47" t="str">
        <f t="shared" si="7"/>
        <v>Sat:12:30-02:30:KG-11</v>
      </c>
      <c r="K92" s="18" t="e">
        <f t="shared" si="8"/>
        <v>#REF!</v>
      </c>
      <c r="L92" s="18" t="str">
        <f t="shared" si="9"/>
        <v>Sat:12:30-02:30:BBA-HRM-5,BBA-G-5</v>
      </c>
      <c r="M92" s="18" t="e">
        <f>VLOOKUP(I92,#REF!,2,FALSE)</f>
        <v>#REF!</v>
      </c>
    </row>
    <row r="93" spans="1:13" ht="14.45" hidden="1" customHeight="1" x14ac:dyDescent="0.25">
      <c r="A93" s="18" t="str">
        <f t="shared" si="5"/>
        <v>PLM314</v>
      </c>
      <c r="B93" s="47" t="s">
        <v>781</v>
      </c>
      <c r="C93" s="47" t="s">
        <v>47</v>
      </c>
      <c r="D93" s="47" t="s">
        <v>484</v>
      </c>
      <c r="E93" s="47" t="s">
        <v>485</v>
      </c>
      <c r="F93" s="47" t="s">
        <v>486</v>
      </c>
      <c r="G93" s="49" t="e">
        <f t="shared" si="6"/>
        <v>#REF!</v>
      </c>
      <c r="H93" s="47" t="s">
        <v>15</v>
      </c>
      <c r="I93" s="47" t="e">
        <f>VLOOKUP($E93,#REF!,3,FALSE)</f>
        <v>#REF!</v>
      </c>
      <c r="J93" s="47" t="str">
        <f t="shared" si="7"/>
        <v>Sat:10:15-12:15:SI-105</v>
      </c>
      <c r="K93" s="18" t="e">
        <f t="shared" si="8"/>
        <v>#REF!</v>
      </c>
      <c r="L93" s="18" t="str">
        <f t="shared" si="9"/>
        <v>Sat:10:15-12:15:BBA-PL-5,G-5</v>
      </c>
      <c r="M93" s="18" t="e">
        <f>VLOOKUP(I93,#REF!,2,FALSE)</f>
        <v>#REF!</v>
      </c>
    </row>
    <row r="94" spans="1:13" ht="14.45" hidden="1" customHeight="1" x14ac:dyDescent="0.25">
      <c r="A94" s="18" t="str">
        <f t="shared" si="5"/>
        <v>PLM318</v>
      </c>
      <c r="B94" s="47" t="s">
        <v>781</v>
      </c>
      <c r="C94" s="47" t="s">
        <v>140</v>
      </c>
      <c r="D94" s="47" t="s">
        <v>276</v>
      </c>
      <c r="E94" s="47" t="s">
        <v>1172</v>
      </c>
      <c r="F94" s="47" t="s">
        <v>1477</v>
      </c>
      <c r="G94" s="49" t="e">
        <f t="shared" si="6"/>
        <v>#REF!</v>
      </c>
      <c r="H94" s="47" t="s">
        <v>55</v>
      </c>
      <c r="I94" s="47" t="e">
        <f>VLOOKUP($E94,#REF!,3,FALSE)</f>
        <v>#REF!</v>
      </c>
      <c r="J94" s="47" t="str">
        <f t="shared" si="7"/>
        <v>Sat:02:45-04:45:KG-7</v>
      </c>
      <c r="K94" s="18" t="e">
        <f t="shared" si="8"/>
        <v>#REF!</v>
      </c>
      <c r="L94" s="18" t="str">
        <f t="shared" si="9"/>
        <v>Sat:02:45-04:45:BBA-PL-5</v>
      </c>
      <c r="M94" s="18" t="e">
        <f>VLOOKUP(I94,#REF!,2,FALSE)</f>
        <v>#REF!</v>
      </c>
    </row>
    <row r="95" spans="1:13" ht="14.45" hidden="1" customHeight="1" x14ac:dyDescent="0.25">
      <c r="A95" s="18" t="str">
        <f t="shared" si="5"/>
        <v>BBF326</v>
      </c>
      <c r="B95" s="47" t="s">
        <v>781</v>
      </c>
      <c r="C95" s="47" t="s">
        <v>140</v>
      </c>
      <c r="D95" s="47" t="s">
        <v>1486</v>
      </c>
      <c r="E95" s="47" t="s">
        <v>603</v>
      </c>
      <c r="F95" s="47" t="s">
        <v>1526</v>
      </c>
      <c r="G95" s="49" t="e">
        <f t="shared" si="6"/>
        <v>#REF!</v>
      </c>
      <c r="H95" s="47" t="s">
        <v>87</v>
      </c>
      <c r="I95" s="47" t="e">
        <f>VLOOKUP($E95,#REF!,3,FALSE)</f>
        <v>#REF!</v>
      </c>
      <c r="J95" s="47" t="str">
        <f t="shared" si="7"/>
        <v>Sat:02:45-04:45:KG-6</v>
      </c>
      <c r="K95" s="18" t="e">
        <f t="shared" si="8"/>
        <v>#REF!</v>
      </c>
      <c r="L95" s="18"/>
      <c r="M95" s="18" t="e">
        <f>VLOOKUP(I95,#REF!,2,FALSE)</f>
        <v>#REF!</v>
      </c>
    </row>
    <row r="96" spans="1:13" ht="14.45" hidden="1" customHeight="1" x14ac:dyDescent="0.25">
      <c r="A96" s="18" t="str">
        <f t="shared" si="5"/>
        <v>HRM323</v>
      </c>
      <c r="B96" s="47" t="s">
        <v>781</v>
      </c>
      <c r="C96" s="47" t="s">
        <v>140</v>
      </c>
      <c r="D96" s="47" t="s">
        <v>3529</v>
      </c>
      <c r="E96" s="47" t="s">
        <v>1248</v>
      </c>
      <c r="F96" s="47" t="s">
        <v>1249</v>
      </c>
      <c r="G96" s="49" t="e">
        <f t="shared" si="6"/>
        <v>#REF!</v>
      </c>
      <c r="H96" s="47" t="s">
        <v>287</v>
      </c>
      <c r="I96" s="47" t="e">
        <f>VLOOKUP($E96,#REF!,3,FALSE)</f>
        <v>#REF!</v>
      </c>
      <c r="J96" s="47" t="str">
        <f t="shared" si="7"/>
        <v>Sat:02:45-04:45:KG-13</v>
      </c>
      <c r="K96" s="18" t="e">
        <f t="shared" si="8"/>
        <v>#REF!</v>
      </c>
      <c r="L96" s="18"/>
      <c r="M96" s="18" t="e">
        <f>VLOOKUP(I96,#REF!,2,FALSE)</f>
        <v>#REF!</v>
      </c>
    </row>
    <row r="97" spans="1:13" ht="14.45" hidden="1" customHeight="1" x14ac:dyDescent="0.25">
      <c r="A97" s="18" t="str">
        <f t="shared" si="5"/>
        <v>HRM321</v>
      </c>
      <c r="B97" s="47" t="s">
        <v>781</v>
      </c>
      <c r="C97" s="47" t="s">
        <v>96</v>
      </c>
      <c r="D97" s="47" t="s">
        <v>3529</v>
      </c>
      <c r="E97" s="47" t="s">
        <v>71</v>
      </c>
      <c r="F97" s="47" t="s">
        <v>3531</v>
      </c>
      <c r="G97" s="49" t="e">
        <f t="shared" si="6"/>
        <v>#REF!</v>
      </c>
      <c r="H97" s="47" t="s">
        <v>24</v>
      </c>
      <c r="I97" s="47" t="e">
        <f>VLOOKUP($E97,#REF!,3,FALSE)</f>
        <v>#REF!</v>
      </c>
      <c r="J97" s="47" t="str">
        <f t="shared" si="7"/>
        <v>Sat:12:30-02:30:KG-9</v>
      </c>
      <c r="K97" s="18" t="e">
        <f t="shared" si="8"/>
        <v>#REF!</v>
      </c>
      <c r="L97" s="18"/>
      <c r="M97" s="18" t="e">
        <f>VLOOKUP(I97,#REF!,2,FALSE)</f>
        <v>#REF!</v>
      </c>
    </row>
    <row r="98" spans="1:13" ht="14.45" hidden="1" customHeight="1" x14ac:dyDescent="0.25">
      <c r="A98" s="18" t="str">
        <f t="shared" si="5"/>
        <v>HRM325/BPA124</v>
      </c>
      <c r="B98" s="47" t="s">
        <v>812</v>
      </c>
      <c r="C98" s="47" t="str">
        <f ca="1">VLOOKUP($A98,'TT-WKD (2)'!$A:$I,3,FALSE)</f>
        <v>12:30-02:30</v>
      </c>
      <c r="D98" s="47" t="s">
        <v>3529</v>
      </c>
      <c r="E98" s="47" t="s">
        <v>3924</v>
      </c>
      <c r="F98" s="47" t="s">
        <v>3534</v>
      </c>
      <c r="G98" s="49" t="e">
        <f t="shared" si="6"/>
        <v>#REF!</v>
      </c>
      <c r="H98" s="47" t="s">
        <v>87</v>
      </c>
      <c r="I98" s="47" t="e">
        <f>VLOOKUP($E98,#REF!,3,FALSE)</f>
        <v>#REF!</v>
      </c>
      <c r="J98" s="47" t="str">
        <f t="shared" ca="1" si="7"/>
        <v>Sun:10:15-12:15:KG-6</v>
      </c>
      <c r="K98" s="18" t="str">
        <f t="shared" ca="1" si="8"/>
        <v>Sun:10:15-12:15:Ms.Nassozi Beatrice</v>
      </c>
      <c r="L98" s="18"/>
      <c r="M98" s="18" t="e">
        <f>VLOOKUP(I98,#REF!,2,FALSE)</f>
        <v>#REF!</v>
      </c>
    </row>
    <row r="99" spans="1:13" ht="14.45" hidden="1" customHeight="1" x14ac:dyDescent="0.25">
      <c r="A99" s="18" t="str">
        <f t="shared" si="5"/>
        <v>BBA322</v>
      </c>
      <c r="B99" s="47" t="s">
        <v>781</v>
      </c>
      <c r="C99" s="47" t="s">
        <v>10</v>
      </c>
      <c r="D99" s="47" t="s">
        <v>52</v>
      </c>
      <c r="E99" s="47" t="s">
        <v>257</v>
      </c>
      <c r="F99" s="47" t="s">
        <v>258</v>
      </c>
      <c r="G99" s="49" t="e">
        <f t="shared" si="6"/>
        <v>#REF!</v>
      </c>
      <c r="H99" s="58" t="s">
        <v>55</v>
      </c>
      <c r="I99" s="47" t="e">
        <f>VLOOKUP($E99,#REF!,3,FALSE)</f>
        <v>#REF!</v>
      </c>
      <c r="J99" s="47" t="str">
        <f t="shared" si="7"/>
        <v>Sat:08:00-10:00:KG-7</v>
      </c>
      <c r="K99" s="18" t="e">
        <f t="shared" si="8"/>
        <v>#REF!</v>
      </c>
      <c r="L99" s="18"/>
      <c r="M99" s="18" t="e">
        <f>VLOOKUP(I99,#REF!,2,FALSE)</f>
        <v>#REF!</v>
      </c>
    </row>
    <row r="100" spans="1:13" ht="14.45" hidden="1" customHeight="1" x14ac:dyDescent="0.25">
      <c r="A100" s="18" t="str">
        <f t="shared" si="5"/>
        <v>BBA315</v>
      </c>
      <c r="B100" s="47" t="s">
        <v>812</v>
      </c>
      <c r="C100" s="45" t="s">
        <v>96</v>
      </c>
      <c r="D100" s="47" t="s">
        <v>52</v>
      </c>
      <c r="E100" s="47" t="s">
        <v>262</v>
      </c>
      <c r="F100" s="47" t="s">
        <v>1519</v>
      </c>
      <c r="G100" s="49" t="e">
        <f t="shared" si="6"/>
        <v>#REF!</v>
      </c>
      <c r="H100" s="58" t="s">
        <v>55</v>
      </c>
      <c r="I100" s="47" t="e">
        <f>VLOOKUP($E100,#REF!,3,FALSE)</f>
        <v>#REF!</v>
      </c>
      <c r="J100" s="47" t="str">
        <f t="shared" si="7"/>
        <v>Sun:12:30-02:30:KG-7</v>
      </c>
      <c r="K100" s="18" t="e">
        <f t="shared" si="8"/>
        <v>#REF!</v>
      </c>
      <c r="L100" s="18"/>
      <c r="M100" s="18" t="e">
        <f>VLOOKUP(I100,#REF!,2,FALSE)</f>
        <v>#REF!</v>
      </c>
    </row>
    <row r="101" spans="1:13" ht="14.45" hidden="1" customHeight="1" x14ac:dyDescent="0.25">
      <c r="A101" s="18" t="str">
        <f t="shared" si="5"/>
        <v>ADHM1102</v>
      </c>
      <c r="B101" s="47" t="s">
        <v>781</v>
      </c>
      <c r="C101" s="47" t="s">
        <v>96</v>
      </c>
      <c r="D101" s="47" t="s">
        <v>3540</v>
      </c>
      <c r="E101" s="47" t="s">
        <v>1627</v>
      </c>
      <c r="F101" s="47" t="s">
        <v>1628</v>
      </c>
      <c r="G101" s="49" t="e">
        <f t="shared" si="6"/>
        <v>#REF!</v>
      </c>
      <c r="H101" s="47" t="s">
        <v>1460</v>
      </c>
      <c r="I101" s="47" t="e">
        <f>VLOOKUP($E101,#REF!,3,FALSE)</f>
        <v>#REF!</v>
      </c>
      <c r="J101" s="47" t="str">
        <f t="shared" si="7"/>
        <v>Sat:12:30-02:30:MKN-18</v>
      </c>
      <c r="K101" s="18" t="e">
        <f t="shared" si="8"/>
        <v>#REF!</v>
      </c>
      <c r="L101" s="18"/>
      <c r="M101" s="18" t="e">
        <f>VLOOKUP(I101,#REF!,2,FALSE)</f>
        <v>#REF!</v>
      </c>
    </row>
    <row r="102" spans="1:13" ht="14.45" hidden="1" customHeight="1" x14ac:dyDescent="0.25">
      <c r="A102" s="18" t="str">
        <f t="shared" si="5"/>
        <v>ADHM1104</v>
      </c>
      <c r="B102" s="47" t="s">
        <v>781</v>
      </c>
      <c r="C102" s="47" t="s">
        <v>47</v>
      </c>
      <c r="D102" s="47" t="s">
        <v>3540</v>
      </c>
      <c r="E102" s="47" t="s">
        <v>1633</v>
      </c>
      <c r="F102" s="47" t="s">
        <v>1634</v>
      </c>
      <c r="G102" s="49" t="e">
        <f t="shared" si="6"/>
        <v>#REF!</v>
      </c>
      <c r="H102" s="47" t="s">
        <v>241</v>
      </c>
      <c r="I102" s="47" t="e">
        <f>VLOOKUP($E102,#REF!,3,FALSE)</f>
        <v>#REF!</v>
      </c>
      <c r="J102" s="47" t="str">
        <f t="shared" si="7"/>
        <v>Sat:10:15-12:15:SI-212</v>
      </c>
      <c r="K102" s="18" t="e">
        <f t="shared" si="8"/>
        <v>#REF!</v>
      </c>
      <c r="L102" s="18"/>
      <c r="M102" s="18" t="e">
        <f>VLOOKUP(I102,#REF!,2,FALSE)</f>
        <v>#REF!</v>
      </c>
    </row>
    <row r="103" spans="1:13" ht="14.45" hidden="1" customHeight="1" x14ac:dyDescent="0.25">
      <c r="A103" s="18" t="str">
        <f t="shared" si="5"/>
        <v>ADHM1106</v>
      </c>
      <c r="B103" s="47" t="s">
        <v>781</v>
      </c>
      <c r="C103" s="47" t="s">
        <v>10</v>
      </c>
      <c r="D103" s="47" t="s">
        <v>3540</v>
      </c>
      <c r="E103" s="47" t="s">
        <v>1623</v>
      </c>
      <c r="F103" s="47" t="s">
        <v>1624</v>
      </c>
      <c r="G103" s="49" t="e">
        <f t="shared" si="6"/>
        <v>#REF!</v>
      </c>
      <c r="H103" s="47" t="s">
        <v>1456</v>
      </c>
      <c r="I103" s="47" t="e">
        <f>VLOOKUP($E103,#REF!,3,FALSE)</f>
        <v>#REF!</v>
      </c>
      <c r="J103" s="47" t="str">
        <f t="shared" si="7"/>
        <v>Sat:08:00-10:00:MKN-14</v>
      </c>
      <c r="K103" s="18" t="e">
        <f t="shared" si="8"/>
        <v>#REF!</v>
      </c>
      <c r="L103" s="18"/>
      <c r="M103" s="18" t="e">
        <f>VLOOKUP(I103,#REF!,2,FALSE)</f>
        <v>#REF!</v>
      </c>
    </row>
    <row r="104" spans="1:13" ht="14.45" hidden="1" customHeight="1" x14ac:dyDescent="0.25">
      <c r="A104" s="55" t="str">
        <f t="shared" si="5"/>
        <v>PLM322</v>
      </c>
      <c r="B104" s="47" t="s">
        <v>781</v>
      </c>
      <c r="C104" s="47" t="s">
        <v>47</v>
      </c>
      <c r="D104" s="47" t="s">
        <v>187</v>
      </c>
      <c r="E104" s="47" t="s">
        <v>364</v>
      </c>
      <c r="F104" s="47" t="s">
        <v>3545</v>
      </c>
      <c r="G104" s="49" t="e">
        <f t="shared" si="6"/>
        <v>#REF!</v>
      </c>
      <c r="H104" s="47" t="s">
        <v>87</v>
      </c>
      <c r="I104" s="45" t="e">
        <f>VLOOKUP($E104,#REF!,3,FALSE)</f>
        <v>#REF!</v>
      </c>
      <c r="J104" s="45" t="str">
        <f t="shared" si="7"/>
        <v>Sat:10:15-12:15:KG-6</v>
      </c>
      <c r="K104" s="18" t="e">
        <f t="shared" si="8"/>
        <v>#REF!</v>
      </c>
      <c r="L104" s="18"/>
      <c r="M104" s="18" t="e">
        <f>VLOOKUP(I104,#REF!,2,FALSE)</f>
        <v>#REF!</v>
      </c>
    </row>
    <row r="105" spans="1:13" ht="14.45" hidden="1" customHeight="1" x14ac:dyDescent="0.25">
      <c r="A105" s="18" t="str">
        <f t="shared" si="5"/>
        <v>PLM326</v>
      </c>
      <c r="B105" s="45" t="s">
        <v>781</v>
      </c>
      <c r="C105" s="45" t="s">
        <v>10</v>
      </c>
      <c r="D105" s="58" t="s">
        <v>187</v>
      </c>
      <c r="E105" s="58" t="s">
        <v>1492</v>
      </c>
      <c r="F105" s="58" t="s">
        <v>1493</v>
      </c>
      <c r="G105" s="49" t="e">
        <f t="shared" si="6"/>
        <v>#REF!</v>
      </c>
      <c r="H105" s="47" t="s">
        <v>87</v>
      </c>
      <c r="I105" s="47" t="e">
        <f>VLOOKUP($E105,#REF!,3,FALSE)</f>
        <v>#REF!</v>
      </c>
      <c r="J105" s="47" t="str">
        <f t="shared" si="7"/>
        <v>Sat:08:00-10:00:KG-6</v>
      </c>
      <c r="K105" s="18" t="e">
        <f t="shared" si="8"/>
        <v>#REF!</v>
      </c>
      <c r="L105" s="18"/>
      <c r="M105" s="18" t="e">
        <f>VLOOKUP(I105,#REF!,2,FALSE)</f>
        <v>#REF!</v>
      </c>
    </row>
    <row r="106" spans="1:13" ht="14.45" hidden="1" customHeight="1" x14ac:dyDescent="0.25">
      <c r="A106" s="18" t="str">
        <f t="shared" si="5"/>
        <v>PLM327</v>
      </c>
      <c r="B106" s="47" t="s">
        <v>781</v>
      </c>
      <c r="C106" s="47" t="s">
        <v>140</v>
      </c>
      <c r="D106" s="47" t="s">
        <v>187</v>
      </c>
      <c r="E106" s="47" t="s">
        <v>1216</v>
      </c>
      <c r="F106" s="47" t="s">
        <v>1217</v>
      </c>
      <c r="G106" s="49" t="e">
        <f t="shared" si="6"/>
        <v>#REF!</v>
      </c>
      <c r="H106" s="47" t="s">
        <v>287</v>
      </c>
      <c r="I106" s="47" t="e">
        <f>VLOOKUP($E106,#REF!,3,FALSE)</f>
        <v>#REF!</v>
      </c>
      <c r="J106" s="47" t="str">
        <f t="shared" si="7"/>
        <v>Sat:02:45-04:45:KG-13</v>
      </c>
      <c r="K106" s="18" t="e">
        <f t="shared" si="8"/>
        <v>#REF!</v>
      </c>
      <c r="L106" s="18"/>
      <c r="M106" s="18" t="e">
        <f>VLOOKUP(I106,#REF!,2,FALSE)</f>
        <v>#REF!</v>
      </c>
    </row>
    <row r="107" spans="1:13" ht="14.45" hidden="1" customHeight="1" x14ac:dyDescent="0.25">
      <c r="A107" s="18" t="str">
        <f t="shared" si="5"/>
        <v>ADHM1201</v>
      </c>
      <c r="B107" s="47" t="s">
        <v>781</v>
      </c>
      <c r="C107" s="47" t="s">
        <v>140</v>
      </c>
      <c r="D107" s="47" t="s">
        <v>3554</v>
      </c>
      <c r="E107" s="47" t="s">
        <v>1635</v>
      </c>
      <c r="F107" s="47" t="s">
        <v>1636</v>
      </c>
      <c r="G107" s="49" t="e">
        <f t="shared" si="6"/>
        <v>#REF!</v>
      </c>
      <c r="H107" s="47" t="s">
        <v>1662</v>
      </c>
      <c r="I107" s="47" t="e">
        <f>VLOOKUP($E107,#REF!,3,FALSE)</f>
        <v>#REF!</v>
      </c>
      <c r="J107" s="47" t="str">
        <f t="shared" si="7"/>
        <v>Sat:02:45-04:45:MKN-05</v>
      </c>
      <c r="K107" s="18" t="e">
        <f t="shared" si="8"/>
        <v>#REF!</v>
      </c>
      <c r="L107" s="18"/>
      <c r="M107" s="18" t="e">
        <f>VLOOKUP(I107,#REF!,2,FALSE)</f>
        <v>#REF!</v>
      </c>
    </row>
    <row r="108" spans="1:13" ht="14.45" hidden="1" customHeight="1" x14ac:dyDescent="0.25">
      <c r="A108" s="18" t="str">
        <f t="shared" si="5"/>
        <v>ADHM1203</v>
      </c>
      <c r="B108" s="47" t="s">
        <v>812</v>
      </c>
      <c r="C108" s="47" t="s">
        <v>140</v>
      </c>
      <c r="D108" s="47" t="s">
        <v>3554</v>
      </c>
      <c r="E108" s="47" t="s">
        <v>1638</v>
      </c>
      <c r="F108" s="47" t="s">
        <v>1639</v>
      </c>
      <c r="G108" s="49" t="e">
        <f t="shared" si="6"/>
        <v>#REF!</v>
      </c>
      <c r="H108" s="47" t="s">
        <v>3556</v>
      </c>
      <c r="I108" s="47" t="e">
        <f>VLOOKUP($E108,#REF!,3,FALSE)</f>
        <v>#REF!</v>
      </c>
      <c r="J108" s="47" t="str">
        <f t="shared" si="7"/>
        <v>Sun:02:45-04:45:MKN-05|Online</v>
      </c>
      <c r="K108" s="18" t="e">
        <f t="shared" si="8"/>
        <v>#REF!</v>
      </c>
      <c r="L108" s="18"/>
      <c r="M108" s="18" t="e">
        <f>VLOOKUP(I108,#REF!,2,FALSE)</f>
        <v>#REF!</v>
      </c>
    </row>
    <row r="109" spans="1:13" ht="14.45" hidden="1" customHeight="1" x14ac:dyDescent="0.25">
      <c r="A109" s="18" t="str">
        <f t="shared" si="5"/>
        <v>ADHM1205</v>
      </c>
      <c r="B109" s="47" t="s">
        <v>781</v>
      </c>
      <c r="C109" s="47" t="s">
        <v>47</v>
      </c>
      <c r="D109" s="47" t="s">
        <v>3554</v>
      </c>
      <c r="E109" s="47" t="s">
        <v>1641</v>
      </c>
      <c r="F109" s="47" t="s">
        <v>1642</v>
      </c>
      <c r="G109" s="49" t="e">
        <f t="shared" si="6"/>
        <v>#REF!</v>
      </c>
      <c r="H109" s="47" t="s">
        <v>3556</v>
      </c>
      <c r="I109" s="47" t="e">
        <f>VLOOKUP($E109,#REF!,3,FALSE)</f>
        <v>#REF!</v>
      </c>
      <c r="J109" s="47" t="str">
        <f t="shared" si="7"/>
        <v>Sat:10:15-12:15:MKN-05|Online</v>
      </c>
      <c r="K109" s="18" t="e">
        <f t="shared" si="8"/>
        <v>#REF!</v>
      </c>
      <c r="L109" s="18"/>
      <c r="M109" s="18" t="e">
        <f>VLOOKUP(I109,#REF!,2,FALSE)</f>
        <v>#REF!</v>
      </c>
    </row>
    <row r="110" spans="1:13" ht="14.45" hidden="1" customHeight="1" x14ac:dyDescent="0.25">
      <c r="A110" s="18" t="str">
        <f>E110</f>
        <v>BJC110/DJC110-HS</v>
      </c>
      <c r="B110" s="58" t="str">
        <f ca="1">VLOOKUP($A110,'TT-WKD (2)'!$A:$I,2,FALSE)</f>
        <v>Sat</v>
      </c>
      <c r="C110" s="58" t="str">
        <f ca="1">VLOOKUP($A110,'TT-WKD (2)'!$A:$I,3,FALSE)</f>
        <v>12:30-02:30</v>
      </c>
      <c r="D110" s="58" t="s">
        <v>787</v>
      </c>
      <c r="E110" s="58" t="s">
        <v>3927</v>
      </c>
      <c r="F110" s="58" t="s">
        <v>207</v>
      </c>
      <c r="G110" s="49" t="e">
        <f t="shared" si="6"/>
        <v>#REF!</v>
      </c>
      <c r="H110" s="47" t="s">
        <v>1460</v>
      </c>
      <c r="I110" s="47" t="e">
        <f>VLOOKUP($E110,#REF!,3,FALSE)</f>
        <v>#REF!</v>
      </c>
      <c r="J110" s="47" t="str">
        <f t="shared" ca="1" si="7"/>
        <v>Sat:08:00-10:00:MKN-18</v>
      </c>
      <c r="K110" s="18" t="str">
        <f t="shared" ca="1" si="8"/>
        <v>Sat:08:00-10:00:Brenda Tusingwire Jakira</v>
      </c>
      <c r="L110" s="18"/>
      <c r="M110" s="18" t="e">
        <f>VLOOKUP(I110,#REF!,2,FALSE)</f>
        <v>#REF!</v>
      </c>
    </row>
    <row r="111" spans="1:13" ht="14.45" hidden="1" customHeight="1" x14ac:dyDescent="0.25">
      <c r="A111" s="18" t="str">
        <f t="shared" si="5"/>
        <v>BIT111</v>
      </c>
      <c r="B111" s="58" t="s">
        <v>781</v>
      </c>
      <c r="C111" s="58" t="s">
        <v>10</v>
      </c>
      <c r="D111" s="49" t="s">
        <v>3916</v>
      </c>
      <c r="E111" s="58" t="s">
        <v>225</v>
      </c>
      <c r="F111" s="58" t="s">
        <v>226</v>
      </c>
      <c r="G111" s="49" t="e">
        <f t="shared" si="6"/>
        <v>#REF!</v>
      </c>
      <c r="H111" s="58" t="s">
        <v>983</v>
      </c>
      <c r="I111" s="47" t="e">
        <f>VLOOKUP($E111,#REF!,3,FALSE)</f>
        <v>#REF!</v>
      </c>
      <c r="J111" s="47" t="str">
        <f t="shared" si="7"/>
        <v>Sat:08:00-10:00:Online</v>
      </c>
      <c r="K111" s="18" t="e">
        <f t="shared" si="8"/>
        <v>#REF!</v>
      </c>
      <c r="L111" s="18"/>
      <c r="M111" s="18" t="e">
        <f>VLOOKUP(I111,#REF!,2,FALSE)</f>
        <v>#REF!</v>
      </c>
    </row>
    <row r="112" spans="1:13" ht="14.45" hidden="1" customHeight="1" x14ac:dyDescent="0.25">
      <c r="A112" s="18" t="str">
        <f t="shared" si="5"/>
        <v>BIT214</v>
      </c>
      <c r="B112" s="58" t="s">
        <v>781</v>
      </c>
      <c r="C112" s="55" t="s">
        <v>47</v>
      </c>
      <c r="D112" s="49" t="s">
        <v>3917</v>
      </c>
      <c r="E112" s="58" t="s">
        <v>742</v>
      </c>
      <c r="F112" s="58" t="s">
        <v>743</v>
      </c>
      <c r="G112" s="49" t="e">
        <f t="shared" si="6"/>
        <v>#REF!</v>
      </c>
      <c r="H112" s="58" t="s">
        <v>983</v>
      </c>
      <c r="I112" s="47" t="e">
        <f>VLOOKUP($E112,#REF!,3,FALSE)</f>
        <v>#REF!</v>
      </c>
      <c r="J112" s="47" t="str">
        <f t="shared" si="7"/>
        <v>Sat:10:15-12:15:Online</v>
      </c>
      <c r="K112" s="18" t="e">
        <f t="shared" si="8"/>
        <v>#REF!</v>
      </c>
      <c r="L112" s="18"/>
      <c r="M112" s="18" t="e">
        <f>VLOOKUP(I112,#REF!,2,FALSE)</f>
        <v>#REF!</v>
      </c>
    </row>
    <row r="113" spans="1:13" ht="14.45" hidden="1" customHeight="1" x14ac:dyDescent="0.25">
      <c r="A113" s="18" t="str">
        <f t="shared" si="5"/>
        <v>COM211</v>
      </c>
      <c r="B113" s="55" t="s">
        <v>781</v>
      </c>
      <c r="C113" s="55" t="s">
        <v>140</v>
      </c>
      <c r="D113" s="49" t="s">
        <v>3917</v>
      </c>
      <c r="E113" s="58" t="s">
        <v>609</v>
      </c>
      <c r="F113" s="58" t="s">
        <v>1622</v>
      </c>
      <c r="G113" s="49" t="e">
        <f t="shared" si="6"/>
        <v>#REF!</v>
      </c>
      <c r="H113" s="58" t="s">
        <v>983</v>
      </c>
      <c r="I113" s="47" t="e">
        <f>VLOOKUP($E113,#REF!,3,FALSE)</f>
        <v>#REF!</v>
      </c>
      <c r="J113" s="47" t="str">
        <f t="shared" si="7"/>
        <v>Sat:02:45-04:45:Online</v>
      </c>
      <c r="K113" s="18" t="e">
        <f t="shared" si="8"/>
        <v>#REF!</v>
      </c>
      <c r="L113" s="18"/>
      <c r="M113" s="18" t="e">
        <f>VLOOKUP(I113,#REF!,2,FALSE)</f>
        <v>#REF!</v>
      </c>
    </row>
    <row r="114" spans="1:13" ht="14.45" hidden="1" customHeight="1" x14ac:dyDescent="0.25">
      <c r="A114" s="55" t="s">
        <v>744</v>
      </c>
      <c r="B114" s="47" t="s">
        <v>812</v>
      </c>
      <c r="C114" s="58" t="str">
        <f ca="1">VLOOKUP($A114,'TT-WKD (2)'!$A:$I,3,FALSE)</f>
        <v>12:30-02:30</v>
      </c>
      <c r="D114" s="58" t="s">
        <v>688</v>
      </c>
      <c r="E114" s="58" t="s">
        <v>744</v>
      </c>
      <c r="F114" s="58" t="s">
        <v>745</v>
      </c>
      <c r="G114" s="49" t="e">
        <f t="shared" si="6"/>
        <v>#REF!</v>
      </c>
      <c r="H114" s="47" t="s">
        <v>87</v>
      </c>
      <c r="I114" s="47" t="e">
        <f>VLOOKUP($E114,#REF!,3,FALSE)</f>
        <v>#REF!</v>
      </c>
      <c r="J114" s="47" t="str">
        <f t="shared" ca="1" si="7"/>
        <v>Sun:12:30-04:30:KG-6</v>
      </c>
      <c r="K114" s="18" t="str">
        <f t="shared" ca="1" si="8"/>
        <v>Sun:12:30-04:30:TBA-3</v>
      </c>
      <c r="L114" s="18"/>
      <c r="M114" s="18" t="e">
        <f>VLOOKUP(I114,#REF!,2,FALSE)</f>
        <v>#REF!</v>
      </c>
    </row>
    <row r="115" spans="1:13" ht="14.45" customHeight="1" x14ac:dyDescent="0.25">
      <c r="A115" s="18" t="s">
        <v>775</v>
      </c>
      <c r="B115" s="47" t="s">
        <v>781</v>
      </c>
      <c r="C115" s="47" t="s">
        <v>47</v>
      </c>
      <c r="D115" s="58" t="s">
        <v>688</v>
      </c>
      <c r="E115" s="58" t="s">
        <v>775</v>
      </c>
      <c r="F115" s="58" t="s">
        <v>776</v>
      </c>
      <c r="G115" s="49" t="e">
        <f t="shared" si="6"/>
        <v>#REF!</v>
      </c>
      <c r="H115" s="47" t="s">
        <v>15</v>
      </c>
      <c r="I115" s="47" t="e">
        <f>VLOOKUP($E115,#REF!,3,FALSE)</f>
        <v>#REF!</v>
      </c>
      <c r="J115" s="47" t="str">
        <f t="shared" si="7"/>
        <v>Sat:10:15-12:15:SI-105</v>
      </c>
      <c r="K115" s="18" t="e">
        <f t="shared" si="8"/>
        <v>#REF!</v>
      </c>
      <c r="L115" s="18"/>
      <c r="M115" s="18" t="e">
        <f>VLOOKUP(I115,#REF!,2,FALSE)</f>
        <v>#REF!</v>
      </c>
    </row>
    <row r="116" spans="1:13" hidden="1" x14ac:dyDescent="0.25">
      <c r="A116" s="18" t="str">
        <f t="shared" ref="A116:A179" si="10">E116</f>
        <v>MED812</v>
      </c>
      <c r="B116" s="47" t="s">
        <v>812</v>
      </c>
      <c r="C116" s="47" t="s">
        <v>47</v>
      </c>
      <c r="D116" s="47" t="s">
        <v>813</v>
      </c>
      <c r="E116" s="47" t="s">
        <v>814</v>
      </c>
      <c r="F116" s="47" t="s">
        <v>815</v>
      </c>
      <c r="G116" s="49" t="e">
        <f t="shared" si="6"/>
        <v>#REF!</v>
      </c>
      <c r="H116" s="47" t="s">
        <v>983</v>
      </c>
      <c r="I116" s="47" t="e">
        <f>VLOOKUP($E116,#REF!,3,FALSE)</f>
        <v>#REF!</v>
      </c>
      <c r="J116" s="47" t="str">
        <f t="shared" si="7"/>
        <v>Sun:10:15-12:15:Online</v>
      </c>
      <c r="K116" s="18" t="e">
        <f t="shared" si="8"/>
        <v>#REF!</v>
      </c>
      <c r="L116" s="18" t="str">
        <f t="shared" ref="L116:L179" si="11">$B116&amp;":"&amp;$C116&amp;":"&amp;$D116</f>
        <v>Sun:10:15-12:15:MED-3</v>
      </c>
      <c r="M116" s="18" t="e">
        <f>VLOOKUP(I116,#REF!,2,FALSE)</f>
        <v>#REF!</v>
      </c>
    </row>
    <row r="117" spans="1:13" ht="14.45" hidden="1" customHeight="1" x14ac:dyDescent="0.25">
      <c r="A117" s="18" t="str">
        <f t="shared" si="10"/>
        <v>BPH113</v>
      </c>
      <c r="B117" s="47" t="s">
        <v>812</v>
      </c>
      <c r="C117" s="47" t="s">
        <v>47</v>
      </c>
      <c r="D117" s="47" t="s">
        <v>787</v>
      </c>
      <c r="E117" s="47" t="s">
        <v>533</v>
      </c>
      <c r="F117" s="47" t="s">
        <v>534</v>
      </c>
      <c r="G117" s="49" t="e">
        <f t="shared" si="6"/>
        <v>#REF!</v>
      </c>
      <c r="H117" s="47" t="s">
        <v>1458</v>
      </c>
      <c r="I117" s="47" t="e">
        <f>VLOOKUP($E117,#REF!,3,FALSE)</f>
        <v>#REF!</v>
      </c>
      <c r="J117" s="47" t="str">
        <f t="shared" si="7"/>
        <v>Sun:10:15-12:15:MKN-16</v>
      </c>
      <c r="K117" s="18" t="e">
        <f t="shared" si="8"/>
        <v>#REF!</v>
      </c>
      <c r="L117" s="18" t="str">
        <f t="shared" si="11"/>
        <v>Sun:10:15-12:15:BEHS-1</v>
      </c>
      <c r="M117" s="18" t="e">
        <f>VLOOKUP(I117,#REF!,2,FALSE)</f>
        <v>#REF!</v>
      </c>
    </row>
    <row r="118" spans="1:13" ht="14.45" hidden="1" customHeight="1" x14ac:dyDescent="0.25">
      <c r="A118" s="18" t="str">
        <f t="shared" si="10"/>
        <v>EHS122</v>
      </c>
      <c r="B118" s="47" t="s">
        <v>812</v>
      </c>
      <c r="C118" s="47" t="s">
        <v>47</v>
      </c>
      <c r="D118" s="47" t="s">
        <v>805</v>
      </c>
      <c r="E118" s="47" t="s">
        <v>845</v>
      </c>
      <c r="F118" s="47" t="s">
        <v>846</v>
      </c>
      <c r="G118" s="49" t="e">
        <f t="shared" si="6"/>
        <v>#REF!</v>
      </c>
      <c r="H118" s="47" t="s">
        <v>1457</v>
      </c>
      <c r="I118" s="47" t="e">
        <f>VLOOKUP($E118,#REF!,3,FALSE)</f>
        <v>#REF!</v>
      </c>
      <c r="J118" s="47" t="str">
        <f t="shared" si="7"/>
        <v>Sun:10:15-12:15:MKN-15</v>
      </c>
      <c r="K118" s="18" t="e">
        <f t="shared" si="8"/>
        <v>#REF!</v>
      </c>
      <c r="L118" s="18" t="str">
        <f t="shared" si="11"/>
        <v>Sun:10:15-12:15:BEHS-2</v>
      </c>
      <c r="M118" s="18" t="e">
        <f>VLOOKUP(I118,#REF!,2,FALSE)</f>
        <v>#REF!</v>
      </c>
    </row>
    <row r="119" spans="1:13" ht="14.45" hidden="1" customHeight="1" x14ac:dyDescent="0.25">
      <c r="A119" s="18" t="str">
        <f t="shared" si="10"/>
        <v>MSS722</v>
      </c>
      <c r="B119" s="47" t="s">
        <v>812</v>
      </c>
      <c r="C119" s="47" t="s">
        <v>10</v>
      </c>
      <c r="D119" s="47" t="s">
        <v>819</v>
      </c>
      <c r="E119" s="47" t="s">
        <v>853</v>
      </c>
      <c r="F119" s="47" t="s">
        <v>854</v>
      </c>
      <c r="G119" s="49" t="e">
        <f t="shared" si="6"/>
        <v>#REF!</v>
      </c>
      <c r="H119" s="47" t="s">
        <v>70</v>
      </c>
      <c r="I119" s="47" t="e">
        <f>VLOOKUP($E119,#REF!,3,FALSE)</f>
        <v>#REF!</v>
      </c>
      <c r="J119" s="47" t="str">
        <f t="shared" si="7"/>
        <v>Sun:08:00-10:00:SI-011</v>
      </c>
      <c r="K119" s="18" t="e">
        <f t="shared" si="8"/>
        <v>#REF!</v>
      </c>
      <c r="L119" s="18" t="str">
        <f t="shared" si="11"/>
        <v>Sun:08:00-10:00:MSS-2</v>
      </c>
      <c r="M119" s="18" t="e">
        <f>VLOOKUP(I119,#REF!,2,FALSE)</f>
        <v>#REF!</v>
      </c>
    </row>
    <row r="120" spans="1:13" ht="14.45" hidden="1" customHeight="1" x14ac:dyDescent="0.25">
      <c r="A120" s="18" t="str">
        <f t="shared" si="10"/>
        <v>MSS813</v>
      </c>
      <c r="B120" s="47" t="s">
        <v>812</v>
      </c>
      <c r="C120" s="47" t="s">
        <v>96</v>
      </c>
      <c r="D120" s="47" t="s">
        <v>1522</v>
      </c>
      <c r="E120" s="47" t="s">
        <v>817</v>
      </c>
      <c r="F120" s="47" t="s">
        <v>818</v>
      </c>
      <c r="G120" s="49" t="e">
        <f t="shared" si="6"/>
        <v>#REF!</v>
      </c>
      <c r="H120" s="47" t="s">
        <v>79</v>
      </c>
      <c r="I120" s="47" t="e">
        <f>VLOOKUP($E120,#REF!,3,FALSE)</f>
        <v>#REF!</v>
      </c>
      <c r="J120" s="47" t="str">
        <f t="shared" si="7"/>
        <v>Sun:12:30-02:30:KG-11</v>
      </c>
      <c r="K120" s="18" t="e">
        <f t="shared" si="8"/>
        <v>#REF!</v>
      </c>
      <c r="L120" s="18" t="str">
        <f t="shared" si="11"/>
        <v>Sun:12:30-02:30:MIRDS-3,MSS-3</v>
      </c>
      <c r="M120" s="18" t="e">
        <f>VLOOKUP(I120,#REF!,2,FALSE)</f>
        <v>#REF!</v>
      </c>
    </row>
    <row r="121" spans="1:13" ht="14.45" hidden="1" customHeight="1" x14ac:dyDescent="0.25">
      <c r="A121" s="18" t="str">
        <f t="shared" si="10"/>
        <v>MPM720</v>
      </c>
      <c r="B121" s="47" t="s">
        <v>812</v>
      </c>
      <c r="C121" s="47" t="s">
        <v>96</v>
      </c>
      <c r="D121" s="47" t="s">
        <v>886</v>
      </c>
      <c r="E121" s="47" t="s">
        <v>887</v>
      </c>
      <c r="F121" s="47" t="s">
        <v>888</v>
      </c>
      <c r="G121" s="49" t="e">
        <f t="shared" si="6"/>
        <v>#REF!</v>
      </c>
      <c r="H121" s="47" t="s">
        <v>61</v>
      </c>
      <c r="I121" s="47" t="e">
        <f>VLOOKUP($E121,#REF!,3,FALSE)</f>
        <v>#REF!</v>
      </c>
      <c r="J121" s="47" t="str">
        <f t="shared" si="7"/>
        <v>Sun:12:30-02:30:SI-202</v>
      </c>
      <c r="K121" s="18" t="e">
        <f t="shared" si="8"/>
        <v>#REF!</v>
      </c>
      <c r="L121" s="18" t="str">
        <f t="shared" si="11"/>
        <v>Sun:12:30-02:30:MPM-2,MED-1</v>
      </c>
      <c r="M121" s="18" t="e">
        <f>VLOOKUP(I121,#REF!,2,FALSE)</f>
        <v>#REF!</v>
      </c>
    </row>
    <row r="122" spans="1:13" ht="14.45" hidden="1" customHeight="1" x14ac:dyDescent="0.25">
      <c r="A122" s="18" t="str">
        <f t="shared" si="10"/>
        <v>MBA721</v>
      </c>
      <c r="B122" s="47" t="s">
        <v>812</v>
      </c>
      <c r="C122" s="47" t="s">
        <v>10</v>
      </c>
      <c r="D122" s="47" t="s">
        <v>827</v>
      </c>
      <c r="E122" s="47" t="s">
        <v>889</v>
      </c>
      <c r="F122" s="47" t="s">
        <v>570</v>
      </c>
      <c r="G122" s="49" t="e">
        <f t="shared" si="6"/>
        <v>#REF!</v>
      </c>
      <c r="H122" s="47" t="s">
        <v>15</v>
      </c>
      <c r="I122" s="47" t="e">
        <f>VLOOKUP($E122,#REF!,3,FALSE)</f>
        <v>#REF!</v>
      </c>
      <c r="J122" s="47" t="str">
        <f t="shared" si="7"/>
        <v>Sun:08:00-10:00:SI-105</v>
      </c>
      <c r="K122" s="18" t="e">
        <f t="shared" si="8"/>
        <v>#REF!</v>
      </c>
      <c r="L122" s="18" t="str">
        <f t="shared" si="11"/>
        <v>Sun:08:00-10:00:MBA-2</v>
      </c>
      <c r="M122" s="18" t="e">
        <f>VLOOKUP(I122,#REF!,2,FALSE)</f>
        <v>#REF!</v>
      </c>
    </row>
    <row r="123" spans="1:13" ht="14.45" hidden="1" customHeight="1" x14ac:dyDescent="0.25">
      <c r="A123" s="18" t="str">
        <f t="shared" si="10"/>
        <v>MSS721</v>
      </c>
      <c r="B123" s="47" t="s">
        <v>812</v>
      </c>
      <c r="C123" s="47" t="s">
        <v>140</v>
      </c>
      <c r="D123" s="47" t="s">
        <v>819</v>
      </c>
      <c r="E123" s="47" t="s">
        <v>897</v>
      </c>
      <c r="F123" s="47" t="s">
        <v>898</v>
      </c>
      <c r="G123" s="49" t="e">
        <f t="shared" si="6"/>
        <v>#REF!</v>
      </c>
      <c r="H123" s="47" t="s">
        <v>79</v>
      </c>
      <c r="I123" s="47" t="e">
        <f>VLOOKUP($E123,#REF!,3,FALSE)</f>
        <v>#REF!</v>
      </c>
      <c r="J123" s="47" t="str">
        <f t="shared" si="7"/>
        <v>Sun:02:45-04:45:KG-11</v>
      </c>
      <c r="K123" s="18" t="e">
        <f t="shared" si="8"/>
        <v>#REF!</v>
      </c>
      <c r="L123" s="18" t="str">
        <f t="shared" si="11"/>
        <v>Sun:02:45-04:45:MSS-2</v>
      </c>
      <c r="M123" s="18" t="e">
        <f>VLOOKUP(I123,#REF!,2,FALSE)</f>
        <v>#REF!</v>
      </c>
    </row>
    <row r="124" spans="1:13" ht="14.45" hidden="1" customHeight="1" x14ac:dyDescent="0.25">
      <c r="A124" s="18" t="str">
        <f t="shared" si="10"/>
        <v>MSS725</v>
      </c>
      <c r="B124" s="47" t="s">
        <v>812</v>
      </c>
      <c r="C124" s="47" t="s">
        <v>96</v>
      </c>
      <c r="D124" s="47" t="s">
        <v>819</v>
      </c>
      <c r="E124" s="47" t="s">
        <v>906</v>
      </c>
      <c r="F124" s="47" t="s">
        <v>907</v>
      </c>
      <c r="G124" s="49" t="e">
        <f t="shared" si="6"/>
        <v>#REF!</v>
      </c>
      <c r="H124" s="47" t="s">
        <v>55</v>
      </c>
      <c r="I124" s="47" t="e">
        <f>VLOOKUP($E124,#REF!,3,FALSE)</f>
        <v>#REF!</v>
      </c>
      <c r="J124" s="47" t="str">
        <f t="shared" si="7"/>
        <v>Sun:12:30-02:30:KG-7</v>
      </c>
      <c r="K124" s="18" t="e">
        <f t="shared" si="8"/>
        <v>#REF!</v>
      </c>
      <c r="L124" s="18" t="str">
        <f t="shared" si="11"/>
        <v>Sun:12:30-02:30:MSS-2</v>
      </c>
      <c r="M124" s="18" t="e">
        <f>VLOOKUP(I124,#REF!,2,FALSE)</f>
        <v>#REF!</v>
      </c>
    </row>
    <row r="125" spans="1:13" ht="14.45" hidden="1" customHeight="1" x14ac:dyDescent="0.25">
      <c r="A125" s="18" t="str">
        <f t="shared" si="10"/>
        <v>MBF813</v>
      </c>
      <c r="B125" s="47" t="s">
        <v>812</v>
      </c>
      <c r="C125" s="47" t="s">
        <v>10</v>
      </c>
      <c r="D125" s="47" t="s">
        <v>914</v>
      </c>
      <c r="E125" s="47" t="s">
        <v>915</v>
      </c>
      <c r="F125" s="47" t="s">
        <v>916</v>
      </c>
      <c r="G125" s="49" t="e">
        <f t="shared" si="6"/>
        <v>#REF!</v>
      </c>
      <c r="H125" s="47" t="s">
        <v>792</v>
      </c>
      <c r="I125" s="47" t="e">
        <f>VLOOKUP($E125,#REF!,3,FALSE)</f>
        <v>#REF!</v>
      </c>
      <c r="J125" s="47" t="str">
        <f t="shared" si="7"/>
        <v>Sun:08:00-10:00:SI-102</v>
      </c>
      <c r="K125" s="18" t="e">
        <f t="shared" si="8"/>
        <v>#REF!</v>
      </c>
      <c r="L125" s="18" t="str">
        <f t="shared" si="11"/>
        <v>Sun:08:00-10:00:MBA-AF,MBA-M</v>
      </c>
      <c r="M125" s="18" t="e">
        <f>VLOOKUP(I125,#REF!,2,FALSE)</f>
        <v>#REF!</v>
      </c>
    </row>
    <row r="126" spans="1:13" ht="14.45" hidden="1" customHeight="1" x14ac:dyDescent="0.25">
      <c r="A126" s="18" t="str">
        <f t="shared" si="10"/>
        <v>BBA214/DBA213/AGM212</v>
      </c>
      <c r="B126" s="47" t="s">
        <v>781</v>
      </c>
      <c r="C126" s="47" t="s">
        <v>140</v>
      </c>
      <c r="D126" s="47" t="s">
        <v>785</v>
      </c>
      <c r="E126" s="47" t="s">
        <v>529</v>
      </c>
      <c r="F126" s="47" t="s">
        <v>530</v>
      </c>
      <c r="G126" s="49" t="e">
        <f t="shared" si="6"/>
        <v>#REF!</v>
      </c>
      <c r="H126" s="47" t="s">
        <v>20</v>
      </c>
      <c r="I126" s="47" t="e">
        <f>VLOOKUP($E126,#REF!,3,FALSE)</f>
        <v>#REF!</v>
      </c>
      <c r="J126" s="47" t="str">
        <f t="shared" si="7"/>
        <v>Sat:02:45-04:45:KG-15</v>
      </c>
      <c r="K126" s="18" t="e">
        <f t="shared" si="8"/>
        <v>#REF!</v>
      </c>
      <c r="L126" s="18" t="str">
        <f t="shared" si="11"/>
        <v>Sat:02:45-04:45:BBA-3W</v>
      </c>
      <c r="M126" s="18" t="e">
        <f>VLOOKUP(I126,#REF!,2,FALSE)</f>
        <v>#REF!</v>
      </c>
    </row>
    <row r="127" spans="1:13" ht="14.45" hidden="1" customHeight="1" x14ac:dyDescent="0.25">
      <c r="A127" s="18" t="str">
        <f t="shared" si="10"/>
        <v>EHS111</v>
      </c>
      <c r="B127" s="47" t="s">
        <v>812</v>
      </c>
      <c r="C127" s="47" t="s">
        <v>140</v>
      </c>
      <c r="D127" s="47" t="s">
        <v>787</v>
      </c>
      <c r="E127" s="47" t="s">
        <v>941</v>
      </c>
      <c r="F127" s="47" t="s">
        <v>942</v>
      </c>
      <c r="G127" s="49" t="e">
        <f t="shared" si="6"/>
        <v>#REF!</v>
      </c>
      <c r="H127" s="47" t="s">
        <v>1459</v>
      </c>
      <c r="I127" s="47" t="e">
        <f>VLOOKUP($E127,#REF!,3,FALSE)</f>
        <v>#REF!</v>
      </c>
      <c r="J127" s="47" t="str">
        <f t="shared" si="7"/>
        <v>Sun:02:45-04:45:MKN-17</v>
      </c>
      <c r="K127" s="18" t="e">
        <f t="shared" si="8"/>
        <v>#REF!</v>
      </c>
      <c r="L127" s="18" t="str">
        <f t="shared" si="11"/>
        <v>Sun:02:45-04:45:BEHS-1</v>
      </c>
      <c r="M127" s="18" t="e">
        <f>VLOOKUP(I127,#REF!,2,FALSE)</f>
        <v>#REF!</v>
      </c>
    </row>
    <row r="128" spans="1:13" ht="14.45" hidden="1" customHeight="1" x14ac:dyDescent="0.25">
      <c r="A128" s="18" t="str">
        <f t="shared" si="10"/>
        <v>MSS810</v>
      </c>
      <c r="B128" s="47" t="s">
        <v>812</v>
      </c>
      <c r="C128" s="47" t="s">
        <v>140</v>
      </c>
      <c r="D128" s="47" t="s">
        <v>816</v>
      </c>
      <c r="E128" s="47" t="s">
        <v>946</v>
      </c>
      <c r="F128" s="47" t="s">
        <v>947</v>
      </c>
      <c r="G128" s="49" t="e">
        <f t="shared" si="6"/>
        <v>#REF!</v>
      </c>
      <c r="H128" s="47" t="s">
        <v>55</v>
      </c>
      <c r="I128" s="47" t="e">
        <f>VLOOKUP($E128,#REF!,3,FALSE)</f>
        <v>#REF!</v>
      </c>
      <c r="J128" s="47" t="str">
        <f t="shared" si="7"/>
        <v>Sun:02:45-04:45:KG-7</v>
      </c>
      <c r="K128" s="18" t="e">
        <f t="shared" si="8"/>
        <v>#REF!</v>
      </c>
      <c r="L128" s="18" t="str">
        <f t="shared" si="11"/>
        <v>Sun:02:45-04:45:MSS-3</v>
      </c>
      <c r="M128" s="18" t="e">
        <f>VLOOKUP(I128,#REF!,2,FALSE)</f>
        <v>#REF!</v>
      </c>
    </row>
    <row r="129" spans="1:13" ht="14.45" hidden="1" customHeight="1" x14ac:dyDescent="0.25">
      <c r="A129" s="18" t="str">
        <f t="shared" si="10"/>
        <v>MIR721</v>
      </c>
      <c r="B129" s="47" t="s">
        <v>812</v>
      </c>
      <c r="C129" s="47" t="s">
        <v>47</v>
      </c>
      <c r="D129" s="47" t="s">
        <v>904</v>
      </c>
      <c r="E129" s="47" t="s">
        <v>948</v>
      </c>
      <c r="F129" s="47" t="s">
        <v>949</v>
      </c>
      <c r="G129" s="49" t="e">
        <f t="shared" si="6"/>
        <v>#REF!</v>
      </c>
      <c r="H129" s="47" t="s">
        <v>983</v>
      </c>
      <c r="I129" s="47" t="e">
        <f>VLOOKUP($E129,#REF!,3,FALSE)</f>
        <v>#REF!</v>
      </c>
      <c r="J129" s="47" t="str">
        <f t="shared" si="7"/>
        <v>Sun:10:15-12:15:Online</v>
      </c>
      <c r="K129" s="18" t="e">
        <f t="shared" si="8"/>
        <v>#REF!</v>
      </c>
      <c r="L129" s="18" t="str">
        <f t="shared" si="11"/>
        <v>Sun:10:15-12:15:MIRDS-2</v>
      </c>
      <c r="M129" s="18" t="e">
        <f>VLOOKUP(I129,#REF!,2,FALSE)</f>
        <v>#REF!</v>
      </c>
    </row>
    <row r="130" spans="1:13" ht="14.45" hidden="1" customHeight="1" x14ac:dyDescent="0.25">
      <c r="A130" s="18" t="str">
        <f t="shared" si="10"/>
        <v>MIR715</v>
      </c>
      <c r="B130" s="47" t="s">
        <v>812</v>
      </c>
      <c r="C130" s="47" t="s">
        <v>140</v>
      </c>
      <c r="D130" s="47" t="s">
        <v>908</v>
      </c>
      <c r="E130" s="47" t="s">
        <v>954</v>
      </c>
      <c r="F130" s="47" t="s">
        <v>955</v>
      </c>
      <c r="G130" s="49" t="e">
        <f t="shared" ref="G130:G193" si="12">M130</f>
        <v>#REF!</v>
      </c>
      <c r="H130" s="47" t="s">
        <v>24</v>
      </c>
      <c r="I130" s="47" t="e">
        <f>VLOOKUP($E130,#REF!,3,FALSE)</f>
        <v>#REF!</v>
      </c>
      <c r="J130" s="47" t="str">
        <f t="shared" ref="J130:J193" si="13">$B130&amp;":"&amp;$C130&amp;":"&amp;$H130</f>
        <v>Sun:02:45-04:45:KG-9</v>
      </c>
      <c r="K130" s="18" t="e">
        <f t="shared" ref="K130:K193" si="14">B130&amp;":"&amp;C130&amp;":"&amp;I130</f>
        <v>#REF!</v>
      </c>
      <c r="L130" s="18" t="str">
        <f t="shared" si="11"/>
        <v>Sun:02:45-04:45:MIRDS-1</v>
      </c>
      <c r="M130" s="18" t="e">
        <f>VLOOKUP(I130,#REF!,2,FALSE)</f>
        <v>#REF!</v>
      </c>
    </row>
    <row r="131" spans="1:13" ht="14.45" hidden="1" customHeight="1" x14ac:dyDescent="0.25">
      <c r="A131" s="18" t="str">
        <f t="shared" si="10"/>
        <v>MBA712</v>
      </c>
      <c r="B131" s="47" t="s">
        <v>812</v>
      </c>
      <c r="C131" s="47" t="s">
        <v>140</v>
      </c>
      <c r="D131" s="47" t="s">
        <v>958</v>
      </c>
      <c r="E131" s="47" t="s">
        <v>959</v>
      </c>
      <c r="F131" s="47" t="s">
        <v>960</v>
      </c>
      <c r="G131" s="49" t="e">
        <f t="shared" si="12"/>
        <v>#REF!</v>
      </c>
      <c r="H131" s="47" t="s">
        <v>46</v>
      </c>
      <c r="I131" s="47" t="e">
        <f>VLOOKUP($E131,#REF!,3,FALSE)</f>
        <v>#REF!</v>
      </c>
      <c r="J131" s="47" t="str">
        <f t="shared" si="13"/>
        <v>Sun:02:45-04:45:SI-B01</v>
      </c>
      <c r="K131" s="18" t="e">
        <f t="shared" si="14"/>
        <v>#REF!</v>
      </c>
      <c r="L131" s="18" t="str">
        <f t="shared" si="11"/>
        <v>Sun:02:45-04:45:MBA-1,MPM-1</v>
      </c>
      <c r="M131" s="18" t="e">
        <f>VLOOKUP(I131,#REF!,2,FALSE)</f>
        <v>#REF!</v>
      </c>
    </row>
    <row r="132" spans="1:13" ht="14.45" hidden="1" customHeight="1" x14ac:dyDescent="0.25">
      <c r="A132" s="18" t="str">
        <f t="shared" si="10"/>
        <v>MPH713</v>
      </c>
      <c r="B132" s="47" t="s">
        <v>812</v>
      </c>
      <c r="C132" s="47" t="s">
        <v>96</v>
      </c>
      <c r="D132" s="47" t="s">
        <v>890</v>
      </c>
      <c r="E132" s="47" t="s">
        <v>982</v>
      </c>
      <c r="F132" s="47" t="s">
        <v>670</v>
      </c>
      <c r="G132" s="49" t="e">
        <f t="shared" si="12"/>
        <v>#REF!</v>
      </c>
      <c r="H132" s="47" t="s">
        <v>1459</v>
      </c>
      <c r="I132" s="47" t="e">
        <f>VLOOKUP($E132,#REF!,3,FALSE)</f>
        <v>#REF!</v>
      </c>
      <c r="J132" s="47" t="str">
        <f t="shared" si="13"/>
        <v>Sun:12:30-02:30:MKN-17</v>
      </c>
      <c r="K132" s="18" t="e">
        <f t="shared" si="14"/>
        <v>#REF!</v>
      </c>
      <c r="L132" s="18" t="str">
        <f t="shared" si="11"/>
        <v>Sun:12:30-02:30:MPH-1</v>
      </c>
      <c r="M132" s="18" t="e">
        <f>VLOOKUP(I132,#REF!,2,FALSE)</f>
        <v>#REF!</v>
      </c>
    </row>
    <row r="133" spans="1:13" ht="14.45" hidden="1" customHeight="1" x14ac:dyDescent="0.25">
      <c r="A133" s="18" t="str">
        <f t="shared" si="10"/>
        <v>MPH714</v>
      </c>
      <c r="B133" s="47" t="s">
        <v>812</v>
      </c>
      <c r="C133" s="47" t="s">
        <v>47</v>
      </c>
      <c r="D133" s="47" t="s">
        <v>890</v>
      </c>
      <c r="E133" s="47" t="s">
        <v>984</v>
      </c>
      <c r="F133" s="47" t="s">
        <v>985</v>
      </c>
      <c r="G133" s="49" t="e">
        <f t="shared" si="12"/>
        <v>#REF!</v>
      </c>
      <c r="H133" s="47" t="s">
        <v>983</v>
      </c>
      <c r="I133" s="47" t="e">
        <f>VLOOKUP($E133,#REF!,3,FALSE)</f>
        <v>#REF!</v>
      </c>
      <c r="J133" s="47" t="str">
        <f t="shared" si="13"/>
        <v>Sun:10:15-12:15:Online</v>
      </c>
      <c r="K133" s="18" t="e">
        <f t="shared" si="14"/>
        <v>#REF!</v>
      </c>
      <c r="L133" s="18" t="str">
        <f t="shared" si="11"/>
        <v>Sun:10:15-12:15:MPH-1</v>
      </c>
      <c r="M133" s="18" t="e">
        <f>VLOOKUP(I133,#REF!,2,FALSE)</f>
        <v>#REF!</v>
      </c>
    </row>
    <row r="134" spans="1:13" ht="14.45" hidden="1" customHeight="1" x14ac:dyDescent="0.25">
      <c r="A134" s="18" t="str">
        <f t="shared" si="10"/>
        <v>BBA113/DBA113</v>
      </c>
      <c r="B134" s="47" t="s">
        <v>812</v>
      </c>
      <c r="C134" s="47" t="s">
        <v>47</v>
      </c>
      <c r="D134" s="47" t="s">
        <v>784</v>
      </c>
      <c r="E134" s="47" t="s">
        <v>316</v>
      </c>
      <c r="F134" s="47" t="s">
        <v>317</v>
      </c>
      <c r="G134" s="49" t="e">
        <f t="shared" si="12"/>
        <v>#REF!</v>
      </c>
      <c r="H134" s="47" t="s">
        <v>20</v>
      </c>
      <c r="I134" s="47" t="e">
        <f>VLOOKUP($E134,#REF!,3,FALSE)</f>
        <v>#REF!</v>
      </c>
      <c r="J134" s="47" t="str">
        <f t="shared" si="13"/>
        <v>Sun:10:15-12:15:KG-15</v>
      </c>
      <c r="K134" s="18" t="e">
        <f t="shared" si="14"/>
        <v>#REF!</v>
      </c>
      <c r="L134" s="18" t="str">
        <f t="shared" si="11"/>
        <v>Sun:10:15-12:15:BBA-1W</v>
      </c>
      <c r="M134" s="18" t="e">
        <f>VLOOKUP(I134,#REF!,2,FALSE)</f>
        <v>#REF!</v>
      </c>
    </row>
    <row r="135" spans="1:13" ht="14.45" hidden="1" customHeight="1" x14ac:dyDescent="0.25">
      <c r="A135" s="18" t="str">
        <f t="shared" si="10"/>
        <v>BBA212</v>
      </c>
      <c r="B135" s="47" t="s">
        <v>812</v>
      </c>
      <c r="C135" s="47" t="s">
        <v>10</v>
      </c>
      <c r="D135" s="47" t="s">
        <v>785</v>
      </c>
      <c r="E135" s="47" t="s">
        <v>439</v>
      </c>
      <c r="F135" s="47" t="s">
        <v>440</v>
      </c>
      <c r="G135" s="49" t="e">
        <f t="shared" si="12"/>
        <v>#REF!</v>
      </c>
      <c r="H135" s="47" t="s">
        <v>20</v>
      </c>
      <c r="I135" s="47" t="e">
        <f>VLOOKUP($E135,#REF!,3,FALSE)</f>
        <v>#REF!</v>
      </c>
      <c r="J135" s="47" t="str">
        <f t="shared" si="13"/>
        <v>Sun:08:00-10:00:KG-15</v>
      </c>
      <c r="K135" s="18" t="e">
        <f t="shared" si="14"/>
        <v>#REF!</v>
      </c>
      <c r="L135" s="18" t="str">
        <f t="shared" si="11"/>
        <v>Sun:08:00-10:00:BBA-3W</v>
      </c>
      <c r="M135" s="18" t="e">
        <f>VLOOKUP(I135,#REF!,2,FALSE)</f>
        <v>#REF!</v>
      </c>
    </row>
    <row r="136" spans="1:13" ht="14.45" hidden="1" customHeight="1" x14ac:dyDescent="0.25">
      <c r="A136" s="18" t="str">
        <f t="shared" si="10"/>
        <v>MBA710</v>
      </c>
      <c r="B136" s="47" t="s">
        <v>812</v>
      </c>
      <c r="C136" s="47" t="s">
        <v>47</v>
      </c>
      <c r="D136" s="47" t="s">
        <v>986</v>
      </c>
      <c r="E136" s="47" t="s">
        <v>987</v>
      </c>
      <c r="F136" s="47" t="s">
        <v>988</v>
      </c>
      <c r="G136" s="49" t="e">
        <f t="shared" si="12"/>
        <v>#REF!</v>
      </c>
      <c r="H136" s="47" t="s">
        <v>46</v>
      </c>
      <c r="I136" s="47" t="e">
        <f>VLOOKUP($E136,#REF!,3,FALSE)</f>
        <v>#REF!</v>
      </c>
      <c r="J136" s="47" t="str">
        <f t="shared" si="13"/>
        <v>Sun:10:15-12:15:SI-B01</v>
      </c>
      <c r="K136" s="18" t="e">
        <f t="shared" si="14"/>
        <v>#REF!</v>
      </c>
      <c r="L136" s="18" t="str">
        <f t="shared" si="11"/>
        <v>Sun:10:15-12:15:MBA-1,MPM-1,MED-1</v>
      </c>
      <c r="M136" s="18" t="e">
        <f>VLOOKUP(I136,#REF!,2,FALSE)</f>
        <v>#REF!</v>
      </c>
    </row>
    <row r="137" spans="1:13" ht="14.45" hidden="1" customHeight="1" x14ac:dyDescent="0.25">
      <c r="A137" s="18" t="str">
        <f t="shared" si="10"/>
        <v>MSS723</v>
      </c>
      <c r="B137" s="47" t="s">
        <v>812</v>
      </c>
      <c r="C137" s="47" t="s">
        <v>47</v>
      </c>
      <c r="D137" s="47" t="s">
        <v>819</v>
      </c>
      <c r="E137" s="47" t="s">
        <v>989</v>
      </c>
      <c r="F137" s="47" t="s">
        <v>990</v>
      </c>
      <c r="G137" s="49" t="e">
        <f t="shared" si="12"/>
        <v>#REF!</v>
      </c>
      <c r="H137" s="47" t="s">
        <v>55</v>
      </c>
      <c r="I137" s="47" t="e">
        <f>VLOOKUP($E137,#REF!,3,FALSE)</f>
        <v>#REF!</v>
      </c>
      <c r="J137" s="47" t="str">
        <f t="shared" si="13"/>
        <v>Sun:10:15-12:15:KG-7</v>
      </c>
      <c r="K137" s="18" t="e">
        <f t="shared" si="14"/>
        <v>#REF!</v>
      </c>
      <c r="L137" s="18" t="str">
        <f t="shared" si="11"/>
        <v>Sun:10:15-12:15:MSS-2</v>
      </c>
      <c r="M137" s="18" t="e">
        <f>VLOOKUP(I137,#REF!,2,FALSE)</f>
        <v>#REF!</v>
      </c>
    </row>
    <row r="138" spans="1:13" ht="14.45" hidden="1" customHeight="1" x14ac:dyDescent="0.25">
      <c r="A138" s="18" t="str">
        <f t="shared" si="10"/>
        <v>EHS225</v>
      </c>
      <c r="B138" s="47" t="s">
        <v>812</v>
      </c>
      <c r="C138" s="47" t="s">
        <v>10</v>
      </c>
      <c r="D138" s="47" t="s">
        <v>802</v>
      </c>
      <c r="E138" s="47" t="s">
        <v>991</v>
      </c>
      <c r="F138" s="47" t="s">
        <v>992</v>
      </c>
      <c r="G138" s="49" t="e">
        <f t="shared" si="12"/>
        <v>#REF!</v>
      </c>
      <c r="H138" s="47" t="s">
        <v>1459</v>
      </c>
      <c r="I138" s="47" t="e">
        <f>VLOOKUP($E138,#REF!,3,FALSE)</f>
        <v>#REF!</v>
      </c>
      <c r="J138" s="47" t="str">
        <f t="shared" si="13"/>
        <v>Sun:08:00-10:00:MKN-17</v>
      </c>
      <c r="K138" s="18" t="e">
        <f t="shared" si="14"/>
        <v>#REF!</v>
      </c>
      <c r="L138" s="18" t="str">
        <f t="shared" si="11"/>
        <v>Sun:08:00-10:00:BEHS-4</v>
      </c>
      <c r="M138" s="18" t="e">
        <f>VLOOKUP(I138,#REF!,2,FALSE)</f>
        <v>#REF!</v>
      </c>
    </row>
    <row r="139" spans="1:13" ht="14.45" hidden="1" customHeight="1" x14ac:dyDescent="0.25">
      <c r="A139" s="18" t="str">
        <f t="shared" si="10"/>
        <v>EHS214</v>
      </c>
      <c r="B139" s="47" t="s">
        <v>812</v>
      </c>
      <c r="C139" s="47" t="s">
        <v>140</v>
      </c>
      <c r="D139" s="47" t="s">
        <v>808</v>
      </c>
      <c r="E139" s="47" t="s">
        <v>282</v>
      </c>
      <c r="F139" s="47" t="s">
        <v>283</v>
      </c>
      <c r="G139" s="49" t="e">
        <f t="shared" si="12"/>
        <v>#REF!</v>
      </c>
      <c r="H139" s="47" t="s">
        <v>3163</v>
      </c>
      <c r="I139" s="47" t="e">
        <f>VLOOKUP($E139,#REF!,3,FALSE)</f>
        <v>#REF!</v>
      </c>
      <c r="J139" s="47" t="str">
        <f t="shared" si="13"/>
        <v>Sun:02:45-04:45:MKN-09</v>
      </c>
      <c r="K139" s="18" t="e">
        <f t="shared" si="14"/>
        <v>#REF!</v>
      </c>
      <c r="L139" s="18" t="str">
        <f t="shared" si="11"/>
        <v>Sun:02:45-04:45:BEHS-3</v>
      </c>
      <c r="M139" s="18" t="e">
        <f>VLOOKUP(I139,#REF!,2,FALSE)</f>
        <v>#REF!</v>
      </c>
    </row>
    <row r="140" spans="1:13" ht="14.45" hidden="1" customHeight="1" x14ac:dyDescent="0.25">
      <c r="A140" s="18" t="str">
        <f t="shared" si="10"/>
        <v>BBA317</v>
      </c>
      <c r="B140" s="47" t="s">
        <v>812</v>
      </c>
      <c r="C140" s="47" t="s">
        <v>47</v>
      </c>
      <c r="D140" s="47" t="s">
        <v>535</v>
      </c>
      <c r="E140" s="47" t="s">
        <v>651</v>
      </c>
      <c r="F140" s="47" t="s">
        <v>652</v>
      </c>
      <c r="G140" s="49" t="e">
        <f t="shared" si="12"/>
        <v>#REF!</v>
      </c>
      <c r="H140" s="47" t="s">
        <v>83</v>
      </c>
      <c r="I140" s="47" t="e">
        <f>VLOOKUP($E140,#REF!,3,FALSE)</f>
        <v>#REF!</v>
      </c>
      <c r="J140" s="47" t="str">
        <f t="shared" si="13"/>
        <v>Sun:10:15-12:15:KG-10</v>
      </c>
      <c r="K140" s="18" t="e">
        <f t="shared" si="14"/>
        <v>#REF!</v>
      </c>
      <c r="L140" s="18" t="str">
        <f t="shared" si="11"/>
        <v>Sun:10:15-12:15:BBA-AF-5</v>
      </c>
      <c r="M140" s="18" t="e">
        <f>VLOOKUP(I140,#REF!,2,FALSE)</f>
        <v>#REF!</v>
      </c>
    </row>
    <row r="141" spans="1:13" ht="14.45" hidden="1" customHeight="1" x14ac:dyDescent="0.25">
      <c r="A141" s="18" t="str">
        <f t="shared" si="10"/>
        <v>MPH725</v>
      </c>
      <c r="B141" s="47" t="s">
        <v>812</v>
      </c>
      <c r="C141" s="47" t="s">
        <v>47</v>
      </c>
      <c r="D141" s="47" t="s">
        <v>794</v>
      </c>
      <c r="E141" s="47" t="s">
        <v>1003</v>
      </c>
      <c r="F141" s="47" t="s">
        <v>478</v>
      </c>
      <c r="G141" s="49" t="e">
        <f t="shared" si="12"/>
        <v>#REF!</v>
      </c>
      <c r="H141" s="47" t="s">
        <v>3163</v>
      </c>
      <c r="I141" s="47" t="e">
        <f>VLOOKUP($E141,#REF!,3,FALSE)</f>
        <v>#REF!</v>
      </c>
      <c r="J141" s="47" t="str">
        <f t="shared" si="13"/>
        <v>Sun:10:15-12:15:MKN-09</v>
      </c>
      <c r="K141" s="18" t="e">
        <f t="shared" si="14"/>
        <v>#REF!</v>
      </c>
      <c r="L141" s="18" t="str">
        <f t="shared" si="11"/>
        <v>Sun:10:15-12:15:MPH-2</v>
      </c>
      <c r="M141" s="18" t="e">
        <f>VLOOKUP(I141,#REF!,2,FALSE)</f>
        <v>#REF!</v>
      </c>
    </row>
    <row r="142" spans="1:13" ht="14.45" hidden="1" customHeight="1" x14ac:dyDescent="0.25">
      <c r="A142" s="18" t="str">
        <f t="shared" si="10"/>
        <v>MSS712</v>
      </c>
      <c r="B142" s="47" t="s">
        <v>812</v>
      </c>
      <c r="C142" s="47" t="s">
        <v>47</v>
      </c>
      <c r="D142" s="47" t="s">
        <v>1004</v>
      </c>
      <c r="E142" s="47" t="s">
        <v>1005</v>
      </c>
      <c r="F142" s="47" t="s">
        <v>1006</v>
      </c>
      <c r="G142" s="49" t="e">
        <f t="shared" si="12"/>
        <v>#REF!</v>
      </c>
      <c r="H142" s="47" t="s">
        <v>287</v>
      </c>
      <c r="I142" s="47" t="e">
        <f>VLOOKUP($E142,#REF!,3,FALSE)</f>
        <v>#REF!</v>
      </c>
      <c r="J142" s="47" t="str">
        <f t="shared" si="13"/>
        <v>Sun:10:15-12:15:KG-13</v>
      </c>
      <c r="K142" s="18" t="e">
        <f t="shared" si="14"/>
        <v>#REF!</v>
      </c>
      <c r="L142" s="18" t="str">
        <f t="shared" si="11"/>
        <v>Sun:10:15-12:15:MIRDS-1,MSS-1</v>
      </c>
      <c r="M142" s="18" t="e">
        <f>VLOOKUP(I142,#REF!,2,FALSE)</f>
        <v>#REF!</v>
      </c>
    </row>
    <row r="143" spans="1:13" ht="14.45" hidden="1" customHeight="1" x14ac:dyDescent="0.25">
      <c r="A143" s="18" t="str">
        <f t="shared" si="10"/>
        <v>MED721</v>
      </c>
      <c r="B143" s="47" t="s">
        <v>812</v>
      </c>
      <c r="C143" s="47" t="s">
        <v>10</v>
      </c>
      <c r="D143" s="47" t="s">
        <v>850</v>
      </c>
      <c r="E143" s="47" t="s">
        <v>1007</v>
      </c>
      <c r="F143" s="47" t="s">
        <v>1008</v>
      </c>
      <c r="G143" s="49" t="e">
        <f t="shared" si="12"/>
        <v>#REF!</v>
      </c>
      <c r="H143" s="47" t="s">
        <v>983</v>
      </c>
      <c r="I143" s="47" t="e">
        <f>VLOOKUP($E143,#REF!,3,FALSE)</f>
        <v>#REF!</v>
      </c>
      <c r="J143" s="47" t="str">
        <f t="shared" si="13"/>
        <v>Sun:08:00-10:00:Online</v>
      </c>
      <c r="K143" s="18" t="e">
        <f t="shared" si="14"/>
        <v>#REF!</v>
      </c>
      <c r="L143" s="18" t="str">
        <f t="shared" si="11"/>
        <v>Sun:08:00-10:00:MED-2</v>
      </c>
      <c r="M143" s="18" t="e">
        <f>VLOOKUP(I143,#REF!,2,FALSE)</f>
        <v>#REF!</v>
      </c>
    </row>
    <row r="144" spans="1:13" ht="14.45" hidden="1" customHeight="1" x14ac:dyDescent="0.25">
      <c r="A144" s="18" t="str">
        <f t="shared" si="10"/>
        <v>BBA224</v>
      </c>
      <c r="B144" s="47" t="s">
        <v>812</v>
      </c>
      <c r="C144" s="47" t="s">
        <v>47</v>
      </c>
      <c r="D144" s="47" t="s">
        <v>919</v>
      </c>
      <c r="E144" s="47" t="s">
        <v>647</v>
      </c>
      <c r="F144" s="47" t="s">
        <v>648</v>
      </c>
      <c r="G144" s="49" t="e">
        <f t="shared" si="12"/>
        <v>#REF!</v>
      </c>
      <c r="H144" s="47" t="s">
        <v>237</v>
      </c>
      <c r="I144" s="47" t="e">
        <f>VLOOKUP($E144,#REF!,3,FALSE)</f>
        <v>#REF!</v>
      </c>
      <c r="J144" s="47" t="str">
        <f t="shared" si="13"/>
        <v>Sun:10:15-12:15:KG-14</v>
      </c>
      <c r="K144" s="18" t="e">
        <f t="shared" si="14"/>
        <v>#REF!</v>
      </c>
      <c r="L144" s="18" t="str">
        <f t="shared" si="11"/>
        <v>Sun:10:15-12:15:BBA-4W</v>
      </c>
      <c r="M144" s="18" t="e">
        <f>VLOOKUP(I144,#REF!,2,FALSE)</f>
        <v>#REF!</v>
      </c>
    </row>
    <row r="145" spans="1:13" ht="14.45" customHeight="1" x14ac:dyDescent="0.25">
      <c r="A145" s="18" t="str">
        <f t="shared" si="10"/>
        <v>BBA115/DBA115</v>
      </c>
      <c r="B145" s="47" t="s">
        <v>812</v>
      </c>
      <c r="C145" s="47" t="s">
        <v>140</v>
      </c>
      <c r="D145" s="47" t="s">
        <v>784</v>
      </c>
      <c r="E145" s="47" t="s">
        <v>3928</v>
      </c>
      <c r="F145" s="47" t="s">
        <v>448</v>
      </c>
      <c r="G145" s="49" t="e">
        <f t="shared" si="12"/>
        <v>#REF!</v>
      </c>
      <c r="H145" s="47" t="s">
        <v>20</v>
      </c>
      <c r="I145" s="47" t="e">
        <f>VLOOKUP($E145,#REF!,3,FALSE)</f>
        <v>#REF!</v>
      </c>
      <c r="J145" s="47" t="str">
        <f t="shared" si="13"/>
        <v>Sun:02:45-04:45:KG-15</v>
      </c>
      <c r="K145" s="18" t="e">
        <f t="shared" si="14"/>
        <v>#REF!</v>
      </c>
      <c r="L145" s="18" t="str">
        <f t="shared" si="11"/>
        <v>Sun:02:45-04:45:BBA-1W</v>
      </c>
      <c r="M145" s="18" t="e">
        <f>VLOOKUP(I145,#REF!,2,FALSE)</f>
        <v>#REF!</v>
      </c>
    </row>
    <row r="146" spans="1:13" ht="14.45" hidden="1" customHeight="1" x14ac:dyDescent="0.25">
      <c r="A146" s="18" t="str">
        <f t="shared" si="10"/>
        <v>EHS216</v>
      </c>
      <c r="B146" s="47" t="s">
        <v>812</v>
      </c>
      <c r="C146" s="47" t="s">
        <v>47</v>
      </c>
      <c r="D146" s="47" t="s">
        <v>808</v>
      </c>
      <c r="E146" s="47" t="s">
        <v>1012</v>
      </c>
      <c r="F146" s="47" t="s">
        <v>1013</v>
      </c>
      <c r="G146" s="49" t="e">
        <f t="shared" si="12"/>
        <v>#REF!</v>
      </c>
      <c r="H146" s="47" t="s">
        <v>1460</v>
      </c>
      <c r="I146" s="47" t="e">
        <f>VLOOKUP($E146,#REF!,3,FALSE)</f>
        <v>#REF!</v>
      </c>
      <c r="J146" s="47" t="str">
        <f t="shared" si="13"/>
        <v>Sun:10:15-12:15:MKN-18</v>
      </c>
      <c r="K146" s="18" t="e">
        <f t="shared" si="14"/>
        <v>#REF!</v>
      </c>
      <c r="L146" s="18" t="str">
        <f t="shared" si="11"/>
        <v>Sun:10:15-12:15:BEHS-3</v>
      </c>
      <c r="M146" s="18" t="e">
        <f>VLOOKUP(I146,#REF!,2,FALSE)</f>
        <v>#REF!</v>
      </c>
    </row>
    <row r="147" spans="1:13" ht="14.45" hidden="1" customHeight="1" x14ac:dyDescent="0.25">
      <c r="A147" s="18" t="str">
        <f t="shared" si="10"/>
        <v>MSC722/MPM722</v>
      </c>
      <c r="B147" s="47" t="s">
        <v>812</v>
      </c>
      <c r="C147" s="47" t="s">
        <v>47</v>
      </c>
      <c r="D147" s="47" t="s">
        <v>1014</v>
      </c>
      <c r="E147" s="47" t="s">
        <v>1245</v>
      </c>
      <c r="F147" s="47" t="s">
        <v>1016</v>
      </c>
      <c r="G147" s="49" t="e">
        <f t="shared" si="12"/>
        <v>#REF!</v>
      </c>
      <c r="H147" s="47" t="s">
        <v>55</v>
      </c>
      <c r="I147" s="47" t="e">
        <f>VLOOKUP($E147,#REF!,3,FALSE)</f>
        <v>#REF!</v>
      </c>
      <c r="J147" s="47" t="str">
        <f t="shared" si="13"/>
        <v>Sun:10:15-12:15:KG-7</v>
      </c>
      <c r="K147" s="18" t="e">
        <f t="shared" si="14"/>
        <v>#REF!</v>
      </c>
      <c r="L147" s="18" t="str">
        <f t="shared" si="11"/>
        <v>Sun:10:15-12:15:MBA-PS,MPM-2</v>
      </c>
      <c r="M147" s="18" t="e">
        <f>VLOOKUP(I147,#REF!,2,FALSE)</f>
        <v>#REF!</v>
      </c>
    </row>
    <row r="148" spans="1:13" ht="14.45" hidden="1" customHeight="1" x14ac:dyDescent="0.25">
      <c r="A148" s="18" t="str">
        <f t="shared" si="10"/>
        <v>MHR811</v>
      </c>
      <c r="B148" s="47" t="s">
        <v>781</v>
      </c>
      <c r="C148" s="47" t="s">
        <v>140</v>
      </c>
      <c r="D148" s="47" t="s">
        <v>920</v>
      </c>
      <c r="E148" s="47" t="s">
        <v>1017</v>
      </c>
      <c r="F148" s="47" t="s">
        <v>1018</v>
      </c>
      <c r="G148" s="49" t="e">
        <f t="shared" si="12"/>
        <v>#REF!</v>
      </c>
      <c r="H148" s="47" t="s">
        <v>51</v>
      </c>
      <c r="I148" s="47" t="e">
        <f>VLOOKUP($E148,#REF!,3,FALSE)</f>
        <v>#REF!</v>
      </c>
      <c r="J148" s="47" t="str">
        <f t="shared" si="13"/>
        <v>Sat:02:45-04:45:SI-112</v>
      </c>
      <c r="K148" s="18" t="e">
        <f t="shared" si="14"/>
        <v>#REF!</v>
      </c>
      <c r="L148" s="18" t="str">
        <f t="shared" si="11"/>
        <v>Sat:02:45-04:45:MBA-HRM</v>
      </c>
      <c r="M148" s="18" t="e">
        <f>VLOOKUP(I148,#REF!,2,FALSE)</f>
        <v>#REF!</v>
      </c>
    </row>
    <row r="149" spans="1:13" ht="14.45" hidden="1" customHeight="1" x14ac:dyDescent="0.25">
      <c r="A149" s="18" t="str">
        <f t="shared" si="10"/>
        <v>BAC316</v>
      </c>
      <c r="B149" s="47" t="s">
        <v>812</v>
      </c>
      <c r="C149" s="47" t="s">
        <v>10</v>
      </c>
      <c r="D149" s="47" t="s">
        <v>357</v>
      </c>
      <c r="E149" s="47" t="s">
        <v>580</v>
      </c>
      <c r="F149" s="47" t="s">
        <v>581</v>
      </c>
      <c r="G149" s="49" t="e">
        <f t="shared" si="12"/>
        <v>#REF!</v>
      </c>
      <c r="H149" s="47" t="s">
        <v>55</v>
      </c>
      <c r="I149" s="47" t="e">
        <f>VLOOKUP($E149,#REF!,3,FALSE)</f>
        <v>#REF!</v>
      </c>
      <c r="J149" s="47" t="str">
        <f t="shared" si="13"/>
        <v>Sun:08:00-10:00:KG-7</v>
      </c>
      <c r="K149" s="18" t="e">
        <f t="shared" si="14"/>
        <v>#REF!</v>
      </c>
      <c r="L149" s="18" t="str">
        <f t="shared" si="11"/>
        <v>Sun:08:00-10:00:BBA-AF-5,BF-5</v>
      </c>
      <c r="M149" s="18" t="e">
        <f>VLOOKUP(I149,#REF!,2,FALSE)</f>
        <v>#REF!</v>
      </c>
    </row>
    <row r="150" spans="1:13" ht="14.45" hidden="1" customHeight="1" x14ac:dyDescent="0.25">
      <c r="A150" s="18" t="str">
        <f t="shared" si="10"/>
        <v>MPH814</v>
      </c>
      <c r="B150" s="47" t="s">
        <v>781</v>
      </c>
      <c r="C150" s="47" t="s">
        <v>140</v>
      </c>
      <c r="D150" s="47" t="s">
        <v>880</v>
      </c>
      <c r="E150" s="47" t="s">
        <v>1022</v>
      </c>
      <c r="F150" s="47" t="s">
        <v>1023</v>
      </c>
      <c r="G150" s="49" t="e">
        <f t="shared" si="12"/>
        <v>#REF!</v>
      </c>
      <c r="H150" s="47" t="s">
        <v>1457</v>
      </c>
      <c r="I150" s="47" t="e">
        <f>VLOOKUP($E150,#REF!,3,FALSE)</f>
        <v>#REF!</v>
      </c>
      <c r="J150" s="47" t="str">
        <f t="shared" si="13"/>
        <v>Sat:02:45-04:45:MKN-15</v>
      </c>
      <c r="K150" s="18" t="e">
        <f t="shared" si="14"/>
        <v>#REF!</v>
      </c>
      <c r="L150" s="18" t="str">
        <f t="shared" si="11"/>
        <v>Sat:02:45-04:45:MPH-3</v>
      </c>
      <c r="M150" s="18" t="e">
        <f>VLOOKUP(I150,#REF!,2,FALSE)</f>
        <v>#REF!</v>
      </c>
    </row>
    <row r="151" spans="1:13" ht="14.45" hidden="1" customHeight="1" x14ac:dyDescent="0.25">
      <c r="A151" s="18" t="str">
        <f t="shared" si="10"/>
        <v>EHS125</v>
      </c>
      <c r="B151" s="47" t="s">
        <v>812</v>
      </c>
      <c r="C151" s="47" t="s">
        <v>96</v>
      </c>
      <c r="D151" s="47" t="s">
        <v>805</v>
      </c>
      <c r="E151" s="47" t="s">
        <v>1026</v>
      </c>
      <c r="F151" s="47" t="s">
        <v>1027</v>
      </c>
      <c r="G151" s="49" t="e">
        <f t="shared" si="12"/>
        <v>#REF!</v>
      </c>
      <c r="H151" s="47" t="s">
        <v>1458</v>
      </c>
      <c r="I151" s="47" t="e">
        <f>VLOOKUP($E151,#REF!,3,FALSE)</f>
        <v>#REF!</v>
      </c>
      <c r="J151" s="47" t="str">
        <f t="shared" si="13"/>
        <v>Sun:12:30-02:30:MKN-16</v>
      </c>
      <c r="K151" s="18" t="e">
        <f t="shared" si="14"/>
        <v>#REF!</v>
      </c>
      <c r="L151" s="18" t="str">
        <f t="shared" si="11"/>
        <v>Sun:12:30-02:30:BEHS-2</v>
      </c>
      <c r="M151" s="18" t="e">
        <f>VLOOKUP(I151,#REF!,2,FALSE)</f>
        <v>#REF!</v>
      </c>
    </row>
    <row r="152" spans="1:13" ht="14.45" hidden="1" customHeight="1" x14ac:dyDescent="0.25">
      <c r="A152" s="18" t="str">
        <f t="shared" si="10"/>
        <v>EHS213</v>
      </c>
      <c r="B152" s="47" t="s">
        <v>812</v>
      </c>
      <c r="C152" s="47" t="s">
        <v>96</v>
      </c>
      <c r="D152" s="47" t="s">
        <v>808</v>
      </c>
      <c r="E152" s="47" t="s">
        <v>1028</v>
      </c>
      <c r="F152" s="47" t="s">
        <v>1029</v>
      </c>
      <c r="G152" s="49" t="e">
        <f t="shared" si="12"/>
        <v>#REF!</v>
      </c>
      <c r="H152" s="47" t="s">
        <v>3163</v>
      </c>
      <c r="I152" s="47" t="e">
        <f>VLOOKUP($E152,#REF!,3,FALSE)</f>
        <v>#REF!</v>
      </c>
      <c r="J152" s="47" t="str">
        <f t="shared" si="13"/>
        <v>Sun:12:30-02:30:MKN-09</v>
      </c>
      <c r="K152" s="18" t="e">
        <f t="shared" si="14"/>
        <v>#REF!</v>
      </c>
      <c r="L152" s="18" t="str">
        <f t="shared" si="11"/>
        <v>Sun:12:30-02:30:BEHS-3</v>
      </c>
      <c r="M152" s="18" t="e">
        <f>VLOOKUP(I152,#REF!,2,FALSE)</f>
        <v>#REF!</v>
      </c>
    </row>
    <row r="153" spans="1:13" ht="14.45" hidden="1" customHeight="1" x14ac:dyDescent="0.25">
      <c r="A153" s="18" t="str">
        <f t="shared" si="10"/>
        <v>BBA211/DBA211</v>
      </c>
      <c r="B153" s="47" t="s">
        <v>812</v>
      </c>
      <c r="C153" s="47" t="s">
        <v>47</v>
      </c>
      <c r="D153" s="47" t="s">
        <v>785</v>
      </c>
      <c r="E153" s="47" t="s">
        <v>1481</v>
      </c>
      <c r="F153" s="47" t="s">
        <v>547</v>
      </c>
      <c r="G153" s="49" t="e">
        <f t="shared" si="12"/>
        <v>#REF!</v>
      </c>
      <c r="H153" s="47" t="s">
        <v>287</v>
      </c>
      <c r="I153" s="47" t="e">
        <f>VLOOKUP($E153,#REF!,3,FALSE)</f>
        <v>#REF!</v>
      </c>
      <c r="J153" s="47" t="str">
        <f t="shared" si="13"/>
        <v>Sun:10:15-12:15:KG-13</v>
      </c>
      <c r="K153" s="18" t="e">
        <f t="shared" si="14"/>
        <v>#REF!</v>
      </c>
      <c r="L153" s="18" t="str">
        <f t="shared" si="11"/>
        <v>Sun:10:15-12:15:BBA-3W</v>
      </c>
      <c r="M153" s="18" t="e">
        <f>VLOOKUP(I153,#REF!,2,FALSE)</f>
        <v>#REF!</v>
      </c>
    </row>
    <row r="154" spans="1:13" ht="14.45" hidden="1" customHeight="1" x14ac:dyDescent="0.25">
      <c r="A154" s="18" t="str">
        <f t="shared" si="10"/>
        <v>MBF815</v>
      </c>
      <c r="B154" s="47" t="s">
        <v>812</v>
      </c>
      <c r="C154" s="47" t="s">
        <v>96</v>
      </c>
      <c r="D154" s="47" t="s">
        <v>847</v>
      </c>
      <c r="E154" s="47" t="s">
        <v>1032</v>
      </c>
      <c r="F154" s="47" t="s">
        <v>1033</v>
      </c>
      <c r="G154" s="49" t="e">
        <f t="shared" si="12"/>
        <v>#REF!</v>
      </c>
      <c r="H154" s="47" t="s">
        <v>61</v>
      </c>
      <c r="I154" s="47" t="e">
        <f>VLOOKUP($E154,#REF!,3,FALSE)</f>
        <v>#REF!</v>
      </c>
      <c r="J154" s="47" t="str">
        <f t="shared" si="13"/>
        <v>Sun:12:30-02:30:SI-202</v>
      </c>
      <c r="K154" s="18" t="e">
        <f t="shared" si="14"/>
        <v>#REF!</v>
      </c>
      <c r="L154" s="18" t="str">
        <f t="shared" si="11"/>
        <v>Sun:12:30-02:30:MBA-AF</v>
      </c>
      <c r="M154" s="18" t="e">
        <f>VLOOKUP(I154,#REF!,2,FALSE)</f>
        <v>#REF!</v>
      </c>
    </row>
    <row r="155" spans="1:13" ht="14.45" hidden="1" customHeight="1" x14ac:dyDescent="0.25">
      <c r="A155" s="18" t="str">
        <f t="shared" si="10"/>
        <v>MIR722</v>
      </c>
      <c r="B155" s="47" t="s">
        <v>812</v>
      </c>
      <c r="C155" s="47" t="s">
        <v>96</v>
      </c>
      <c r="D155" s="47" t="s">
        <v>904</v>
      </c>
      <c r="E155" s="47" t="s">
        <v>1034</v>
      </c>
      <c r="F155" s="47" t="s">
        <v>1035</v>
      </c>
      <c r="G155" s="49" t="e">
        <f t="shared" si="12"/>
        <v>#REF!</v>
      </c>
      <c r="H155" s="47" t="s">
        <v>55</v>
      </c>
      <c r="I155" s="47" t="e">
        <f>VLOOKUP($E155,#REF!,3,FALSE)</f>
        <v>#REF!</v>
      </c>
      <c r="J155" s="47" t="str">
        <f t="shared" si="13"/>
        <v>Sun:12:30-02:30:KG-7</v>
      </c>
      <c r="K155" s="18" t="e">
        <f t="shared" si="14"/>
        <v>#REF!</v>
      </c>
      <c r="L155" s="18" t="str">
        <f t="shared" si="11"/>
        <v>Sun:12:30-02:30:MIRDS-2</v>
      </c>
      <c r="M155" s="18" t="e">
        <f>VLOOKUP(I155,#REF!,2,FALSE)</f>
        <v>#REF!</v>
      </c>
    </row>
    <row r="156" spans="1:13" ht="14.45" hidden="1" customHeight="1" x14ac:dyDescent="0.25">
      <c r="A156" s="18" t="str">
        <f t="shared" si="10"/>
        <v>MIR711</v>
      </c>
      <c r="B156" s="47" t="s">
        <v>812</v>
      </c>
      <c r="C156" s="47" t="s">
        <v>96</v>
      </c>
      <c r="D156" s="47" t="s">
        <v>1004</v>
      </c>
      <c r="E156" s="47" t="s">
        <v>1036</v>
      </c>
      <c r="F156" s="47" t="s">
        <v>1037</v>
      </c>
      <c r="G156" s="49" t="e">
        <f t="shared" si="12"/>
        <v>#REF!</v>
      </c>
      <c r="H156" s="47" t="s">
        <v>24</v>
      </c>
      <c r="I156" s="47" t="e">
        <f>VLOOKUP($E156,#REF!,3,FALSE)</f>
        <v>#REF!</v>
      </c>
      <c r="J156" s="47" t="str">
        <f t="shared" si="13"/>
        <v>Sun:12:30-02:30:KG-9</v>
      </c>
      <c r="K156" s="18" t="e">
        <f t="shared" si="14"/>
        <v>#REF!</v>
      </c>
      <c r="L156" s="18" t="str">
        <f t="shared" si="11"/>
        <v>Sun:12:30-02:30:MIRDS-1,MSS-1</v>
      </c>
      <c r="M156" s="18" t="e">
        <f>VLOOKUP(I156,#REF!,2,FALSE)</f>
        <v>#REF!</v>
      </c>
    </row>
    <row r="157" spans="1:13" ht="14.45" hidden="1" customHeight="1" x14ac:dyDescent="0.25">
      <c r="A157" s="18" t="str">
        <f t="shared" si="10"/>
        <v>MIR811/MSS812</v>
      </c>
      <c r="B157" s="47" t="s">
        <v>812</v>
      </c>
      <c r="C157" s="47" t="s">
        <v>10</v>
      </c>
      <c r="D157" s="47" t="s">
        <v>1038</v>
      </c>
      <c r="E157" s="47" t="s">
        <v>1039</v>
      </c>
      <c r="F157" s="47" t="s">
        <v>1040</v>
      </c>
      <c r="G157" s="49" t="e">
        <f t="shared" si="12"/>
        <v>#REF!</v>
      </c>
      <c r="H157" s="47" t="s">
        <v>55</v>
      </c>
      <c r="I157" s="47" t="e">
        <f>VLOOKUP($E157,#REF!,3,FALSE)</f>
        <v>#REF!</v>
      </c>
      <c r="J157" s="47" t="str">
        <f t="shared" si="13"/>
        <v>Sun:08:00-10:00:KG-7</v>
      </c>
      <c r="K157" s="18" t="e">
        <f t="shared" si="14"/>
        <v>#REF!</v>
      </c>
      <c r="L157" s="18" t="str">
        <f t="shared" si="11"/>
        <v>Sun:08:00-10:00:MSS-3,MIRDS-3</v>
      </c>
      <c r="M157" s="18" t="e">
        <f>VLOOKUP(I157,#REF!,2,FALSE)</f>
        <v>#REF!</v>
      </c>
    </row>
    <row r="158" spans="1:13" ht="14.45" hidden="1" customHeight="1" x14ac:dyDescent="0.25">
      <c r="A158" s="18" t="str">
        <f t="shared" si="10"/>
        <v>EHS312</v>
      </c>
      <c r="B158" s="47" t="s">
        <v>812</v>
      </c>
      <c r="C158" s="47" t="s">
        <v>96</v>
      </c>
      <c r="D158" s="47" t="s">
        <v>786</v>
      </c>
      <c r="E158" s="47" t="s">
        <v>1041</v>
      </c>
      <c r="F158" s="47" t="s">
        <v>1042</v>
      </c>
      <c r="G158" s="49" t="e">
        <f t="shared" si="12"/>
        <v>#REF!</v>
      </c>
      <c r="H158" s="47" t="s">
        <v>1459</v>
      </c>
      <c r="I158" s="47" t="e">
        <f>VLOOKUP($E158,#REF!,3,FALSE)</f>
        <v>#REF!</v>
      </c>
      <c r="J158" s="47" t="str">
        <f t="shared" si="13"/>
        <v>Sun:12:30-02:30:MKN-17</v>
      </c>
      <c r="K158" s="18" t="e">
        <f t="shared" si="14"/>
        <v>#REF!</v>
      </c>
      <c r="L158" s="18" t="str">
        <f t="shared" si="11"/>
        <v>Sun:12:30-02:30:BEHS-5</v>
      </c>
      <c r="M158" s="18" t="e">
        <f>VLOOKUP(I158,#REF!,2,FALSE)</f>
        <v>#REF!</v>
      </c>
    </row>
    <row r="159" spans="1:13" ht="14.45" hidden="1" customHeight="1" x14ac:dyDescent="0.25">
      <c r="A159" s="18" t="str">
        <f t="shared" si="10"/>
        <v>BBA125/DBA125</v>
      </c>
      <c r="B159" s="47" t="s">
        <v>812</v>
      </c>
      <c r="C159" s="47" t="s">
        <v>96</v>
      </c>
      <c r="D159" s="47" t="s">
        <v>811</v>
      </c>
      <c r="E159" s="47" t="s">
        <v>454</v>
      </c>
      <c r="F159" s="47" t="s">
        <v>455</v>
      </c>
      <c r="G159" s="49" t="e">
        <f t="shared" si="12"/>
        <v>#REF!</v>
      </c>
      <c r="H159" s="47" t="s">
        <v>237</v>
      </c>
      <c r="I159" s="47" t="e">
        <f>VLOOKUP($E159,#REF!,3,FALSE)</f>
        <v>#REF!</v>
      </c>
      <c r="J159" s="47" t="str">
        <f t="shared" si="13"/>
        <v>Sun:12:30-02:30:KG-14</v>
      </c>
      <c r="K159" s="18" t="e">
        <f t="shared" si="14"/>
        <v>#REF!</v>
      </c>
      <c r="L159" s="18" t="str">
        <f t="shared" si="11"/>
        <v>Sun:12:30-02:30:BBA-2W</v>
      </c>
      <c r="M159" s="18" t="e">
        <f>VLOOKUP(I159,#REF!,2,FALSE)</f>
        <v>#REF!</v>
      </c>
    </row>
    <row r="160" spans="1:13" hidden="1" x14ac:dyDescent="0.25">
      <c r="A160" s="18" t="str">
        <f t="shared" si="10"/>
        <v>BIT110/DIT110-BA</v>
      </c>
      <c r="B160" s="47" t="s">
        <v>812</v>
      </c>
      <c r="C160" s="47" t="s">
        <v>96</v>
      </c>
      <c r="D160" s="47" t="s">
        <v>913</v>
      </c>
      <c r="E160" s="47" t="s">
        <v>3921</v>
      </c>
      <c r="F160" s="47" t="s">
        <v>233</v>
      </c>
      <c r="G160" s="49" t="e">
        <f t="shared" si="12"/>
        <v>#REF!</v>
      </c>
      <c r="H160" s="47" t="s">
        <v>1662</v>
      </c>
      <c r="I160" s="47" t="e">
        <f>VLOOKUP($E160,#REF!,3,FALSE)</f>
        <v>#REF!</v>
      </c>
      <c r="J160" s="47" t="str">
        <f t="shared" si="13"/>
        <v>Sun:12:30-02:30:MKN-05</v>
      </c>
      <c r="K160" s="18" t="e">
        <f t="shared" si="14"/>
        <v>#REF!</v>
      </c>
      <c r="L160" s="18" t="str">
        <f t="shared" si="11"/>
        <v>Sun:12:30-02:30:BEHS-1,BBA-1W</v>
      </c>
      <c r="M160" s="18" t="e">
        <f>VLOOKUP(I160,#REF!,2,FALSE)</f>
        <v>#REF!</v>
      </c>
    </row>
    <row r="161" spans="1:13 15329:15329" hidden="1" x14ac:dyDescent="0.25">
      <c r="A161" s="18" t="str">
        <f t="shared" si="10"/>
        <v>MHR722</v>
      </c>
      <c r="B161" s="47" t="s">
        <v>812</v>
      </c>
      <c r="C161" s="47" t="s">
        <v>96</v>
      </c>
      <c r="D161" s="47" t="s">
        <v>1202</v>
      </c>
      <c r="E161" s="47" t="s">
        <v>1043</v>
      </c>
      <c r="F161" s="47" t="s">
        <v>1044</v>
      </c>
      <c r="G161" s="49" t="e">
        <f t="shared" si="12"/>
        <v>#REF!</v>
      </c>
      <c r="H161" s="47" t="s">
        <v>15</v>
      </c>
      <c r="I161" s="47" t="e">
        <f>VLOOKUP($E161,#REF!,3,FALSE)</f>
        <v>#REF!</v>
      </c>
      <c r="J161" s="47" t="str">
        <f t="shared" si="13"/>
        <v>Sun:12:30-02:30:SI-105</v>
      </c>
      <c r="K161" s="18" t="e">
        <f t="shared" si="14"/>
        <v>#REF!</v>
      </c>
      <c r="L161" s="18" t="str">
        <f t="shared" si="11"/>
        <v>Sun:12:30-02:30:MBA-HRM,MED-3,MIT-2</v>
      </c>
      <c r="M161" s="18" t="e">
        <f>VLOOKUP(I161,#REF!,2,FALSE)</f>
        <v>#REF!</v>
      </c>
    </row>
    <row r="162" spans="1:13 15329:15329" x14ac:dyDescent="0.25">
      <c r="A162" s="18" t="str">
        <f t="shared" si="10"/>
        <v>BAC313</v>
      </c>
      <c r="B162" s="47" t="s">
        <v>812</v>
      </c>
      <c r="C162" s="47" t="s">
        <v>96</v>
      </c>
      <c r="D162" s="47" t="s">
        <v>535</v>
      </c>
      <c r="E162" s="47" t="s">
        <v>536</v>
      </c>
      <c r="F162" s="47" t="s">
        <v>537</v>
      </c>
      <c r="G162" s="49" t="e">
        <f t="shared" si="12"/>
        <v>#REF!</v>
      </c>
      <c r="H162" s="47" t="s">
        <v>15</v>
      </c>
      <c r="I162" s="47" t="e">
        <f>VLOOKUP($E162,#REF!,3,FALSE)</f>
        <v>#REF!</v>
      </c>
      <c r="J162" s="47" t="str">
        <f t="shared" si="13"/>
        <v>Sun:12:30-02:30:SI-105</v>
      </c>
      <c r="K162" s="18" t="e">
        <f t="shared" si="14"/>
        <v>#REF!</v>
      </c>
      <c r="L162" s="18" t="str">
        <f t="shared" si="11"/>
        <v>Sun:12:30-02:30:BBA-AF-5</v>
      </c>
      <c r="M162" s="18" t="e">
        <f>VLOOKUP(I162,#REF!,2,FALSE)</f>
        <v>#REF!</v>
      </c>
    </row>
    <row r="163" spans="1:13 15329:15329" hidden="1" x14ac:dyDescent="0.25">
      <c r="A163" s="18" t="str">
        <f t="shared" si="10"/>
        <v>MPH812</v>
      </c>
      <c r="B163" s="47" t="s">
        <v>812</v>
      </c>
      <c r="C163" s="47" t="s">
        <v>96</v>
      </c>
      <c r="D163" s="47" t="s">
        <v>794</v>
      </c>
      <c r="E163" s="47" t="s">
        <v>1045</v>
      </c>
      <c r="F163" s="47" t="s">
        <v>1046</v>
      </c>
      <c r="G163" s="49" t="e">
        <f t="shared" si="12"/>
        <v>#REF!</v>
      </c>
      <c r="H163" s="47" t="s">
        <v>983</v>
      </c>
      <c r="I163" s="47" t="e">
        <f>VLOOKUP($E163,#REF!,3,FALSE)</f>
        <v>#REF!</v>
      </c>
      <c r="J163" s="47" t="str">
        <f t="shared" si="13"/>
        <v>Sun:12:30-02:30:Online</v>
      </c>
      <c r="K163" s="18" t="e">
        <f t="shared" si="14"/>
        <v>#REF!</v>
      </c>
      <c r="L163" s="18" t="str">
        <f t="shared" si="11"/>
        <v>Sun:12:30-02:30:MPH-2</v>
      </c>
      <c r="M163" s="18" t="e">
        <f>VLOOKUP(I163,#REF!,2,FALSE)</f>
        <v>#REF!</v>
      </c>
    </row>
    <row r="164" spans="1:13 15329:15329" hidden="1" x14ac:dyDescent="0.25">
      <c r="A164" s="18" t="str">
        <f t="shared" si="10"/>
        <v>MSC721</v>
      </c>
      <c r="B164" s="47" t="s">
        <v>812</v>
      </c>
      <c r="C164" s="47" t="s">
        <v>140</v>
      </c>
      <c r="D164" s="47" t="s">
        <v>868</v>
      </c>
      <c r="E164" s="47" t="s">
        <v>1049</v>
      </c>
      <c r="F164" s="47" t="s">
        <v>1050</v>
      </c>
      <c r="G164" s="49" t="e">
        <f t="shared" si="12"/>
        <v>#REF!</v>
      </c>
      <c r="H164" s="47" t="s">
        <v>61</v>
      </c>
      <c r="I164" s="47" t="e">
        <f>VLOOKUP($E164,#REF!,3,FALSE)</f>
        <v>#REF!</v>
      </c>
      <c r="J164" s="47" t="str">
        <f t="shared" si="13"/>
        <v>Sun:02:45-04:45:SI-202</v>
      </c>
      <c r="K164" s="18" t="e">
        <f t="shared" si="14"/>
        <v>#REF!</v>
      </c>
      <c r="L164" s="18" t="str">
        <f t="shared" si="11"/>
        <v>Sun:02:45-04:45:MBA-PS</v>
      </c>
      <c r="M164" s="18" t="e">
        <f>VLOOKUP(I164,#REF!,2,FALSE)</f>
        <v>#REF!</v>
      </c>
    </row>
    <row r="165" spans="1:13 15329:15329" hidden="1" x14ac:dyDescent="0.25">
      <c r="A165" s="18" t="str">
        <f t="shared" si="10"/>
        <v>BBA311</v>
      </c>
      <c r="B165" s="47" t="s">
        <v>812</v>
      </c>
      <c r="C165" s="47" t="s">
        <v>10</v>
      </c>
      <c r="D165" s="47" t="s">
        <v>811</v>
      </c>
      <c r="E165" s="47" t="s">
        <v>1478</v>
      </c>
      <c r="F165" s="47" t="s">
        <v>347</v>
      </c>
      <c r="G165" s="49" t="e">
        <f t="shared" si="12"/>
        <v>#REF!</v>
      </c>
      <c r="H165" s="47" t="s">
        <v>237</v>
      </c>
      <c r="I165" s="47" t="e">
        <f>VLOOKUP($E165,#REF!,3,FALSE)</f>
        <v>#REF!</v>
      </c>
      <c r="J165" s="47" t="str">
        <f t="shared" si="13"/>
        <v>Sun:08:00-10:00:KG-14</v>
      </c>
      <c r="K165" s="18" t="e">
        <f t="shared" si="14"/>
        <v>#REF!</v>
      </c>
      <c r="L165" s="18" t="str">
        <f t="shared" si="11"/>
        <v>Sun:08:00-10:00:BBA-2W</v>
      </c>
      <c r="M165" s="18" t="e">
        <f>VLOOKUP(I165,#REF!,2,FALSE)</f>
        <v>#REF!</v>
      </c>
    </row>
    <row r="166" spans="1:13 15329:15329" x14ac:dyDescent="0.25">
      <c r="A166" s="45" t="str">
        <f t="shared" si="10"/>
        <v>MBF816</v>
      </c>
      <c r="B166" s="47" t="s">
        <v>812</v>
      </c>
      <c r="C166" s="47" t="s">
        <v>47</v>
      </c>
      <c r="D166" s="47" t="s">
        <v>914</v>
      </c>
      <c r="E166" s="47" t="s">
        <v>1051</v>
      </c>
      <c r="F166" s="47" t="s">
        <v>1052</v>
      </c>
      <c r="G166" s="49" t="e">
        <f t="shared" si="12"/>
        <v>#REF!</v>
      </c>
      <c r="H166" s="47" t="s">
        <v>15</v>
      </c>
      <c r="I166" s="47" t="e">
        <f>VLOOKUP($E166,#REF!,3,FALSE)</f>
        <v>#REF!</v>
      </c>
      <c r="J166" s="47" t="str">
        <f t="shared" si="13"/>
        <v>Sun:10:15-12:15:SI-105</v>
      </c>
      <c r="K166" s="18" t="e">
        <f t="shared" si="14"/>
        <v>#REF!</v>
      </c>
      <c r="L166" s="18" t="str">
        <f t="shared" si="11"/>
        <v>Sun:10:15-12:15:MBA-AF,MBA-M</v>
      </c>
      <c r="M166" s="18" t="e">
        <f>VLOOKUP(I166,#REF!,2,FALSE)</f>
        <v>#REF!</v>
      </c>
    </row>
    <row r="167" spans="1:13 15329:15329" hidden="1" x14ac:dyDescent="0.25">
      <c r="A167" s="45" t="str">
        <f t="shared" si="10"/>
        <v>MBA724</v>
      </c>
      <c r="B167" s="47" t="s">
        <v>781</v>
      </c>
      <c r="C167" s="47" t="s">
        <v>96</v>
      </c>
      <c r="D167" s="47" t="s">
        <v>831</v>
      </c>
      <c r="E167" s="47" t="s">
        <v>1053</v>
      </c>
      <c r="F167" s="47" t="s">
        <v>680</v>
      </c>
      <c r="G167" s="49" t="e">
        <f t="shared" si="12"/>
        <v>#REF!</v>
      </c>
      <c r="H167" s="47" t="s">
        <v>70</v>
      </c>
      <c r="I167" s="47" t="e">
        <f>VLOOKUP($E167,#REF!,3,FALSE)</f>
        <v>#REF!</v>
      </c>
      <c r="J167" s="47" t="str">
        <f t="shared" si="13"/>
        <v>Sat:12:30-02:30:SI-011</v>
      </c>
      <c r="K167" s="18" t="e">
        <f t="shared" si="14"/>
        <v>#REF!</v>
      </c>
      <c r="L167" s="18" t="str">
        <f t="shared" si="11"/>
        <v>Sat:12:30-02:30:MPM-3</v>
      </c>
      <c r="M167" s="18" t="e">
        <f>VLOOKUP(I167,#REF!,2,FALSE)</f>
        <v>#REF!</v>
      </c>
    </row>
    <row r="168" spans="1:13 15329:15329" hidden="1" x14ac:dyDescent="0.25">
      <c r="A168" s="45" t="str">
        <f t="shared" si="10"/>
        <v>EHS314</v>
      </c>
      <c r="B168" s="47" t="s">
        <v>812</v>
      </c>
      <c r="C168" s="47" t="s">
        <v>140</v>
      </c>
      <c r="D168" s="47" t="s">
        <v>786</v>
      </c>
      <c r="E168" s="47" t="s">
        <v>1056</v>
      </c>
      <c r="F168" s="47" t="s">
        <v>1057</v>
      </c>
      <c r="G168" s="49" t="e">
        <f t="shared" si="12"/>
        <v>#REF!</v>
      </c>
      <c r="H168" s="47" t="s">
        <v>1457</v>
      </c>
      <c r="I168" s="47" t="e">
        <f>VLOOKUP($E168,#REF!,3,FALSE)</f>
        <v>#REF!</v>
      </c>
      <c r="J168" s="47" t="str">
        <f t="shared" si="13"/>
        <v>Sun:02:45-04:45:MKN-15</v>
      </c>
      <c r="K168" s="18" t="e">
        <f t="shared" si="14"/>
        <v>#REF!</v>
      </c>
      <c r="L168" s="18" t="str">
        <f t="shared" si="11"/>
        <v>Sun:02:45-04:45:BEHS-5</v>
      </c>
      <c r="M168" s="18" t="e">
        <f>VLOOKUP(I168,#REF!,2,FALSE)</f>
        <v>#REF!</v>
      </c>
    </row>
    <row r="169" spans="1:13 15329:15329" hidden="1" x14ac:dyDescent="0.25">
      <c r="A169" s="45" t="str">
        <f t="shared" si="10"/>
        <v>EHS221</v>
      </c>
      <c r="B169" s="47" t="s">
        <v>812</v>
      </c>
      <c r="C169" s="47" t="s">
        <v>140</v>
      </c>
      <c r="D169" s="47" t="s">
        <v>802</v>
      </c>
      <c r="E169" s="47" t="s">
        <v>1058</v>
      </c>
      <c r="F169" s="47" t="s">
        <v>1059</v>
      </c>
      <c r="G169" s="49" t="e">
        <f t="shared" si="12"/>
        <v>#REF!</v>
      </c>
      <c r="H169" s="47" t="s">
        <v>1458</v>
      </c>
      <c r="I169" s="47" t="e">
        <f>VLOOKUP($E169,#REF!,3,FALSE)</f>
        <v>#REF!</v>
      </c>
      <c r="J169" s="47" t="str">
        <f t="shared" si="13"/>
        <v>Sun:02:45-04:45:MKN-16</v>
      </c>
      <c r="K169" s="18" t="e">
        <f t="shared" si="14"/>
        <v>#REF!</v>
      </c>
      <c r="L169" s="18" t="str">
        <f t="shared" si="11"/>
        <v>Sun:02:45-04:45:BEHS-4</v>
      </c>
      <c r="M169" s="18" t="e">
        <f>VLOOKUP(I169,#REF!,2,FALSE)</f>
        <v>#REF!</v>
      </c>
    </row>
    <row r="170" spans="1:13 15329:15329" hidden="1" x14ac:dyDescent="0.25">
      <c r="A170" s="45" t="str">
        <f t="shared" si="10"/>
        <v>MPH716</v>
      </c>
      <c r="B170" s="47" t="s">
        <v>812</v>
      </c>
      <c r="C170" s="47" t="s">
        <v>140</v>
      </c>
      <c r="D170" s="47" t="s">
        <v>890</v>
      </c>
      <c r="E170" s="47" t="s">
        <v>1060</v>
      </c>
      <c r="F170" s="47" t="s">
        <v>1061</v>
      </c>
      <c r="G170" s="49" t="e">
        <f t="shared" si="12"/>
        <v>#REF!</v>
      </c>
      <c r="H170" s="47" t="s">
        <v>1674</v>
      </c>
      <c r="I170" s="47" t="e">
        <f>VLOOKUP($E170,#REF!,3,FALSE)</f>
        <v>#REF!</v>
      </c>
      <c r="J170" s="47" t="str">
        <f t="shared" si="13"/>
        <v>Sun:02:45-04:45:MKN-08</v>
      </c>
      <c r="K170" s="18" t="e">
        <f t="shared" si="14"/>
        <v>#REF!</v>
      </c>
      <c r="L170" s="18" t="str">
        <f t="shared" si="11"/>
        <v>Sun:02:45-04:45:MPH-1</v>
      </c>
      <c r="M170" s="18" t="e">
        <f>VLOOKUP(I170,#REF!,2,FALSE)</f>
        <v>#REF!</v>
      </c>
    </row>
    <row r="171" spans="1:13 15329:15329" ht="15.75" hidden="1" x14ac:dyDescent="0.3">
      <c r="A171" s="45" t="str">
        <f t="shared" si="10"/>
        <v>BBF222</v>
      </c>
      <c r="B171" s="47" t="s">
        <v>812</v>
      </c>
      <c r="C171" s="47" t="s">
        <v>140</v>
      </c>
      <c r="D171" s="47" t="s">
        <v>919</v>
      </c>
      <c r="E171" s="47" t="s">
        <v>252</v>
      </c>
      <c r="F171" s="47" t="s">
        <v>253</v>
      </c>
      <c r="G171" s="49" t="e">
        <f t="shared" si="12"/>
        <v>#REF!</v>
      </c>
      <c r="H171" s="47" t="s">
        <v>83</v>
      </c>
      <c r="I171" s="47" t="e">
        <f>VLOOKUP($E171,#REF!,3,FALSE)</f>
        <v>#REF!</v>
      </c>
      <c r="J171" s="47" t="str">
        <f t="shared" si="13"/>
        <v>Sun:02:45-04:45:KG-10</v>
      </c>
      <c r="K171" s="18" t="e">
        <f t="shared" si="14"/>
        <v>#REF!</v>
      </c>
      <c r="L171" s="18" t="str">
        <f t="shared" si="11"/>
        <v>Sun:02:45-04:45:BBA-4W</v>
      </c>
      <c r="M171" s="18" t="e">
        <f>VLOOKUP(I171,#REF!,2,FALSE)</f>
        <v>#REF!</v>
      </c>
      <c r="VQO171" s="3"/>
    </row>
    <row r="172" spans="1:13 15329:15329" ht="15.75" hidden="1" x14ac:dyDescent="0.3">
      <c r="A172" s="45" t="str">
        <f t="shared" si="10"/>
        <v>MIR723</v>
      </c>
      <c r="B172" s="47" t="s">
        <v>812</v>
      </c>
      <c r="C172" s="47" t="s">
        <v>10</v>
      </c>
      <c r="D172" s="47" t="s">
        <v>904</v>
      </c>
      <c r="E172" s="47" t="s">
        <v>1064</v>
      </c>
      <c r="F172" s="47" t="s">
        <v>1065</v>
      </c>
      <c r="G172" s="49" t="e">
        <f t="shared" si="12"/>
        <v>#REF!</v>
      </c>
      <c r="H172" s="47" t="s">
        <v>87</v>
      </c>
      <c r="I172" s="47" t="e">
        <f>VLOOKUP($E172,#REF!,3,FALSE)</f>
        <v>#REF!</v>
      </c>
      <c r="J172" s="47" t="str">
        <f t="shared" si="13"/>
        <v>Sun:08:00-10:00:KG-6</v>
      </c>
      <c r="K172" s="18" t="e">
        <f t="shared" si="14"/>
        <v>#REF!</v>
      </c>
      <c r="L172" s="18" t="str">
        <f t="shared" si="11"/>
        <v>Sun:08:00-10:00:MIRDS-2</v>
      </c>
      <c r="M172" s="18" t="e">
        <f>VLOOKUP(I172,#REF!,2,FALSE)</f>
        <v>#REF!</v>
      </c>
      <c r="VQO172" s="3"/>
    </row>
    <row r="173" spans="1:13 15329:15329" hidden="1" x14ac:dyDescent="0.25">
      <c r="A173" s="45" t="str">
        <f t="shared" si="10"/>
        <v>BBA216</v>
      </c>
      <c r="B173" s="47" t="s">
        <v>812</v>
      </c>
      <c r="C173" s="47" t="s">
        <v>140</v>
      </c>
      <c r="D173" s="47" t="s">
        <v>785</v>
      </c>
      <c r="E173" s="47" t="s">
        <v>380</v>
      </c>
      <c r="F173" s="47" t="s">
        <v>381</v>
      </c>
      <c r="G173" s="49" t="e">
        <f t="shared" si="12"/>
        <v>#REF!</v>
      </c>
      <c r="H173" s="47" t="s">
        <v>287</v>
      </c>
      <c r="I173" s="47" t="e">
        <f>VLOOKUP($E173,#REF!,3,FALSE)</f>
        <v>#REF!</v>
      </c>
      <c r="J173" s="47" t="str">
        <f t="shared" si="13"/>
        <v>Sun:02:45-04:45:KG-13</v>
      </c>
      <c r="K173" s="18" t="e">
        <f t="shared" si="14"/>
        <v>#REF!</v>
      </c>
      <c r="L173" s="18" t="str">
        <f t="shared" si="11"/>
        <v>Sun:02:45-04:45:BBA-3W</v>
      </c>
      <c r="M173" s="18" t="e">
        <f>VLOOKUP(I173,#REF!,2,FALSE)</f>
        <v>#REF!</v>
      </c>
    </row>
    <row r="174" spans="1:13 15329:15329" s="52" customFormat="1" ht="12.75" hidden="1" x14ac:dyDescent="0.2">
      <c r="A174" s="45" t="str">
        <f t="shared" si="10"/>
        <v>MPH724</v>
      </c>
      <c r="B174" s="47" t="s">
        <v>812</v>
      </c>
      <c r="C174" s="47" t="s">
        <v>140</v>
      </c>
      <c r="D174" s="47" t="s">
        <v>794</v>
      </c>
      <c r="E174" s="47" t="s">
        <v>3908</v>
      </c>
      <c r="F174" s="47" t="s">
        <v>3909</v>
      </c>
      <c r="G174" s="49" t="e">
        <f t="shared" si="12"/>
        <v>#REF!</v>
      </c>
      <c r="H174" s="47" t="s">
        <v>983</v>
      </c>
      <c r="I174" s="47" t="e">
        <f>VLOOKUP($E174,#REF!,3,FALSE)</f>
        <v>#REF!</v>
      </c>
      <c r="J174" s="47" t="str">
        <f t="shared" si="13"/>
        <v>Sun:02:45-04:45:Online</v>
      </c>
      <c r="K174" s="18" t="e">
        <f t="shared" si="14"/>
        <v>#REF!</v>
      </c>
      <c r="L174" s="18" t="str">
        <f t="shared" si="11"/>
        <v>Sun:02:45-04:45:MPH-2</v>
      </c>
      <c r="M174" s="18" t="e">
        <f>VLOOKUP(I174,#REF!,2,FALSE)</f>
        <v>#REF!</v>
      </c>
    </row>
    <row r="175" spans="1:13 15329:15329" hidden="1" x14ac:dyDescent="0.25">
      <c r="A175" s="45" t="str">
        <f t="shared" si="10"/>
        <v>MIT712</v>
      </c>
      <c r="B175" s="47" t="s">
        <v>812</v>
      </c>
      <c r="C175" s="47" t="s">
        <v>10</v>
      </c>
      <c r="D175" s="47" t="s">
        <v>1179</v>
      </c>
      <c r="E175" s="47" t="s">
        <v>1197</v>
      </c>
      <c r="F175" s="47" t="s">
        <v>1198</v>
      </c>
      <c r="G175" s="49" t="e">
        <f t="shared" si="12"/>
        <v>#REF!</v>
      </c>
      <c r="H175" s="47" t="s">
        <v>983</v>
      </c>
      <c r="I175" s="47" t="e">
        <f>VLOOKUP($E175,#REF!,3,FALSE)</f>
        <v>#REF!</v>
      </c>
      <c r="J175" s="47" t="str">
        <f t="shared" si="13"/>
        <v>Sun:08:00-10:00:Online</v>
      </c>
      <c r="K175" s="18" t="e">
        <f t="shared" si="14"/>
        <v>#REF!</v>
      </c>
      <c r="L175" s="18" t="str">
        <f t="shared" si="11"/>
        <v>Sun:08:00-10:00:MIT-1</v>
      </c>
      <c r="M175" s="18" t="e">
        <f>VLOOKUP(I175,#REF!,2,FALSE)</f>
        <v>#REF!</v>
      </c>
    </row>
    <row r="176" spans="1:13 15329:15329" hidden="1" x14ac:dyDescent="0.25">
      <c r="A176" s="45" t="str">
        <f t="shared" si="10"/>
        <v>MIT717</v>
      </c>
      <c r="B176" s="47" t="s">
        <v>812</v>
      </c>
      <c r="C176" s="47" t="s">
        <v>47</v>
      </c>
      <c r="D176" s="47" t="s">
        <v>1179</v>
      </c>
      <c r="E176" s="47" t="s">
        <v>1209</v>
      </c>
      <c r="F176" s="47" t="s">
        <v>1210</v>
      </c>
      <c r="G176" s="49" t="e">
        <f t="shared" si="12"/>
        <v>#REF!</v>
      </c>
      <c r="H176" s="47" t="s">
        <v>983</v>
      </c>
      <c r="I176" s="47" t="e">
        <f>VLOOKUP($E176,#REF!,3,FALSE)</f>
        <v>#REF!</v>
      </c>
      <c r="J176" s="47" t="str">
        <f t="shared" si="13"/>
        <v>Sun:10:15-12:15:Online</v>
      </c>
      <c r="K176" s="18" t="e">
        <f t="shared" si="14"/>
        <v>#REF!</v>
      </c>
      <c r="L176" s="18" t="str">
        <f t="shared" si="11"/>
        <v>Sun:10:15-12:15:MIT-1</v>
      </c>
      <c r="M176" s="18" t="e">
        <f>VLOOKUP(I176,#REF!,2,FALSE)</f>
        <v>#REF!</v>
      </c>
    </row>
    <row r="177" spans="1:15412" hidden="1" x14ac:dyDescent="0.25">
      <c r="A177" s="45" t="str">
        <f t="shared" si="10"/>
        <v>MIT725</v>
      </c>
      <c r="B177" s="47" t="s">
        <v>812</v>
      </c>
      <c r="C177" s="47" t="s">
        <v>140</v>
      </c>
      <c r="D177" s="47" t="s">
        <v>1182</v>
      </c>
      <c r="E177" s="47" t="s">
        <v>1221</v>
      </c>
      <c r="F177" s="47" t="s">
        <v>1222</v>
      </c>
      <c r="G177" s="49" t="e">
        <f t="shared" si="12"/>
        <v>#REF!</v>
      </c>
      <c r="H177" s="47" t="s">
        <v>983</v>
      </c>
      <c r="I177" s="47" t="e">
        <f>VLOOKUP($E177,#REF!,3,FALSE)</f>
        <v>#REF!</v>
      </c>
      <c r="J177" s="47" t="str">
        <f t="shared" si="13"/>
        <v>Sun:02:45-04:45:Online</v>
      </c>
      <c r="K177" s="18" t="e">
        <f t="shared" si="14"/>
        <v>#REF!</v>
      </c>
      <c r="L177" s="18" t="str">
        <f t="shared" si="11"/>
        <v>Sun:02:45-04:45:MIT-2</v>
      </c>
      <c r="M177" s="18" t="e">
        <f>VLOOKUP(I177,#REF!,2,FALSE)</f>
        <v>#REF!</v>
      </c>
    </row>
    <row r="178" spans="1:15412" hidden="1" x14ac:dyDescent="0.25">
      <c r="A178" s="67" t="str">
        <f t="shared" si="10"/>
        <v>MIT721</v>
      </c>
      <c r="B178" s="55" t="s">
        <v>812</v>
      </c>
      <c r="C178" s="55" t="s">
        <v>140</v>
      </c>
      <c r="D178" s="66" t="s">
        <v>1524</v>
      </c>
      <c r="E178" s="66" t="s">
        <v>1470</v>
      </c>
      <c r="F178" s="66" t="s">
        <v>1471</v>
      </c>
      <c r="G178" s="49" t="e">
        <f t="shared" si="12"/>
        <v>#REF!</v>
      </c>
      <c r="H178" s="47" t="s">
        <v>983</v>
      </c>
      <c r="I178" s="55" t="e">
        <f>VLOOKUP($E178,#REF!,3,FALSE)</f>
        <v>#REF!</v>
      </c>
      <c r="J178" s="55" t="str">
        <f t="shared" si="13"/>
        <v>Sun:02:45-04:45:Online</v>
      </c>
      <c r="K178" s="18" t="e">
        <f t="shared" si="14"/>
        <v>#REF!</v>
      </c>
      <c r="L178" s="18" t="str">
        <f t="shared" si="11"/>
        <v>Sun:02:45-04:45:MIT-3</v>
      </c>
      <c r="M178" s="18" t="e">
        <f>VLOOKUP(I178,#REF!,2,FALSE)</f>
        <v>#REF!</v>
      </c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  <c r="EM178" s="52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2"/>
      <c r="FB178" s="52"/>
      <c r="FC178" s="52"/>
      <c r="FD178" s="52"/>
      <c r="FE178" s="52"/>
      <c r="FF178" s="52"/>
      <c r="FG178" s="52"/>
      <c r="FH178" s="52"/>
      <c r="FI178" s="52"/>
      <c r="FJ178" s="52"/>
      <c r="FK178" s="52"/>
      <c r="FL178" s="52"/>
      <c r="FM178" s="52"/>
      <c r="FN178" s="52"/>
      <c r="FO178" s="52"/>
      <c r="FP178" s="52"/>
      <c r="FQ178" s="52"/>
      <c r="FR178" s="52"/>
      <c r="FS178" s="52"/>
      <c r="FT178" s="52"/>
      <c r="FU178" s="52"/>
      <c r="FV178" s="52"/>
      <c r="FW178" s="52"/>
      <c r="FX178" s="52"/>
      <c r="FY178" s="52"/>
      <c r="FZ178" s="52"/>
      <c r="GA178" s="52"/>
      <c r="GB178" s="52"/>
      <c r="GC178" s="52"/>
      <c r="GD178" s="52"/>
      <c r="GE178" s="52"/>
      <c r="GF178" s="52"/>
      <c r="GG178" s="52"/>
      <c r="GH178" s="52"/>
      <c r="GI178" s="52"/>
      <c r="GJ178" s="52"/>
      <c r="GK178" s="52"/>
      <c r="GL178" s="52"/>
      <c r="GM178" s="52"/>
      <c r="GN178" s="52"/>
      <c r="GO178" s="52"/>
      <c r="GP178" s="52"/>
      <c r="GQ178" s="52"/>
      <c r="GR178" s="52"/>
      <c r="GS178" s="52"/>
      <c r="GT178" s="52"/>
      <c r="GU178" s="52"/>
      <c r="GV178" s="52"/>
      <c r="GW178" s="52"/>
      <c r="GX178" s="52"/>
      <c r="GY178" s="52"/>
      <c r="GZ178" s="52"/>
      <c r="HA178" s="52"/>
      <c r="HB178" s="52"/>
      <c r="HC178" s="52"/>
      <c r="HD178" s="52"/>
      <c r="HE178" s="52"/>
      <c r="HF178" s="52"/>
      <c r="HG178" s="52"/>
      <c r="HH178" s="52"/>
      <c r="HI178" s="52"/>
      <c r="HJ178" s="52"/>
      <c r="HK178" s="52"/>
      <c r="HL178" s="52"/>
      <c r="HM178" s="52"/>
      <c r="HN178" s="52"/>
      <c r="HO178" s="52"/>
      <c r="HP178" s="52"/>
      <c r="HQ178" s="52"/>
      <c r="HR178" s="52"/>
      <c r="HS178" s="52"/>
      <c r="HT178" s="52"/>
      <c r="HU178" s="52"/>
      <c r="HV178" s="52"/>
      <c r="HW178" s="52"/>
      <c r="HX178" s="52"/>
      <c r="HY178" s="52"/>
      <c r="HZ178" s="52"/>
      <c r="IA178" s="52"/>
      <c r="IB178" s="52"/>
      <c r="IC178" s="52"/>
      <c r="ID178" s="52"/>
      <c r="IE178" s="52"/>
      <c r="IF178" s="52"/>
      <c r="IG178" s="52"/>
      <c r="IH178" s="52"/>
      <c r="II178" s="52"/>
      <c r="IJ178" s="52"/>
      <c r="IK178" s="52"/>
      <c r="IL178" s="52"/>
      <c r="IM178" s="52"/>
      <c r="IN178" s="52"/>
      <c r="IO178" s="52"/>
      <c r="IP178" s="52"/>
      <c r="IQ178" s="52"/>
      <c r="IR178" s="52"/>
      <c r="IS178" s="52"/>
      <c r="IT178" s="52"/>
      <c r="IU178" s="52"/>
      <c r="IV178" s="52"/>
      <c r="IW178" s="52"/>
      <c r="IX178" s="52"/>
      <c r="IY178" s="52"/>
      <c r="IZ178" s="52"/>
      <c r="JA178" s="52"/>
      <c r="JB178" s="52"/>
      <c r="JC178" s="52"/>
      <c r="JD178" s="52"/>
      <c r="JE178" s="52"/>
      <c r="JF178" s="52"/>
      <c r="JG178" s="52"/>
      <c r="JH178" s="52"/>
      <c r="JI178" s="52"/>
      <c r="JJ178" s="52"/>
      <c r="JK178" s="52"/>
      <c r="JL178" s="52"/>
      <c r="JM178" s="52"/>
      <c r="JN178" s="52"/>
      <c r="JO178" s="52"/>
      <c r="JP178" s="52"/>
      <c r="JQ178" s="52"/>
      <c r="JR178" s="52"/>
      <c r="JS178" s="52"/>
      <c r="JT178" s="52"/>
      <c r="JU178" s="52"/>
      <c r="JV178" s="52"/>
      <c r="JW178" s="52"/>
      <c r="JX178" s="52"/>
      <c r="JY178" s="52"/>
      <c r="JZ178" s="52"/>
      <c r="KA178" s="52"/>
      <c r="KB178" s="52"/>
      <c r="KC178" s="52"/>
      <c r="KD178" s="52"/>
      <c r="KE178" s="52"/>
      <c r="KF178" s="52"/>
      <c r="KG178" s="52"/>
      <c r="KH178" s="52"/>
      <c r="KI178" s="52"/>
      <c r="KJ178" s="52"/>
      <c r="KK178" s="52"/>
      <c r="KL178" s="52"/>
      <c r="KM178" s="52"/>
      <c r="KN178" s="52"/>
      <c r="KO178" s="52"/>
      <c r="KP178" s="52"/>
      <c r="KQ178" s="52"/>
      <c r="KR178" s="52"/>
      <c r="KS178" s="52"/>
      <c r="KT178" s="52"/>
      <c r="KU178" s="52"/>
      <c r="KV178" s="52"/>
      <c r="KW178" s="52"/>
      <c r="KX178" s="52"/>
      <c r="KY178" s="52"/>
      <c r="KZ178" s="52"/>
      <c r="LA178" s="52"/>
      <c r="LB178" s="52"/>
      <c r="LC178" s="52"/>
      <c r="LD178" s="52"/>
      <c r="LE178" s="52"/>
      <c r="LF178" s="52"/>
      <c r="LG178" s="52"/>
      <c r="LH178" s="52"/>
      <c r="LI178" s="52"/>
      <c r="LJ178" s="52"/>
      <c r="LK178" s="52"/>
      <c r="LL178" s="52"/>
      <c r="LM178" s="52"/>
      <c r="LN178" s="52"/>
      <c r="LO178" s="52"/>
      <c r="LP178" s="52"/>
      <c r="LQ178" s="52"/>
      <c r="LR178" s="52"/>
      <c r="LS178" s="52"/>
      <c r="LT178" s="52"/>
      <c r="LU178" s="52"/>
      <c r="LV178" s="52"/>
      <c r="LW178" s="52"/>
      <c r="LX178" s="52"/>
      <c r="LY178" s="52"/>
      <c r="LZ178" s="52"/>
      <c r="MA178" s="52"/>
      <c r="MB178" s="52"/>
      <c r="MC178" s="52"/>
      <c r="MD178" s="52"/>
      <c r="ME178" s="52"/>
      <c r="MF178" s="52"/>
      <c r="MG178" s="52"/>
      <c r="MH178" s="52"/>
      <c r="MI178" s="52"/>
      <c r="MJ178" s="52"/>
      <c r="MK178" s="52"/>
      <c r="ML178" s="52"/>
      <c r="MM178" s="52"/>
      <c r="MN178" s="52"/>
      <c r="MO178" s="52"/>
      <c r="MP178" s="52"/>
      <c r="MQ178" s="52"/>
      <c r="MR178" s="52"/>
      <c r="MS178" s="52"/>
      <c r="MT178" s="52"/>
      <c r="MU178" s="52"/>
      <c r="MV178" s="52"/>
      <c r="MW178" s="52"/>
      <c r="MX178" s="52"/>
      <c r="MY178" s="52"/>
      <c r="MZ178" s="52"/>
      <c r="NA178" s="52"/>
      <c r="NB178" s="52"/>
      <c r="NC178" s="52"/>
      <c r="ND178" s="52"/>
      <c r="NE178" s="52"/>
      <c r="NF178" s="52"/>
      <c r="NG178" s="52"/>
      <c r="NH178" s="52"/>
      <c r="NI178" s="52"/>
      <c r="NJ178" s="52"/>
      <c r="NK178" s="52"/>
      <c r="NL178" s="52"/>
      <c r="NM178" s="52"/>
      <c r="NN178" s="52"/>
      <c r="NO178" s="52"/>
      <c r="NP178" s="52"/>
      <c r="NQ178" s="52"/>
      <c r="NR178" s="52"/>
      <c r="NS178" s="52"/>
      <c r="NT178" s="52"/>
      <c r="NU178" s="52"/>
      <c r="NV178" s="52"/>
      <c r="NW178" s="52"/>
      <c r="NX178" s="52"/>
      <c r="NY178" s="52"/>
      <c r="NZ178" s="52"/>
      <c r="OA178" s="52"/>
      <c r="OB178" s="52"/>
      <c r="OC178" s="52"/>
      <c r="OD178" s="52"/>
      <c r="OE178" s="52"/>
      <c r="OF178" s="52"/>
      <c r="OG178" s="52"/>
      <c r="OH178" s="52"/>
      <c r="OI178" s="52"/>
      <c r="OJ178" s="52"/>
      <c r="OK178" s="52"/>
      <c r="OL178" s="52"/>
      <c r="OM178" s="52"/>
      <c r="ON178" s="52"/>
      <c r="OO178" s="52"/>
      <c r="OP178" s="52"/>
      <c r="OQ178" s="52"/>
      <c r="OR178" s="52"/>
      <c r="OS178" s="52"/>
      <c r="OT178" s="52"/>
      <c r="OU178" s="52"/>
      <c r="OV178" s="52"/>
      <c r="OW178" s="52"/>
      <c r="OX178" s="52"/>
      <c r="OY178" s="52"/>
      <c r="OZ178" s="52"/>
      <c r="PA178" s="52"/>
      <c r="PB178" s="52"/>
      <c r="PC178" s="52"/>
      <c r="PD178" s="52"/>
      <c r="PE178" s="52"/>
      <c r="PF178" s="52"/>
      <c r="PG178" s="52"/>
      <c r="PH178" s="52"/>
      <c r="PI178" s="52"/>
      <c r="PJ178" s="52"/>
      <c r="PK178" s="52"/>
      <c r="PL178" s="52"/>
      <c r="PM178" s="52"/>
      <c r="PN178" s="52"/>
      <c r="PO178" s="52"/>
      <c r="PP178" s="52"/>
      <c r="PQ178" s="52"/>
      <c r="PR178" s="52"/>
      <c r="PS178" s="52"/>
      <c r="PT178" s="52"/>
      <c r="PU178" s="52"/>
      <c r="PV178" s="52"/>
      <c r="PW178" s="52"/>
      <c r="PX178" s="52"/>
      <c r="PY178" s="52"/>
      <c r="PZ178" s="52"/>
      <c r="QA178" s="52"/>
      <c r="QB178" s="52"/>
      <c r="QC178" s="52"/>
      <c r="QD178" s="52"/>
      <c r="QE178" s="52"/>
      <c r="QF178" s="52"/>
      <c r="QG178" s="52"/>
      <c r="QH178" s="52"/>
      <c r="QI178" s="52"/>
      <c r="QJ178" s="52"/>
      <c r="QK178" s="52"/>
      <c r="QL178" s="52"/>
      <c r="QM178" s="52"/>
      <c r="QN178" s="52"/>
      <c r="QO178" s="52"/>
      <c r="QP178" s="52"/>
      <c r="QQ178" s="52"/>
      <c r="QR178" s="52"/>
      <c r="QS178" s="52"/>
      <c r="QT178" s="52"/>
      <c r="QU178" s="52"/>
      <c r="QV178" s="52"/>
      <c r="QW178" s="52"/>
      <c r="QX178" s="52"/>
      <c r="QY178" s="52"/>
      <c r="QZ178" s="52"/>
      <c r="RA178" s="52"/>
      <c r="RB178" s="52"/>
      <c r="RC178" s="52"/>
      <c r="RD178" s="52"/>
      <c r="RE178" s="52"/>
      <c r="RF178" s="52"/>
      <c r="RG178" s="52"/>
      <c r="RH178" s="52"/>
      <c r="RI178" s="52"/>
      <c r="RJ178" s="52"/>
      <c r="RK178" s="52"/>
      <c r="RL178" s="52"/>
      <c r="RM178" s="52"/>
      <c r="RN178" s="52"/>
      <c r="RO178" s="52"/>
      <c r="RP178" s="52"/>
      <c r="RQ178" s="52"/>
      <c r="RR178" s="52"/>
      <c r="RS178" s="52"/>
      <c r="RT178" s="52"/>
      <c r="RU178" s="52"/>
      <c r="RV178" s="52"/>
      <c r="RW178" s="52"/>
      <c r="RX178" s="52"/>
      <c r="RY178" s="52"/>
      <c r="RZ178" s="52"/>
      <c r="SA178" s="52"/>
      <c r="SB178" s="52"/>
      <c r="SC178" s="52"/>
      <c r="SD178" s="52"/>
      <c r="SE178" s="52"/>
      <c r="SF178" s="52"/>
      <c r="SG178" s="52"/>
      <c r="SH178" s="52"/>
      <c r="SI178" s="52"/>
      <c r="SJ178" s="52"/>
      <c r="SK178" s="52"/>
      <c r="SL178" s="52"/>
      <c r="SM178" s="52"/>
      <c r="SN178" s="52"/>
      <c r="SO178" s="52"/>
      <c r="SP178" s="52"/>
      <c r="SQ178" s="52"/>
      <c r="SR178" s="52"/>
      <c r="SS178" s="52"/>
      <c r="ST178" s="52"/>
      <c r="SU178" s="52"/>
      <c r="SV178" s="52"/>
      <c r="SW178" s="52"/>
      <c r="SX178" s="52"/>
      <c r="SY178" s="52"/>
      <c r="SZ178" s="52"/>
      <c r="TA178" s="52"/>
      <c r="TB178" s="52"/>
      <c r="TC178" s="52"/>
      <c r="TD178" s="52"/>
      <c r="TE178" s="52"/>
      <c r="TF178" s="52"/>
      <c r="TG178" s="52"/>
      <c r="TH178" s="52"/>
      <c r="TI178" s="52"/>
      <c r="TJ178" s="52"/>
      <c r="TK178" s="52"/>
      <c r="TL178" s="52"/>
      <c r="TM178" s="52"/>
      <c r="TN178" s="52"/>
      <c r="TO178" s="52"/>
      <c r="TP178" s="52"/>
      <c r="TQ178" s="52"/>
      <c r="TR178" s="52"/>
      <c r="TS178" s="52"/>
      <c r="TT178" s="52"/>
      <c r="TU178" s="52"/>
      <c r="TV178" s="52"/>
      <c r="TW178" s="52"/>
      <c r="TX178" s="52"/>
      <c r="TY178" s="52"/>
      <c r="TZ178" s="52"/>
      <c r="UA178" s="52"/>
      <c r="UB178" s="52"/>
      <c r="UC178" s="52"/>
      <c r="UD178" s="52"/>
      <c r="UE178" s="52"/>
      <c r="UF178" s="52"/>
      <c r="UG178" s="52"/>
      <c r="UH178" s="52"/>
      <c r="UI178" s="52"/>
      <c r="UJ178" s="52"/>
      <c r="UK178" s="52"/>
      <c r="UL178" s="52"/>
      <c r="UM178" s="52"/>
      <c r="UN178" s="52"/>
      <c r="UO178" s="52"/>
      <c r="UP178" s="52"/>
      <c r="UQ178" s="52"/>
      <c r="UR178" s="52"/>
      <c r="US178" s="52"/>
      <c r="UT178" s="52"/>
      <c r="UU178" s="52"/>
      <c r="UV178" s="52"/>
      <c r="UW178" s="52"/>
      <c r="UX178" s="52"/>
      <c r="UY178" s="52"/>
      <c r="UZ178" s="52"/>
      <c r="VA178" s="52"/>
      <c r="VB178" s="52"/>
      <c r="VC178" s="52"/>
      <c r="VD178" s="52"/>
      <c r="VE178" s="52"/>
      <c r="VF178" s="52"/>
      <c r="VG178" s="52"/>
      <c r="VH178" s="52"/>
      <c r="VI178" s="52"/>
      <c r="VJ178" s="52"/>
      <c r="VK178" s="52"/>
      <c r="VL178" s="52"/>
      <c r="VM178" s="52"/>
      <c r="VN178" s="52"/>
      <c r="VO178" s="52"/>
      <c r="VP178" s="52"/>
      <c r="VQ178" s="52"/>
      <c r="VR178" s="52"/>
      <c r="VS178" s="52"/>
      <c r="VT178" s="52"/>
      <c r="VU178" s="52"/>
      <c r="VV178" s="52"/>
      <c r="VW178" s="52"/>
      <c r="VX178" s="52"/>
      <c r="VY178" s="52"/>
      <c r="VZ178" s="52"/>
      <c r="WA178" s="52"/>
      <c r="WB178" s="52"/>
      <c r="WC178" s="52"/>
      <c r="WD178" s="52"/>
      <c r="WE178" s="52"/>
      <c r="WF178" s="52"/>
      <c r="WG178" s="52"/>
      <c r="WH178" s="52"/>
      <c r="WI178" s="52"/>
      <c r="WJ178" s="52"/>
      <c r="WK178" s="52"/>
      <c r="WL178" s="52"/>
      <c r="WM178" s="52"/>
      <c r="WN178" s="52"/>
      <c r="WO178" s="52"/>
      <c r="WP178" s="52"/>
      <c r="WQ178" s="52"/>
      <c r="WR178" s="52"/>
      <c r="WS178" s="52"/>
      <c r="WT178" s="52"/>
      <c r="WU178" s="52"/>
      <c r="WV178" s="52"/>
      <c r="WW178" s="52"/>
      <c r="WX178" s="52"/>
      <c r="WY178" s="52"/>
      <c r="WZ178" s="52"/>
      <c r="XA178" s="52"/>
      <c r="XB178" s="52"/>
      <c r="XC178" s="52"/>
      <c r="XD178" s="52"/>
      <c r="XE178" s="52"/>
      <c r="XF178" s="52"/>
      <c r="XG178" s="52"/>
      <c r="XH178" s="52"/>
      <c r="XI178" s="52"/>
      <c r="XJ178" s="52"/>
      <c r="XK178" s="52"/>
      <c r="XL178" s="52"/>
      <c r="XM178" s="52"/>
      <c r="XN178" s="52"/>
      <c r="XO178" s="52"/>
      <c r="XP178" s="52"/>
      <c r="XQ178" s="52"/>
      <c r="XR178" s="52"/>
      <c r="XS178" s="52"/>
      <c r="XT178" s="52"/>
      <c r="XU178" s="52"/>
      <c r="XV178" s="52"/>
      <c r="XW178" s="52"/>
      <c r="XX178" s="52"/>
      <c r="XY178" s="52"/>
      <c r="XZ178" s="52"/>
      <c r="YA178" s="52"/>
      <c r="YB178" s="52"/>
      <c r="YC178" s="52"/>
      <c r="YD178" s="52"/>
      <c r="YE178" s="52"/>
      <c r="YF178" s="52"/>
      <c r="YG178" s="52"/>
      <c r="YH178" s="52"/>
      <c r="YI178" s="52"/>
      <c r="YJ178" s="52"/>
      <c r="YK178" s="52"/>
      <c r="YL178" s="52"/>
      <c r="YM178" s="52"/>
      <c r="YN178" s="52"/>
      <c r="YO178" s="52"/>
      <c r="YP178" s="52"/>
      <c r="YQ178" s="52"/>
      <c r="YR178" s="52"/>
      <c r="YS178" s="52"/>
      <c r="YT178" s="52"/>
      <c r="YU178" s="52"/>
      <c r="YV178" s="52"/>
      <c r="YW178" s="52"/>
      <c r="YX178" s="52"/>
      <c r="YY178" s="52"/>
      <c r="YZ178" s="52"/>
      <c r="ZA178" s="52"/>
      <c r="ZB178" s="52"/>
      <c r="ZC178" s="52"/>
      <c r="ZD178" s="52"/>
      <c r="ZE178" s="52"/>
      <c r="ZF178" s="52"/>
      <c r="ZG178" s="52"/>
      <c r="ZH178" s="52"/>
      <c r="ZI178" s="52"/>
      <c r="ZJ178" s="52"/>
      <c r="ZK178" s="52"/>
      <c r="ZL178" s="52"/>
      <c r="ZM178" s="52"/>
      <c r="ZN178" s="52"/>
      <c r="ZO178" s="52"/>
      <c r="ZP178" s="52"/>
      <c r="ZQ178" s="52"/>
      <c r="ZR178" s="52"/>
      <c r="ZS178" s="52"/>
      <c r="ZT178" s="52"/>
      <c r="ZU178" s="52"/>
      <c r="ZV178" s="52"/>
      <c r="ZW178" s="52"/>
      <c r="ZX178" s="52"/>
      <c r="ZY178" s="52"/>
      <c r="ZZ178" s="52"/>
      <c r="AAA178" s="52"/>
      <c r="AAB178" s="52"/>
      <c r="AAC178" s="52"/>
      <c r="AAD178" s="52"/>
      <c r="AAE178" s="52"/>
      <c r="AAF178" s="52"/>
      <c r="AAG178" s="52"/>
      <c r="AAH178" s="52"/>
      <c r="AAI178" s="52"/>
      <c r="AAJ178" s="52"/>
      <c r="AAK178" s="52"/>
      <c r="AAL178" s="52"/>
      <c r="AAM178" s="52"/>
      <c r="AAN178" s="52"/>
      <c r="AAO178" s="52"/>
      <c r="AAP178" s="52"/>
      <c r="AAQ178" s="52"/>
      <c r="AAR178" s="52"/>
      <c r="AAS178" s="52"/>
      <c r="AAT178" s="52"/>
      <c r="AAU178" s="52"/>
      <c r="AAV178" s="52"/>
      <c r="AAW178" s="52"/>
      <c r="AAX178" s="52"/>
      <c r="AAY178" s="52"/>
      <c r="AAZ178" s="52"/>
      <c r="ABA178" s="52"/>
      <c r="ABB178" s="52"/>
      <c r="ABC178" s="52"/>
      <c r="ABD178" s="52"/>
      <c r="ABE178" s="52"/>
      <c r="ABF178" s="52"/>
      <c r="ABG178" s="52"/>
      <c r="ABH178" s="52"/>
      <c r="ABI178" s="52"/>
      <c r="ABJ178" s="52"/>
      <c r="ABK178" s="52"/>
      <c r="ABL178" s="52"/>
      <c r="ABM178" s="52"/>
      <c r="ABN178" s="52"/>
      <c r="ABO178" s="52"/>
      <c r="ABP178" s="52"/>
      <c r="ABQ178" s="52"/>
      <c r="ABR178" s="52"/>
      <c r="ABS178" s="52"/>
      <c r="ABT178" s="52"/>
      <c r="ABU178" s="52"/>
      <c r="ABV178" s="52"/>
      <c r="ABW178" s="52"/>
      <c r="ABX178" s="52"/>
      <c r="ABY178" s="52"/>
      <c r="ABZ178" s="52"/>
      <c r="ACA178" s="52"/>
      <c r="ACB178" s="52"/>
      <c r="ACC178" s="52"/>
      <c r="ACD178" s="52"/>
      <c r="ACE178" s="52"/>
      <c r="ACF178" s="52"/>
      <c r="ACG178" s="52"/>
      <c r="ACH178" s="52"/>
      <c r="ACI178" s="52"/>
      <c r="ACJ178" s="52"/>
      <c r="ACK178" s="52"/>
      <c r="ACL178" s="52"/>
      <c r="ACM178" s="52"/>
      <c r="ACN178" s="52"/>
      <c r="ACO178" s="52"/>
      <c r="ACP178" s="52"/>
      <c r="ACQ178" s="52"/>
      <c r="ACR178" s="52"/>
      <c r="ACS178" s="52"/>
      <c r="ACT178" s="52"/>
      <c r="ACU178" s="52"/>
      <c r="ACV178" s="52"/>
      <c r="ACW178" s="52"/>
      <c r="ACX178" s="52"/>
      <c r="ACY178" s="52"/>
      <c r="ACZ178" s="52"/>
      <c r="ADA178" s="52"/>
      <c r="ADB178" s="52"/>
      <c r="ADC178" s="52"/>
      <c r="ADD178" s="52"/>
      <c r="ADE178" s="52"/>
      <c r="ADF178" s="52"/>
      <c r="ADG178" s="52"/>
      <c r="ADH178" s="52"/>
      <c r="ADI178" s="52"/>
      <c r="ADJ178" s="52"/>
      <c r="ADK178" s="52"/>
      <c r="ADL178" s="52"/>
      <c r="ADM178" s="52"/>
      <c r="ADN178" s="52"/>
      <c r="ADO178" s="52"/>
      <c r="ADP178" s="52"/>
      <c r="ADQ178" s="52"/>
      <c r="ADR178" s="52"/>
      <c r="ADS178" s="52"/>
      <c r="ADT178" s="52"/>
      <c r="ADU178" s="52"/>
      <c r="ADV178" s="52"/>
      <c r="ADW178" s="52"/>
      <c r="ADX178" s="52"/>
      <c r="ADY178" s="52"/>
      <c r="ADZ178" s="52"/>
      <c r="AEA178" s="52"/>
      <c r="AEB178" s="52"/>
      <c r="AEC178" s="52"/>
      <c r="AED178" s="52"/>
      <c r="AEE178" s="52"/>
      <c r="AEF178" s="52"/>
      <c r="AEG178" s="52"/>
      <c r="AEH178" s="52"/>
      <c r="AEI178" s="52"/>
      <c r="AEJ178" s="52"/>
      <c r="AEK178" s="52"/>
      <c r="AEL178" s="52"/>
      <c r="AEM178" s="52"/>
      <c r="AEN178" s="52"/>
      <c r="AEO178" s="52"/>
      <c r="AEP178" s="52"/>
      <c r="AEQ178" s="52"/>
      <c r="AER178" s="52"/>
      <c r="AES178" s="52"/>
      <c r="AET178" s="52"/>
      <c r="AEU178" s="52"/>
      <c r="AEV178" s="52"/>
      <c r="AEW178" s="52"/>
      <c r="AEX178" s="52"/>
      <c r="AEY178" s="52"/>
      <c r="AEZ178" s="52"/>
      <c r="AFA178" s="52"/>
      <c r="AFB178" s="52"/>
      <c r="AFC178" s="52"/>
      <c r="AFD178" s="52"/>
      <c r="AFE178" s="52"/>
      <c r="AFF178" s="52"/>
      <c r="AFG178" s="52"/>
      <c r="AFH178" s="52"/>
      <c r="AFI178" s="52"/>
      <c r="AFJ178" s="52"/>
      <c r="AFK178" s="52"/>
      <c r="AFL178" s="52"/>
      <c r="AFM178" s="52"/>
      <c r="AFN178" s="52"/>
      <c r="AFO178" s="52"/>
      <c r="AFP178" s="52"/>
      <c r="AFQ178" s="52"/>
      <c r="AFR178" s="52"/>
      <c r="AFS178" s="52"/>
      <c r="AFT178" s="52"/>
      <c r="AFU178" s="52"/>
      <c r="AFV178" s="52"/>
      <c r="AFW178" s="52"/>
      <c r="AFX178" s="52"/>
      <c r="AFY178" s="52"/>
      <c r="AFZ178" s="52"/>
      <c r="AGA178" s="52"/>
      <c r="AGB178" s="52"/>
      <c r="AGC178" s="52"/>
      <c r="AGD178" s="52"/>
      <c r="AGE178" s="52"/>
      <c r="AGF178" s="52"/>
      <c r="AGG178" s="52"/>
      <c r="AGH178" s="52"/>
      <c r="AGI178" s="52"/>
      <c r="AGJ178" s="52"/>
      <c r="AGK178" s="52"/>
      <c r="AGL178" s="52"/>
      <c r="AGM178" s="52"/>
      <c r="AGN178" s="52"/>
      <c r="AGO178" s="52"/>
      <c r="AGP178" s="52"/>
      <c r="AGQ178" s="52"/>
      <c r="AGR178" s="52"/>
      <c r="AGS178" s="52"/>
      <c r="AGT178" s="52"/>
      <c r="AGU178" s="52"/>
      <c r="AGV178" s="52"/>
      <c r="AGW178" s="52"/>
      <c r="AGX178" s="52"/>
      <c r="AGY178" s="52"/>
      <c r="AGZ178" s="52"/>
      <c r="AHA178" s="52"/>
      <c r="AHB178" s="52"/>
      <c r="AHC178" s="52"/>
      <c r="AHD178" s="52"/>
      <c r="AHE178" s="52"/>
      <c r="AHF178" s="52"/>
      <c r="AHG178" s="52"/>
      <c r="AHH178" s="52"/>
      <c r="AHI178" s="52"/>
      <c r="AHJ178" s="52"/>
      <c r="AHK178" s="52"/>
      <c r="AHL178" s="52"/>
      <c r="AHM178" s="52"/>
      <c r="AHN178" s="52"/>
      <c r="AHO178" s="52"/>
      <c r="AHP178" s="52"/>
      <c r="AHQ178" s="52"/>
      <c r="AHR178" s="52"/>
      <c r="AHS178" s="52"/>
      <c r="AHT178" s="52"/>
      <c r="AHU178" s="52"/>
      <c r="AHV178" s="52"/>
      <c r="AHW178" s="52"/>
      <c r="AHX178" s="52"/>
      <c r="AHY178" s="52"/>
      <c r="AHZ178" s="52"/>
      <c r="AIA178" s="52"/>
      <c r="AIB178" s="52"/>
      <c r="AIC178" s="52"/>
      <c r="AID178" s="52"/>
      <c r="AIE178" s="52"/>
      <c r="AIF178" s="52"/>
      <c r="AIG178" s="52"/>
      <c r="AIH178" s="52"/>
      <c r="AII178" s="52"/>
      <c r="AIJ178" s="52"/>
      <c r="AIK178" s="52"/>
      <c r="AIL178" s="52"/>
      <c r="AIM178" s="52"/>
      <c r="AIN178" s="52"/>
      <c r="AIO178" s="52"/>
      <c r="AIP178" s="52"/>
      <c r="AIQ178" s="52"/>
      <c r="AIR178" s="52"/>
      <c r="AIS178" s="52"/>
      <c r="AIT178" s="52"/>
      <c r="AIU178" s="52"/>
      <c r="AIV178" s="52"/>
      <c r="AIW178" s="52"/>
      <c r="AIX178" s="52"/>
      <c r="AIY178" s="52"/>
      <c r="AIZ178" s="52"/>
      <c r="AJA178" s="52"/>
      <c r="AJB178" s="52"/>
      <c r="AJC178" s="52"/>
      <c r="AJD178" s="52"/>
      <c r="AJE178" s="52"/>
      <c r="AJF178" s="52"/>
      <c r="AJG178" s="52"/>
      <c r="AJH178" s="52"/>
      <c r="AJI178" s="52"/>
      <c r="AJJ178" s="52"/>
      <c r="AJK178" s="52"/>
      <c r="AJL178" s="52"/>
      <c r="AJM178" s="52"/>
      <c r="AJN178" s="52"/>
      <c r="AJO178" s="52"/>
      <c r="AJP178" s="52"/>
      <c r="AJQ178" s="52"/>
      <c r="AJR178" s="52"/>
      <c r="AJS178" s="52"/>
      <c r="AJT178" s="52"/>
      <c r="AJU178" s="52"/>
      <c r="AJV178" s="52"/>
      <c r="AJW178" s="52"/>
      <c r="AJX178" s="52"/>
      <c r="AJY178" s="52"/>
      <c r="AJZ178" s="52"/>
      <c r="AKA178" s="52"/>
      <c r="AKB178" s="52"/>
      <c r="AKC178" s="52"/>
      <c r="AKD178" s="52"/>
      <c r="AKE178" s="52"/>
      <c r="AKF178" s="52"/>
      <c r="AKG178" s="52"/>
      <c r="AKH178" s="52"/>
      <c r="AKI178" s="52"/>
      <c r="AKJ178" s="52"/>
      <c r="AKK178" s="52"/>
      <c r="AKL178" s="52"/>
      <c r="AKM178" s="52"/>
      <c r="AKN178" s="52"/>
      <c r="AKO178" s="52"/>
      <c r="AKP178" s="52"/>
      <c r="AKQ178" s="52"/>
      <c r="AKR178" s="52"/>
      <c r="AKS178" s="52"/>
      <c r="AKT178" s="52"/>
      <c r="AKU178" s="52"/>
      <c r="AKV178" s="52"/>
      <c r="AKW178" s="52"/>
      <c r="AKX178" s="52"/>
      <c r="AKY178" s="52"/>
      <c r="AKZ178" s="52"/>
      <c r="ALA178" s="52"/>
      <c r="ALB178" s="52"/>
      <c r="ALC178" s="52"/>
      <c r="ALD178" s="52"/>
      <c r="ALE178" s="52"/>
      <c r="ALF178" s="52"/>
      <c r="ALG178" s="52"/>
      <c r="ALH178" s="52"/>
      <c r="ALI178" s="52"/>
      <c r="ALJ178" s="52"/>
      <c r="ALK178" s="52"/>
      <c r="ALL178" s="52"/>
      <c r="ALM178" s="52"/>
      <c r="ALN178" s="52"/>
      <c r="ALO178" s="52"/>
      <c r="ALP178" s="52"/>
      <c r="ALQ178" s="52"/>
      <c r="ALR178" s="52"/>
      <c r="ALS178" s="52"/>
      <c r="ALT178" s="52"/>
      <c r="ALU178" s="52"/>
      <c r="ALV178" s="52"/>
      <c r="ALW178" s="52"/>
      <c r="ALX178" s="52"/>
      <c r="ALY178" s="52"/>
      <c r="ALZ178" s="52"/>
      <c r="AMA178" s="52"/>
      <c r="AMB178" s="52"/>
      <c r="AMC178" s="52"/>
      <c r="AMD178" s="52"/>
      <c r="AME178" s="52"/>
      <c r="AMF178" s="52"/>
      <c r="AMG178" s="52"/>
      <c r="AMH178" s="52"/>
      <c r="AMI178" s="52"/>
      <c r="AMJ178" s="52"/>
      <c r="AMK178" s="52"/>
      <c r="AML178" s="52"/>
      <c r="AMM178" s="52"/>
      <c r="AMN178" s="52"/>
      <c r="AMO178" s="52"/>
      <c r="AMP178" s="52"/>
      <c r="AMQ178" s="52"/>
      <c r="AMR178" s="52"/>
      <c r="AMS178" s="52"/>
      <c r="AMT178" s="52"/>
      <c r="AMU178" s="52"/>
      <c r="AMV178" s="52"/>
      <c r="AMW178" s="52"/>
      <c r="AMX178" s="52"/>
      <c r="AMY178" s="52"/>
      <c r="AMZ178" s="52"/>
      <c r="ANA178" s="52"/>
      <c r="ANB178" s="52"/>
      <c r="ANC178" s="52"/>
      <c r="AND178" s="52"/>
      <c r="ANE178" s="52"/>
      <c r="ANF178" s="52"/>
      <c r="ANG178" s="52"/>
      <c r="ANH178" s="52"/>
      <c r="ANI178" s="52"/>
      <c r="ANJ178" s="52"/>
      <c r="ANK178" s="52"/>
      <c r="ANL178" s="52"/>
      <c r="ANM178" s="52"/>
      <c r="ANN178" s="52"/>
      <c r="ANO178" s="52"/>
      <c r="ANP178" s="52"/>
      <c r="ANQ178" s="52"/>
      <c r="ANR178" s="52"/>
      <c r="ANS178" s="52"/>
      <c r="ANT178" s="52"/>
      <c r="ANU178" s="52"/>
      <c r="ANV178" s="52"/>
      <c r="ANW178" s="52"/>
      <c r="ANX178" s="52"/>
      <c r="ANY178" s="52"/>
      <c r="ANZ178" s="52"/>
      <c r="AOA178" s="52"/>
      <c r="AOB178" s="52"/>
      <c r="AOC178" s="52"/>
      <c r="AOD178" s="52"/>
      <c r="AOE178" s="52"/>
      <c r="AOF178" s="52"/>
      <c r="AOG178" s="52"/>
      <c r="AOH178" s="52"/>
      <c r="AOI178" s="52"/>
      <c r="AOJ178" s="52"/>
      <c r="AOK178" s="52"/>
      <c r="AOL178" s="52"/>
      <c r="AOM178" s="52"/>
      <c r="AON178" s="52"/>
      <c r="AOO178" s="52"/>
      <c r="AOP178" s="52"/>
      <c r="AOQ178" s="52"/>
      <c r="AOR178" s="52"/>
      <c r="AOS178" s="52"/>
      <c r="AOT178" s="52"/>
      <c r="AOU178" s="52"/>
      <c r="AOV178" s="52"/>
      <c r="AOW178" s="52"/>
      <c r="AOX178" s="52"/>
      <c r="AOY178" s="52"/>
      <c r="AOZ178" s="52"/>
      <c r="APA178" s="52"/>
      <c r="APB178" s="52"/>
      <c r="APC178" s="52"/>
      <c r="APD178" s="52"/>
      <c r="APE178" s="52"/>
      <c r="APF178" s="52"/>
      <c r="APG178" s="52"/>
      <c r="APH178" s="52"/>
      <c r="API178" s="52"/>
      <c r="APJ178" s="52"/>
      <c r="APK178" s="52"/>
      <c r="APL178" s="52"/>
      <c r="APM178" s="52"/>
      <c r="APN178" s="52"/>
      <c r="APO178" s="52"/>
      <c r="APP178" s="52"/>
      <c r="APQ178" s="52"/>
      <c r="APR178" s="52"/>
      <c r="APS178" s="52"/>
      <c r="APT178" s="52"/>
      <c r="APU178" s="52"/>
      <c r="APV178" s="52"/>
      <c r="APW178" s="52"/>
      <c r="APX178" s="52"/>
      <c r="APY178" s="52"/>
      <c r="APZ178" s="52"/>
      <c r="AQA178" s="52"/>
      <c r="AQB178" s="52"/>
      <c r="AQC178" s="52"/>
      <c r="AQD178" s="52"/>
      <c r="AQE178" s="52"/>
      <c r="AQF178" s="52"/>
      <c r="AQG178" s="52"/>
      <c r="AQH178" s="52"/>
      <c r="AQI178" s="52"/>
      <c r="AQJ178" s="52"/>
      <c r="AQK178" s="52"/>
      <c r="AQL178" s="52"/>
      <c r="AQM178" s="52"/>
      <c r="AQN178" s="52"/>
      <c r="AQO178" s="52"/>
      <c r="AQP178" s="52"/>
      <c r="AQQ178" s="52"/>
      <c r="AQR178" s="52"/>
      <c r="AQS178" s="52"/>
      <c r="AQT178" s="52"/>
      <c r="AQU178" s="52"/>
      <c r="AQV178" s="52"/>
      <c r="AQW178" s="52"/>
      <c r="AQX178" s="52"/>
      <c r="AQY178" s="52"/>
      <c r="AQZ178" s="52"/>
      <c r="ARA178" s="52"/>
      <c r="ARB178" s="52"/>
      <c r="ARC178" s="52"/>
      <c r="ARD178" s="52"/>
      <c r="ARE178" s="52"/>
      <c r="ARF178" s="52"/>
      <c r="ARG178" s="52"/>
      <c r="ARH178" s="52"/>
      <c r="ARI178" s="52"/>
      <c r="ARJ178" s="52"/>
      <c r="ARK178" s="52"/>
      <c r="ARL178" s="52"/>
      <c r="ARM178" s="52"/>
      <c r="ARN178" s="52"/>
      <c r="ARO178" s="52"/>
      <c r="ARP178" s="52"/>
      <c r="ARQ178" s="52"/>
      <c r="ARR178" s="52"/>
      <c r="ARS178" s="52"/>
      <c r="ART178" s="52"/>
      <c r="ARU178" s="52"/>
      <c r="ARV178" s="52"/>
      <c r="ARW178" s="52"/>
      <c r="ARX178" s="52"/>
      <c r="ARY178" s="52"/>
      <c r="ARZ178" s="52"/>
      <c r="ASA178" s="52"/>
      <c r="ASB178" s="52"/>
      <c r="ASC178" s="52"/>
      <c r="ASD178" s="52"/>
      <c r="ASE178" s="52"/>
      <c r="ASF178" s="52"/>
      <c r="ASG178" s="52"/>
      <c r="ASH178" s="52"/>
      <c r="ASI178" s="52"/>
      <c r="ASJ178" s="52"/>
      <c r="ASK178" s="52"/>
      <c r="ASL178" s="52"/>
      <c r="ASM178" s="52"/>
      <c r="ASN178" s="52"/>
      <c r="ASO178" s="52"/>
      <c r="ASP178" s="52"/>
      <c r="ASQ178" s="52"/>
      <c r="ASR178" s="52"/>
      <c r="ASS178" s="52"/>
      <c r="AST178" s="52"/>
      <c r="ASU178" s="52"/>
      <c r="ASV178" s="52"/>
      <c r="ASW178" s="52"/>
      <c r="ASX178" s="52"/>
      <c r="ASY178" s="52"/>
      <c r="ASZ178" s="52"/>
      <c r="ATA178" s="52"/>
      <c r="ATB178" s="52"/>
      <c r="ATC178" s="52"/>
      <c r="ATD178" s="52"/>
      <c r="ATE178" s="52"/>
      <c r="ATF178" s="52"/>
      <c r="ATG178" s="52"/>
      <c r="ATH178" s="52"/>
      <c r="ATI178" s="52"/>
      <c r="ATJ178" s="52"/>
      <c r="ATK178" s="52"/>
      <c r="ATL178" s="52"/>
      <c r="ATM178" s="52"/>
      <c r="ATN178" s="52"/>
      <c r="ATO178" s="52"/>
      <c r="ATP178" s="52"/>
      <c r="ATQ178" s="52"/>
      <c r="ATR178" s="52"/>
      <c r="ATS178" s="52"/>
      <c r="ATT178" s="52"/>
      <c r="ATU178" s="52"/>
      <c r="ATV178" s="52"/>
      <c r="ATW178" s="52"/>
      <c r="ATX178" s="52"/>
      <c r="ATY178" s="52"/>
      <c r="ATZ178" s="52"/>
      <c r="AUA178" s="52"/>
      <c r="AUB178" s="52"/>
      <c r="AUC178" s="52"/>
      <c r="AUD178" s="52"/>
      <c r="AUE178" s="52"/>
      <c r="AUF178" s="52"/>
      <c r="AUG178" s="52"/>
      <c r="AUH178" s="52"/>
      <c r="AUI178" s="52"/>
      <c r="AUJ178" s="52"/>
      <c r="AUK178" s="52"/>
      <c r="AUL178" s="52"/>
      <c r="AUM178" s="52"/>
      <c r="AUN178" s="52"/>
      <c r="AUO178" s="52"/>
      <c r="AUP178" s="52"/>
      <c r="AUQ178" s="52"/>
      <c r="AUR178" s="52"/>
      <c r="AUS178" s="52"/>
      <c r="AUT178" s="52"/>
      <c r="AUU178" s="52"/>
      <c r="AUV178" s="52"/>
      <c r="AUW178" s="52"/>
      <c r="AUX178" s="52"/>
      <c r="AUY178" s="52"/>
      <c r="AUZ178" s="52"/>
      <c r="AVA178" s="52"/>
      <c r="AVB178" s="52"/>
      <c r="AVC178" s="52"/>
      <c r="AVD178" s="52"/>
      <c r="AVE178" s="52"/>
      <c r="AVF178" s="52"/>
      <c r="AVG178" s="52"/>
      <c r="AVH178" s="52"/>
      <c r="AVI178" s="52"/>
      <c r="AVJ178" s="52"/>
      <c r="AVK178" s="52"/>
      <c r="AVL178" s="52"/>
      <c r="AVM178" s="52"/>
      <c r="AVN178" s="52"/>
      <c r="AVO178" s="52"/>
      <c r="AVP178" s="52"/>
      <c r="AVQ178" s="52"/>
      <c r="AVR178" s="52"/>
      <c r="AVS178" s="52"/>
      <c r="AVT178" s="52"/>
      <c r="AVU178" s="52"/>
      <c r="AVV178" s="52"/>
      <c r="AVW178" s="52"/>
      <c r="AVX178" s="52"/>
      <c r="AVY178" s="52"/>
      <c r="AVZ178" s="52"/>
      <c r="AWA178" s="52"/>
      <c r="AWB178" s="52"/>
      <c r="AWC178" s="52"/>
      <c r="AWD178" s="52"/>
      <c r="AWE178" s="52"/>
      <c r="AWF178" s="52"/>
      <c r="AWG178" s="52"/>
      <c r="AWH178" s="52"/>
      <c r="AWI178" s="52"/>
      <c r="AWJ178" s="52"/>
      <c r="AWK178" s="52"/>
      <c r="AWL178" s="52"/>
      <c r="AWM178" s="52"/>
      <c r="AWN178" s="52"/>
      <c r="AWO178" s="52"/>
      <c r="AWP178" s="52"/>
      <c r="AWQ178" s="52"/>
      <c r="AWR178" s="52"/>
      <c r="AWS178" s="52"/>
      <c r="AWT178" s="52"/>
      <c r="AWU178" s="52"/>
      <c r="AWV178" s="52"/>
      <c r="AWW178" s="52"/>
      <c r="AWX178" s="52"/>
      <c r="AWY178" s="52"/>
      <c r="AWZ178" s="52"/>
      <c r="AXA178" s="52"/>
      <c r="AXB178" s="52"/>
      <c r="AXC178" s="52"/>
      <c r="AXD178" s="52"/>
      <c r="AXE178" s="52"/>
      <c r="AXF178" s="52"/>
      <c r="AXG178" s="52"/>
      <c r="AXH178" s="52"/>
      <c r="AXI178" s="52"/>
      <c r="AXJ178" s="52"/>
      <c r="AXK178" s="52"/>
      <c r="AXL178" s="52"/>
      <c r="AXM178" s="52"/>
      <c r="AXN178" s="52"/>
      <c r="AXO178" s="52"/>
      <c r="AXP178" s="52"/>
      <c r="AXQ178" s="52"/>
      <c r="AXR178" s="52"/>
      <c r="AXS178" s="52"/>
      <c r="AXT178" s="52"/>
      <c r="AXU178" s="52"/>
      <c r="AXV178" s="52"/>
      <c r="AXW178" s="52"/>
      <c r="AXX178" s="52"/>
      <c r="AXY178" s="52"/>
      <c r="AXZ178" s="52"/>
      <c r="AYA178" s="52"/>
      <c r="AYB178" s="52"/>
      <c r="AYC178" s="52"/>
      <c r="AYD178" s="52"/>
      <c r="AYE178" s="52"/>
      <c r="AYF178" s="52"/>
      <c r="AYG178" s="52"/>
      <c r="AYH178" s="52"/>
      <c r="AYI178" s="52"/>
      <c r="AYJ178" s="52"/>
      <c r="AYK178" s="52"/>
      <c r="AYL178" s="52"/>
      <c r="AYM178" s="52"/>
      <c r="AYN178" s="52"/>
      <c r="AYO178" s="52"/>
      <c r="AYP178" s="52"/>
      <c r="AYQ178" s="52"/>
      <c r="AYR178" s="52"/>
      <c r="AYS178" s="52"/>
      <c r="AYT178" s="52"/>
      <c r="AYU178" s="52"/>
      <c r="AYV178" s="52"/>
      <c r="AYW178" s="52"/>
      <c r="AYX178" s="52"/>
      <c r="AYY178" s="52"/>
      <c r="AYZ178" s="52"/>
      <c r="AZA178" s="52"/>
      <c r="AZB178" s="52"/>
      <c r="AZC178" s="52"/>
      <c r="AZD178" s="52"/>
      <c r="AZE178" s="52"/>
      <c r="AZF178" s="52"/>
      <c r="AZG178" s="52"/>
      <c r="AZH178" s="52"/>
      <c r="AZI178" s="52"/>
      <c r="AZJ178" s="52"/>
      <c r="AZK178" s="52"/>
      <c r="AZL178" s="52"/>
      <c r="AZM178" s="52"/>
      <c r="AZN178" s="52"/>
      <c r="AZO178" s="52"/>
      <c r="AZP178" s="52"/>
      <c r="AZQ178" s="52"/>
      <c r="AZR178" s="52"/>
      <c r="AZS178" s="52"/>
      <c r="AZT178" s="52"/>
      <c r="AZU178" s="52"/>
      <c r="AZV178" s="52"/>
      <c r="AZW178" s="52"/>
      <c r="AZX178" s="52"/>
      <c r="AZY178" s="52"/>
      <c r="AZZ178" s="52"/>
      <c r="BAA178" s="52"/>
      <c r="BAB178" s="52"/>
      <c r="BAC178" s="52"/>
      <c r="BAD178" s="52"/>
      <c r="BAE178" s="52"/>
      <c r="BAF178" s="52"/>
      <c r="BAG178" s="52"/>
      <c r="BAH178" s="52"/>
      <c r="BAI178" s="52"/>
      <c r="BAJ178" s="52"/>
      <c r="BAK178" s="52"/>
      <c r="BAL178" s="52"/>
      <c r="BAM178" s="52"/>
      <c r="BAN178" s="52"/>
      <c r="BAO178" s="52"/>
      <c r="BAP178" s="52"/>
      <c r="BAQ178" s="52"/>
      <c r="BAR178" s="52"/>
      <c r="BAS178" s="52"/>
      <c r="BAT178" s="52"/>
      <c r="BAU178" s="52"/>
      <c r="BAV178" s="52"/>
      <c r="BAW178" s="52"/>
      <c r="BAX178" s="52"/>
      <c r="BAY178" s="52"/>
      <c r="BAZ178" s="52"/>
      <c r="BBA178" s="52"/>
      <c r="BBB178" s="52"/>
      <c r="BBC178" s="52"/>
      <c r="BBD178" s="52"/>
      <c r="BBE178" s="52"/>
      <c r="BBF178" s="52"/>
      <c r="BBG178" s="52"/>
      <c r="BBH178" s="52"/>
      <c r="BBI178" s="52"/>
      <c r="BBJ178" s="52"/>
      <c r="BBK178" s="52"/>
      <c r="BBL178" s="52"/>
      <c r="BBM178" s="52"/>
      <c r="BBN178" s="52"/>
      <c r="BBO178" s="52"/>
      <c r="BBP178" s="52"/>
      <c r="BBQ178" s="52"/>
      <c r="BBR178" s="52"/>
      <c r="BBS178" s="52"/>
      <c r="BBT178" s="52"/>
      <c r="BBU178" s="52"/>
      <c r="BBV178" s="52"/>
      <c r="BBW178" s="52"/>
      <c r="BBX178" s="52"/>
      <c r="BBY178" s="52"/>
      <c r="BBZ178" s="52"/>
      <c r="BCA178" s="52"/>
      <c r="BCB178" s="52"/>
      <c r="BCC178" s="52"/>
      <c r="BCD178" s="52"/>
      <c r="BCE178" s="52"/>
      <c r="BCF178" s="52"/>
      <c r="BCG178" s="52"/>
      <c r="BCH178" s="52"/>
      <c r="BCI178" s="52"/>
      <c r="BCJ178" s="52"/>
      <c r="BCK178" s="52"/>
      <c r="BCL178" s="52"/>
      <c r="BCM178" s="52"/>
      <c r="BCN178" s="52"/>
      <c r="BCO178" s="52"/>
      <c r="BCP178" s="52"/>
      <c r="BCQ178" s="52"/>
      <c r="BCR178" s="52"/>
      <c r="BCS178" s="52"/>
      <c r="BCT178" s="52"/>
      <c r="BCU178" s="52"/>
      <c r="BCV178" s="52"/>
      <c r="BCW178" s="52"/>
      <c r="BCX178" s="52"/>
      <c r="BCY178" s="52"/>
      <c r="BCZ178" s="52"/>
      <c r="BDA178" s="52"/>
      <c r="BDB178" s="52"/>
      <c r="BDC178" s="52"/>
      <c r="BDD178" s="52"/>
      <c r="BDE178" s="52"/>
      <c r="BDF178" s="52"/>
      <c r="BDG178" s="52"/>
      <c r="BDH178" s="52"/>
      <c r="BDI178" s="52"/>
      <c r="BDJ178" s="52"/>
      <c r="BDK178" s="52"/>
      <c r="BDL178" s="52"/>
      <c r="BDM178" s="52"/>
      <c r="BDN178" s="52"/>
      <c r="BDO178" s="52"/>
      <c r="BDP178" s="52"/>
      <c r="BDQ178" s="52"/>
      <c r="BDR178" s="52"/>
      <c r="BDS178" s="52"/>
      <c r="BDT178" s="52"/>
      <c r="BDU178" s="52"/>
      <c r="BDV178" s="52"/>
      <c r="BDW178" s="52"/>
      <c r="BDX178" s="52"/>
      <c r="BDY178" s="52"/>
      <c r="BDZ178" s="52"/>
      <c r="BEA178" s="52"/>
      <c r="BEB178" s="52"/>
      <c r="BEC178" s="52"/>
      <c r="BED178" s="52"/>
      <c r="BEE178" s="52"/>
      <c r="BEF178" s="52"/>
      <c r="BEG178" s="52"/>
      <c r="BEH178" s="52"/>
      <c r="BEI178" s="52"/>
      <c r="BEJ178" s="52"/>
      <c r="BEK178" s="52"/>
      <c r="BEL178" s="52"/>
      <c r="BEM178" s="52"/>
      <c r="BEN178" s="52"/>
      <c r="BEO178" s="52"/>
      <c r="BEP178" s="52"/>
      <c r="BEQ178" s="52"/>
      <c r="BER178" s="52"/>
      <c r="BES178" s="52"/>
      <c r="BET178" s="52"/>
      <c r="BEU178" s="52"/>
      <c r="BEV178" s="52"/>
      <c r="BEW178" s="52"/>
      <c r="BEX178" s="52"/>
      <c r="BEY178" s="52"/>
      <c r="BEZ178" s="52"/>
      <c r="BFA178" s="52"/>
      <c r="BFB178" s="52"/>
      <c r="BFC178" s="52"/>
      <c r="BFD178" s="52"/>
      <c r="BFE178" s="52"/>
      <c r="BFF178" s="52"/>
      <c r="BFG178" s="52"/>
      <c r="BFH178" s="52"/>
      <c r="BFI178" s="52"/>
      <c r="BFJ178" s="52"/>
      <c r="BFK178" s="52"/>
      <c r="BFL178" s="52"/>
      <c r="BFM178" s="52"/>
      <c r="BFN178" s="52"/>
      <c r="BFO178" s="52"/>
      <c r="BFP178" s="52"/>
      <c r="BFQ178" s="52"/>
      <c r="BFR178" s="52"/>
      <c r="BFS178" s="52"/>
      <c r="BFT178" s="52"/>
      <c r="BFU178" s="52"/>
      <c r="BFV178" s="52"/>
      <c r="BFW178" s="52"/>
      <c r="BFX178" s="52"/>
      <c r="BFY178" s="52"/>
      <c r="BFZ178" s="52"/>
      <c r="BGA178" s="52"/>
      <c r="BGB178" s="52"/>
      <c r="BGC178" s="52"/>
      <c r="BGD178" s="52"/>
      <c r="BGE178" s="52"/>
      <c r="BGF178" s="52"/>
      <c r="BGG178" s="52"/>
      <c r="BGH178" s="52"/>
      <c r="BGI178" s="52"/>
      <c r="BGJ178" s="52"/>
      <c r="BGK178" s="52"/>
      <c r="BGL178" s="52"/>
      <c r="BGM178" s="52"/>
      <c r="BGN178" s="52"/>
      <c r="BGO178" s="52"/>
      <c r="BGP178" s="52"/>
      <c r="BGQ178" s="52"/>
      <c r="BGR178" s="52"/>
      <c r="BGS178" s="52"/>
      <c r="BGT178" s="52"/>
      <c r="BGU178" s="52"/>
      <c r="BGV178" s="52"/>
      <c r="BGW178" s="52"/>
      <c r="BGX178" s="52"/>
      <c r="BGY178" s="52"/>
      <c r="BGZ178" s="52"/>
      <c r="BHA178" s="52"/>
      <c r="BHB178" s="52"/>
      <c r="BHC178" s="52"/>
      <c r="BHD178" s="52"/>
      <c r="BHE178" s="52"/>
      <c r="BHF178" s="52"/>
      <c r="BHG178" s="52"/>
      <c r="BHH178" s="52"/>
      <c r="BHI178" s="52"/>
      <c r="BHJ178" s="52"/>
      <c r="BHK178" s="52"/>
      <c r="BHL178" s="52"/>
      <c r="BHM178" s="52"/>
      <c r="BHN178" s="52"/>
      <c r="BHO178" s="52"/>
      <c r="BHP178" s="52"/>
      <c r="BHQ178" s="52"/>
      <c r="BHR178" s="52"/>
      <c r="BHS178" s="52"/>
      <c r="BHT178" s="52"/>
      <c r="BHU178" s="52"/>
      <c r="BHV178" s="52"/>
      <c r="BHW178" s="52"/>
      <c r="BHX178" s="52"/>
      <c r="BHY178" s="52"/>
      <c r="BHZ178" s="52"/>
      <c r="BIA178" s="52"/>
      <c r="BIB178" s="52"/>
      <c r="BIC178" s="52"/>
      <c r="BID178" s="52"/>
      <c r="BIE178" s="52"/>
      <c r="BIF178" s="52"/>
      <c r="BIG178" s="52"/>
      <c r="BIH178" s="52"/>
      <c r="BII178" s="52"/>
      <c r="BIJ178" s="52"/>
      <c r="BIK178" s="52"/>
      <c r="BIL178" s="52"/>
      <c r="BIM178" s="52"/>
      <c r="BIN178" s="52"/>
      <c r="BIO178" s="52"/>
      <c r="BIP178" s="52"/>
      <c r="BIQ178" s="52"/>
      <c r="BIR178" s="52"/>
      <c r="BIS178" s="52"/>
      <c r="BIT178" s="52"/>
      <c r="BIU178" s="52"/>
      <c r="BIV178" s="52"/>
      <c r="BIW178" s="52"/>
      <c r="BIX178" s="52"/>
      <c r="BIY178" s="52"/>
      <c r="BIZ178" s="52"/>
      <c r="BJA178" s="52"/>
      <c r="BJB178" s="52"/>
      <c r="BJC178" s="52"/>
      <c r="BJD178" s="52"/>
      <c r="BJE178" s="52"/>
      <c r="BJF178" s="52"/>
      <c r="BJG178" s="52"/>
      <c r="BJH178" s="52"/>
      <c r="BJI178" s="52"/>
      <c r="BJJ178" s="52"/>
      <c r="BJK178" s="52"/>
      <c r="BJL178" s="52"/>
      <c r="BJM178" s="52"/>
      <c r="BJN178" s="52"/>
      <c r="BJO178" s="52"/>
      <c r="BJP178" s="52"/>
      <c r="BJQ178" s="52"/>
      <c r="BJR178" s="52"/>
      <c r="BJS178" s="52"/>
      <c r="BJT178" s="52"/>
      <c r="BJU178" s="52"/>
      <c r="BJV178" s="52"/>
      <c r="BJW178" s="52"/>
      <c r="BJX178" s="52"/>
      <c r="BJY178" s="52"/>
      <c r="BJZ178" s="52"/>
      <c r="BKA178" s="52"/>
      <c r="BKB178" s="52"/>
      <c r="BKC178" s="52"/>
      <c r="BKD178" s="52"/>
      <c r="BKE178" s="52"/>
      <c r="BKF178" s="52"/>
      <c r="BKG178" s="52"/>
      <c r="BKH178" s="52"/>
      <c r="BKI178" s="52"/>
      <c r="BKJ178" s="52"/>
      <c r="BKK178" s="52"/>
      <c r="BKL178" s="52"/>
      <c r="BKM178" s="52"/>
      <c r="BKN178" s="52"/>
      <c r="BKO178" s="52"/>
      <c r="BKP178" s="52"/>
      <c r="BKQ178" s="52"/>
      <c r="BKR178" s="52"/>
      <c r="BKS178" s="52"/>
      <c r="BKT178" s="52"/>
      <c r="BKU178" s="52"/>
      <c r="BKV178" s="52"/>
      <c r="BKW178" s="52"/>
      <c r="BKX178" s="52"/>
      <c r="BKY178" s="52"/>
      <c r="BKZ178" s="52"/>
      <c r="BLA178" s="52"/>
      <c r="BLB178" s="52"/>
      <c r="BLC178" s="52"/>
      <c r="BLD178" s="52"/>
      <c r="BLE178" s="52"/>
      <c r="BLF178" s="52"/>
      <c r="BLG178" s="52"/>
      <c r="BLH178" s="52"/>
      <c r="BLI178" s="52"/>
      <c r="BLJ178" s="52"/>
      <c r="BLK178" s="52"/>
      <c r="BLL178" s="52"/>
      <c r="BLM178" s="52"/>
      <c r="BLN178" s="52"/>
      <c r="BLO178" s="52"/>
      <c r="BLP178" s="52"/>
      <c r="BLQ178" s="52"/>
      <c r="BLR178" s="52"/>
      <c r="BLS178" s="52"/>
      <c r="BLT178" s="52"/>
      <c r="BLU178" s="52"/>
      <c r="BLV178" s="52"/>
      <c r="BLW178" s="52"/>
      <c r="BLX178" s="52"/>
      <c r="BLY178" s="52"/>
      <c r="BLZ178" s="52"/>
      <c r="BMA178" s="52"/>
      <c r="BMB178" s="52"/>
      <c r="BMC178" s="52"/>
      <c r="BMD178" s="52"/>
      <c r="BME178" s="52"/>
      <c r="BMF178" s="52"/>
      <c r="BMG178" s="52"/>
      <c r="BMH178" s="52"/>
      <c r="BMI178" s="52"/>
      <c r="BMJ178" s="52"/>
      <c r="BMK178" s="52"/>
      <c r="BML178" s="52"/>
      <c r="BMM178" s="52"/>
      <c r="BMN178" s="52"/>
      <c r="BMO178" s="52"/>
      <c r="BMP178" s="52"/>
      <c r="BMQ178" s="52"/>
      <c r="BMR178" s="52"/>
      <c r="BMS178" s="52"/>
      <c r="BMT178" s="52"/>
      <c r="BMU178" s="52"/>
      <c r="BMV178" s="52"/>
      <c r="BMW178" s="52"/>
      <c r="BMX178" s="52"/>
      <c r="BMY178" s="52"/>
      <c r="BMZ178" s="52"/>
      <c r="BNA178" s="52"/>
      <c r="BNB178" s="52"/>
      <c r="BNC178" s="52"/>
      <c r="BND178" s="52"/>
      <c r="BNE178" s="52"/>
      <c r="BNF178" s="52"/>
      <c r="BNG178" s="52"/>
      <c r="BNH178" s="52"/>
      <c r="BNI178" s="52"/>
      <c r="BNJ178" s="52"/>
      <c r="BNK178" s="52"/>
      <c r="BNL178" s="52"/>
      <c r="BNM178" s="52"/>
      <c r="BNN178" s="52"/>
      <c r="BNO178" s="52"/>
      <c r="BNP178" s="52"/>
      <c r="BNQ178" s="52"/>
      <c r="BNR178" s="52"/>
      <c r="BNS178" s="52"/>
      <c r="BNT178" s="52"/>
      <c r="BNU178" s="52"/>
      <c r="BNV178" s="52"/>
      <c r="BNW178" s="52"/>
      <c r="BNX178" s="52"/>
      <c r="BNY178" s="52"/>
      <c r="BNZ178" s="52"/>
      <c r="BOA178" s="52"/>
      <c r="BOB178" s="52"/>
      <c r="BOC178" s="52"/>
      <c r="BOD178" s="52"/>
      <c r="BOE178" s="52"/>
      <c r="BOF178" s="52"/>
      <c r="BOG178" s="52"/>
      <c r="BOH178" s="52"/>
      <c r="BOI178" s="52"/>
      <c r="BOJ178" s="52"/>
      <c r="BOK178" s="52"/>
      <c r="BOL178" s="52"/>
      <c r="BOM178" s="52"/>
      <c r="BON178" s="52"/>
      <c r="BOO178" s="52"/>
      <c r="BOP178" s="52"/>
      <c r="BOQ178" s="52"/>
      <c r="BOR178" s="52"/>
      <c r="BOS178" s="52"/>
      <c r="BOT178" s="52"/>
      <c r="BOU178" s="52"/>
      <c r="BOV178" s="52"/>
      <c r="BOW178" s="52"/>
      <c r="BOX178" s="52"/>
      <c r="BOY178" s="52"/>
      <c r="BOZ178" s="52"/>
      <c r="BPA178" s="52"/>
      <c r="BPB178" s="52"/>
      <c r="BPC178" s="52"/>
      <c r="BPD178" s="52"/>
      <c r="BPE178" s="52"/>
      <c r="BPF178" s="52"/>
      <c r="BPG178" s="52"/>
      <c r="BPH178" s="52"/>
      <c r="BPI178" s="52"/>
      <c r="BPJ178" s="52"/>
      <c r="BPK178" s="52"/>
      <c r="BPL178" s="52"/>
      <c r="BPM178" s="52"/>
      <c r="BPN178" s="52"/>
      <c r="BPO178" s="52"/>
      <c r="BPP178" s="52"/>
      <c r="BPQ178" s="52"/>
      <c r="BPR178" s="52"/>
      <c r="BPS178" s="52"/>
      <c r="BPT178" s="52"/>
      <c r="BPU178" s="52"/>
      <c r="BPV178" s="52"/>
      <c r="BPW178" s="52"/>
      <c r="BPX178" s="52"/>
      <c r="BPY178" s="52"/>
      <c r="BPZ178" s="52"/>
      <c r="BQA178" s="52"/>
      <c r="BQB178" s="52"/>
      <c r="BQC178" s="52"/>
      <c r="BQD178" s="52"/>
      <c r="BQE178" s="52"/>
      <c r="BQF178" s="52"/>
      <c r="BQG178" s="52"/>
      <c r="BQH178" s="52"/>
      <c r="BQI178" s="52"/>
      <c r="BQJ178" s="52"/>
      <c r="BQK178" s="52"/>
      <c r="BQL178" s="52"/>
      <c r="BQM178" s="52"/>
      <c r="BQN178" s="52"/>
      <c r="BQO178" s="52"/>
      <c r="BQP178" s="52"/>
      <c r="BQQ178" s="52"/>
      <c r="BQR178" s="52"/>
      <c r="BQS178" s="52"/>
      <c r="BQT178" s="52"/>
      <c r="BQU178" s="52"/>
      <c r="BQV178" s="52"/>
      <c r="BQW178" s="52"/>
      <c r="BQX178" s="52"/>
      <c r="BQY178" s="52"/>
      <c r="BQZ178" s="52"/>
      <c r="BRA178" s="52"/>
      <c r="BRB178" s="52"/>
      <c r="BRC178" s="52"/>
      <c r="BRD178" s="52"/>
      <c r="BRE178" s="52"/>
      <c r="BRF178" s="52"/>
      <c r="BRG178" s="52"/>
      <c r="BRH178" s="52"/>
      <c r="BRI178" s="52"/>
      <c r="BRJ178" s="52"/>
      <c r="BRK178" s="52"/>
      <c r="BRL178" s="52"/>
      <c r="BRM178" s="52"/>
      <c r="BRN178" s="52"/>
      <c r="BRO178" s="52"/>
      <c r="BRP178" s="52"/>
      <c r="BRQ178" s="52"/>
      <c r="BRR178" s="52"/>
      <c r="BRS178" s="52"/>
      <c r="BRT178" s="52"/>
      <c r="BRU178" s="52"/>
      <c r="BRV178" s="52"/>
      <c r="BRW178" s="52"/>
      <c r="BRX178" s="52"/>
      <c r="BRY178" s="52"/>
      <c r="BRZ178" s="52"/>
      <c r="BSA178" s="52"/>
      <c r="BSB178" s="52"/>
      <c r="BSC178" s="52"/>
      <c r="BSD178" s="52"/>
      <c r="BSE178" s="52"/>
      <c r="BSF178" s="52"/>
      <c r="BSG178" s="52"/>
      <c r="BSH178" s="52"/>
      <c r="BSI178" s="52"/>
      <c r="BSJ178" s="52"/>
      <c r="BSK178" s="52"/>
      <c r="BSL178" s="52"/>
      <c r="BSM178" s="52"/>
      <c r="BSN178" s="52"/>
      <c r="BSO178" s="52"/>
      <c r="BSP178" s="52"/>
      <c r="BSQ178" s="52"/>
      <c r="BSR178" s="52"/>
      <c r="BSS178" s="52"/>
      <c r="BST178" s="52"/>
      <c r="BSU178" s="52"/>
      <c r="BSV178" s="52"/>
      <c r="BSW178" s="52"/>
      <c r="BSX178" s="52"/>
      <c r="BSY178" s="52"/>
      <c r="BSZ178" s="52"/>
      <c r="BTA178" s="52"/>
      <c r="BTB178" s="52"/>
      <c r="BTC178" s="52"/>
      <c r="BTD178" s="52"/>
      <c r="BTE178" s="52"/>
      <c r="BTF178" s="52"/>
      <c r="BTG178" s="52"/>
      <c r="BTH178" s="52"/>
      <c r="BTI178" s="52"/>
      <c r="BTJ178" s="52"/>
      <c r="BTK178" s="52"/>
      <c r="BTL178" s="52"/>
      <c r="BTM178" s="52"/>
      <c r="BTN178" s="52"/>
      <c r="BTO178" s="52"/>
      <c r="BTP178" s="52"/>
      <c r="BTQ178" s="52"/>
      <c r="BTR178" s="52"/>
      <c r="BTS178" s="52"/>
      <c r="BTT178" s="52"/>
      <c r="BTU178" s="52"/>
      <c r="BTV178" s="52"/>
      <c r="BTW178" s="52"/>
      <c r="BTX178" s="52"/>
      <c r="BTY178" s="52"/>
      <c r="BTZ178" s="52"/>
      <c r="BUA178" s="52"/>
      <c r="BUB178" s="52"/>
      <c r="BUC178" s="52"/>
      <c r="BUD178" s="52"/>
      <c r="BUE178" s="52"/>
      <c r="BUF178" s="52"/>
      <c r="BUG178" s="52"/>
      <c r="BUH178" s="52"/>
      <c r="BUI178" s="52"/>
      <c r="BUJ178" s="52"/>
      <c r="BUK178" s="52"/>
      <c r="BUL178" s="52"/>
      <c r="BUM178" s="52"/>
      <c r="BUN178" s="52"/>
      <c r="BUO178" s="52"/>
      <c r="BUP178" s="52"/>
      <c r="BUQ178" s="52"/>
      <c r="BUR178" s="52"/>
      <c r="BUS178" s="52"/>
      <c r="BUT178" s="52"/>
      <c r="BUU178" s="52"/>
      <c r="BUV178" s="52"/>
      <c r="BUW178" s="52"/>
      <c r="BUX178" s="52"/>
      <c r="BUY178" s="52"/>
      <c r="BUZ178" s="52"/>
      <c r="BVA178" s="52"/>
      <c r="BVB178" s="52"/>
      <c r="BVC178" s="52"/>
      <c r="BVD178" s="52"/>
      <c r="BVE178" s="52"/>
      <c r="BVF178" s="52"/>
      <c r="BVG178" s="52"/>
      <c r="BVH178" s="52"/>
      <c r="BVI178" s="52"/>
      <c r="BVJ178" s="52"/>
      <c r="BVK178" s="52"/>
      <c r="BVL178" s="52"/>
      <c r="BVM178" s="52"/>
      <c r="BVN178" s="52"/>
      <c r="BVO178" s="52"/>
      <c r="BVP178" s="52"/>
      <c r="BVQ178" s="52"/>
      <c r="BVR178" s="52"/>
      <c r="BVS178" s="52"/>
      <c r="BVT178" s="52"/>
      <c r="BVU178" s="52"/>
      <c r="BVV178" s="52"/>
      <c r="BVW178" s="52"/>
      <c r="BVX178" s="52"/>
      <c r="BVY178" s="52"/>
      <c r="BVZ178" s="52"/>
      <c r="BWA178" s="52"/>
      <c r="BWB178" s="52"/>
      <c r="BWC178" s="52"/>
      <c r="BWD178" s="52"/>
      <c r="BWE178" s="52"/>
      <c r="BWF178" s="52"/>
      <c r="BWG178" s="52"/>
      <c r="BWH178" s="52"/>
      <c r="BWI178" s="52"/>
      <c r="BWJ178" s="52"/>
      <c r="BWK178" s="52"/>
      <c r="BWL178" s="52"/>
      <c r="BWM178" s="52"/>
      <c r="BWN178" s="52"/>
      <c r="BWO178" s="52"/>
      <c r="BWP178" s="52"/>
      <c r="BWQ178" s="52"/>
      <c r="BWR178" s="52"/>
      <c r="BWS178" s="52"/>
      <c r="BWT178" s="52"/>
      <c r="BWU178" s="52"/>
      <c r="BWV178" s="52"/>
      <c r="BWW178" s="52"/>
      <c r="BWX178" s="52"/>
      <c r="BWY178" s="52"/>
      <c r="BWZ178" s="52"/>
      <c r="BXA178" s="52"/>
      <c r="BXB178" s="52"/>
      <c r="BXC178" s="52"/>
      <c r="BXD178" s="52"/>
      <c r="BXE178" s="52"/>
      <c r="BXF178" s="52"/>
      <c r="BXG178" s="52"/>
      <c r="BXH178" s="52"/>
      <c r="BXI178" s="52"/>
      <c r="BXJ178" s="52"/>
      <c r="BXK178" s="52"/>
      <c r="BXL178" s="52"/>
      <c r="BXM178" s="52"/>
      <c r="BXN178" s="52"/>
      <c r="BXO178" s="52"/>
      <c r="BXP178" s="52"/>
      <c r="BXQ178" s="52"/>
      <c r="BXR178" s="52"/>
      <c r="BXS178" s="52"/>
      <c r="BXT178" s="52"/>
      <c r="BXU178" s="52"/>
      <c r="BXV178" s="52"/>
      <c r="BXW178" s="52"/>
      <c r="BXX178" s="52"/>
      <c r="BXY178" s="52"/>
      <c r="BXZ178" s="52"/>
      <c r="BYA178" s="52"/>
      <c r="BYB178" s="52"/>
      <c r="BYC178" s="52"/>
      <c r="BYD178" s="52"/>
      <c r="BYE178" s="52"/>
      <c r="BYF178" s="52"/>
      <c r="BYG178" s="52"/>
      <c r="BYH178" s="52"/>
      <c r="BYI178" s="52"/>
      <c r="BYJ178" s="52"/>
      <c r="BYK178" s="52"/>
      <c r="BYL178" s="52"/>
      <c r="BYM178" s="52"/>
      <c r="BYN178" s="52"/>
      <c r="BYO178" s="52"/>
      <c r="BYP178" s="52"/>
      <c r="BYQ178" s="52"/>
      <c r="BYR178" s="52"/>
      <c r="BYS178" s="52"/>
      <c r="BYT178" s="52"/>
      <c r="BYU178" s="52"/>
      <c r="BYV178" s="52"/>
      <c r="BYW178" s="52"/>
      <c r="BYX178" s="52"/>
      <c r="BYY178" s="52"/>
      <c r="BYZ178" s="52"/>
      <c r="BZA178" s="52"/>
      <c r="BZB178" s="52"/>
      <c r="BZC178" s="52"/>
      <c r="BZD178" s="52"/>
      <c r="BZE178" s="52"/>
      <c r="BZF178" s="52"/>
      <c r="BZG178" s="52"/>
      <c r="BZH178" s="52"/>
      <c r="BZI178" s="52"/>
      <c r="BZJ178" s="52"/>
      <c r="BZK178" s="52"/>
      <c r="BZL178" s="52"/>
      <c r="BZM178" s="52"/>
      <c r="BZN178" s="52"/>
      <c r="BZO178" s="52"/>
      <c r="BZP178" s="52"/>
      <c r="BZQ178" s="52"/>
      <c r="BZR178" s="52"/>
      <c r="BZS178" s="52"/>
      <c r="BZT178" s="52"/>
      <c r="BZU178" s="52"/>
      <c r="BZV178" s="52"/>
      <c r="BZW178" s="52"/>
      <c r="BZX178" s="52"/>
      <c r="BZY178" s="52"/>
      <c r="BZZ178" s="52"/>
      <c r="CAA178" s="52"/>
      <c r="CAB178" s="52"/>
      <c r="CAC178" s="52"/>
      <c r="CAD178" s="52"/>
      <c r="CAE178" s="52"/>
      <c r="CAF178" s="52"/>
      <c r="CAG178" s="52"/>
      <c r="CAH178" s="52"/>
      <c r="CAI178" s="52"/>
      <c r="CAJ178" s="52"/>
      <c r="CAK178" s="52"/>
      <c r="CAL178" s="52"/>
      <c r="CAM178" s="52"/>
      <c r="CAN178" s="52"/>
      <c r="CAO178" s="52"/>
      <c r="CAP178" s="52"/>
      <c r="CAQ178" s="52"/>
      <c r="CAR178" s="52"/>
      <c r="CAS178" s="52"/>
      <c r="CAT178" s="52"/>
      <c r="CAU178" s="52"/>
      <c r="CAV178" s="52"/>
      <c r="CAW178" s="52"/>
      <c r="CAX178" s="52"/>
      <c r="CAY178" s="52"/>
      <c r="CAZ178" s="52"/>
      <c r="CBA178" s="52"/>
      <c r="CBB178" s="52"/>
      <c r="CBC178" s="52"/>
      <c r="CBD178" s="52"/>
      <c r="CBE178" s="52"/>
      <c r="CBF178" s="52"/>
      <c r="CBG178" s="52"/>
      <c r="CBH178" s="52"/>
      <c r="CBI178" s="52"/>
      <c r="CBJ178" s="52"/>
      <c r="CBK178" s="52"/>
      <c r="CBL178" s="52"/>
      <c r="CBM178" s="52"/>
      <c r="CBN178" s="52"/>
      <c r="CBO178" s="52"/>
      <c r="CBP178" s="52"/>
      <c r="CBQ178" s="52"/>
      <c r="CBR178" s="52"/>
      <c r="CBS178" s="52"/>
      <c r="CBT178" s="52"/>
      <c r="CBU178" s="52"/>
      <c r="CBV178" s="52"/>
      <c r="CBW178" s="52"/>
      <c r="CBX178" s="52"/>
      <c r="CBY178" s="52"/>
      <c r="CBZ178" s="52"/>
      <c r="CCA178" s="52"/>
      <c r="CCB178" s="52"/>
      <c r="CCC178" s="52"/>
      <c r="CCD178" s="52"/>
      <c r="CCE178" s="52"/>
      <c r="CCF178" s="52"/>
      <c r="CCG178" s="52"/>
      <c r="CCH178" s="52"/>
      <c r="CCI178" s="52"/>
      <c r="CCJ178" s="52"/>
      <c r="CCK178" s="52"/>
      <c r="CCL178" s="52"/>
      <c r="CCM178" s="52"/>
      <c r="CCN178" s="52"/>
      <c r="CCO178" s="52"/>
      <c r="CCP178" s="52"/>
      <c r="CCQ178" s="52"/>
      <c r="CCR178" s="52"/>
      <c r="CCS178" s="52"/>
      <c r="CCT178" s="52"/>
      <c r="CCU178" s="52"/>
      <c r="CCV178" s="52"/>
      <c r="CCW178" s="52"/>
      <c r="CCX178" s="52"/>
      <c r="CCY178" s="52"/>
      <c r="CCZ178" s="52"/>
      <c r="CDA178" s="52"/>
      <c r="CDB178" s="52"/>
      <c r="CDC178" s="52"/>
      <c r="CDD178" s="52"/>
      <c r="CDE178" s="52"/>
      <c r="CDF178" s="52"/>
      <c r="CDG178" s="52"/>
      <c r="CDH178" s="52"/>
      <c r="CDI178" s="52"/>
      <c r="CDJ178" s="52"/>
      <c r="CDK178" s="52"/>
      <c r="CDL178" s="52"/>
      <c r="CDM178" s="52"/>
      <c r="CDN178" s="52"/>
      <c r="CDO178" s="52"/>
      <c r="CDP178" s="52"/>
      <c r="CDQ178" s="52"/>
      <c r="CDR178" s="52"/>
      <c r="CDS178" s="52"/>
      <c r="CDT178" s="52"/>
      <c r="CDU178" s="52"/>
      <c r="CDV178" s="52"/>
      <c r="CDW178" s="52"/>
      <c r="CDX178" s="52"/>
      <c r="CDY178" s="52"/>
      <c r="CDZ178" s="52"/>
      <c r="CEA178" s="52"/>
      <c r="CEB178" s="52"/>
      <c r="CEC178" s="52"/>
      <c r="CED178" s="52"/>
      <c r="CEE178" s="52"/>
      <c r="CEF178" s="52"/>
      <c r="CEG178" s="52"/>
      <c r="CEH178" s="52"/>
      <c r="CEI178" s="52"/>
      <c r="CEJ178" s="52"/>
      <c r="CEK178" s="52"/>
      <c r="CEL178" s="52"/>
      <c r="CEM178" s="52"/>
      <c r="CEN178" s="52"/>
      <c r="CEO178" s="52"/>
      <c r="CEP178" s="52"/>
      <c r="CEQ178" s="52"/>
      <c r="CER178" s="52"/>
      <c r="CES178" s="52"/>
      <c r="CET178" s="52"/>
      <c r="CEU178" s="52"/>
      <c r="CEV178" s="52"/>
      <c r="CEW178" s="52"/>
      <c r="CEX178" s="52"/>
      <c r="CEY178" s="52"/>
      <c r="CEZ178" s="52"/>
      <c r="CFA178" s="52"/>
      <c r="CFB178" s="52"/>
      <c r="CFC178" s="52"/>
      <c r="CFD178" s="52"/>
      <c r="CFE178" s="52"/>
      <c r="CFF178" s="52"/>
      <c r="CFG178" s="52"/>
      <c r="CFH178" s="52"/>
      <c r="CFI178" s="52"/>
      <c r="CFJ178" s="52"/>
      <c r="CFK178" s="52"/>
      <c r="CFL178" s="52"/>
      <c r="CFM178" s="52"/>
      <c r="CFN178" s="52"/>
      <c r="CFO178" s="52"/>
      <c r="CFP178" s="52"/>
      <c r="CFQ178" s="52"/>
      <c r="CFR178" s="52"/>
      <c r="CFS178" s="52"/>
      <c r="CFT178" s="52"/>
      <c r="CFU178" s="52"/>
      <c r="CFV178" s="52"/>
      <c r="CFW178" s="52"/>
      <c r="CFX178" s="52"/>
      <c r="CFY178" s="52"/>
      <c r="CFZ178" s="52"/>
      <c r="CGA178" s="52"/>
      <c r="CGB178" s="52"/>
      <c r="CGC178" s="52"/>
      <c r="CGD178" s="52"/>
      <c r="CGE178" s="52"/>
      <c r="CGF178" s="52"/>
      <c r="CGG178" s="52"/>
      <c r="CGH178" s="52"/>
      <c r="CGI178" s="52"/>
      <c r="CGJ178" s="52"/>
      <c r="CGK178" s="52"/>
      <c r="CGL178" s="52"/>
      <c r="CGM178" s="52"/>
      <c r="CGN178" s="52"/>
      <c r="CGO178" s="52"/>
      <c r="CGP178" s="52"/>
      <c r="CGQ178" s="52"/>
      <c r="CGR178" s="52"/>
      <c r="CGS178" s="52"/>
      <c r="CGT178" s="52"/>
      <c r="CGU178" s="52"/>
      <c r="CGV178" s="52"/>
      <c r="CGW178" s="52"/>
      <c r="CGX178" s="52"/>
      <c r="CGY178" s="52"/>
      <c r="CGZ178" s="52"/>
      <c r="CHA178" s="52"/>
      <c r="CHB178" s="52"/>
      <c r="CHC178" s="52"/>
      <c r="CHD178" s="52"/>
      <c r="CHE178" s="52"/>
      <c r="CHF178" s="52"/>
      <c r="CHG178" s="52"/>
      <c r="CHH178" s="52"/>
      <c r="CHI178" s="52"/>
      <c r="CHJ178" s="52"/>
      <c r="CHK178" s="52"/>
      <c r="CHL178" s="52"/>
      <c r="CHM178" s="52"/>
      <c r="CHN178" s="52"/>
      <c r="CHO178" s="52"/>
      <c r="CHP178" s="52"/>
      <c r="CHQ178" s="52"/>
      <c r="CHR178" s="52"/>
      <c r="CHS178" s="52"/>
      <c r="CHT178" s="52"/>
      <c r="CHU178" s="52"/>
      <c r="CHV178" s="52"/>
      <c r="CHW178" s="52"/>
      <c r="CHX178" s="52"/>
      <c r="CHY178" s="52"/>
      <c r="CHZ178" s="52"/>
      <c r="CIA178" s="52"/>
      <c r="CIB178" s="52"/>
      <c r="CIC178" s="52"/>
      <c r="CID178" s="52"/>
      <c r="CIE178" s="52"/>
      <c r="CIF178" s="52"/>
      <c r="CIG178" s="52"/>
      <c r="CIH178" s="52"/>
      <c r="CII178" s="52"/>
      <c r="CIJ178" s="52"/>
      <c r="CIK178" s="52"/>
      <c r="CIL178" s="52"/>
      <c r="CIM178" s="52"/>
      <c r="CIN178" s="52"/>
      <c r="CIO178" s="52"/>
      <c r="CIP178" s="52"/>
      <c r="CIQ178" s="52"/>
      <c r="CIR178" s="52"/>
      <c r="CIS178" s="52"/>
      <c r="CIT178" s="52"/>
      <c r="CIU178" s="52"/>
      <c r="CIV178" s="52"/>
      <c r="CIW178" s="52"/>
      <c r="CIX178" s="52"/>
      <c r="CIY178" s="52"/>
      <c r="CIZ178" s="52"/>
      <c r="CJA178" s="52"/>
      <c r="CJB178" s="52"/>
      <c r="CJC178" s="52"/>
      <c r="CJD178" s="52"/>
      <c r="CJE178" s="52"/>
      <c r="CJF178" s="52"/>
      <c r="CJG178" s="52"/>
      <c r="CJH178" s="52"/>
      <c r="CJI178" s="52"/>
      <c r="CJJ178" s="52"/>
      <c r="CJK178" s="52"/>
      <c r="CJL178" s="52"/>
      <c r="CJM178" s="52"/>
      <c r="CJN178" s="52"/>
      <c r="CJO178" s="52"/>
      <c r="CJP178" s="52"/>
      <c r="CJQ178" s="52"/>
      <c r="CJR178" s="52"/>
      <c r="CJS178" s="52"/>
      <c r="CJT178" s="52"/>
      <c r="CJU178" s="52"/>
      <c r="CJV178" s="52"/>
      <c r="CJW178" s="52"/>
      <c r="CJX178" s="52"/>
      <c r="CJY178" s="52"/>
      <c r="CJZ178" s="52"/>
      <c r="CKA178" s="52"/>
      <c r="CKB178" s="52"/>
      <c r="CKC178" s="52"/>
      <c r="CKD178" s="52"/>
      <c r="CKE178" s="52"/>
      <c r="CKF178" s="52"/>
      <c r="CKG178" s="52"/>
      <c r="CKH178" s="52"/>
      <c r="CKI178" s="52"/>
      <c r="CKJ178" s="52"/>
      <c r="CKK178" s="52"/>
      <c r="CKL178" s="52"/>
      <c r="CKM178" s="52"/>
      <c r="CKN178" s="52"/>
      <c r="CKO178" s="52"/>
      <c r="CKP178" s="52"/>
      <c r="CKQ178" s="52"/>
      <c r="CKR178" s="52"/>
      <c r="CKS178" s="52"/>
      <c r="CKT178" s="52"/>
      <c r="CKU178" s="52"/>
      <c r="CKV178" s="52"/>
      <c r="CKW178" s="52"/>
      <c r="CKX178" s="52"/>
      <c r="CKY178" s="52"/>
      <c r="CKZ178" s="52"/>
      <c r="CLA178" s="52"/>
      <c r="CLB178" s="52"/>
      <c r="CLC178" s="52"/>
      <c r="CLD178" s="52"/>
      <c r="CLE178" s="52"/>
      <c r="CLF178" s="52"/>
      <c r="CLG178" s="52"/>
      <c r="CLH178" s="52"/>
      <c r="CLI178" s="52"/>
      <c r="CLJ178" s="52"/>
      <c r="CLK178" s="52"/>
      <c r="CLL178" s="52"/>
      <c r="CLM178" s="52"/>
      <c r="CLN178" s="52"/>
      <c r="CLO178" s="52"/>
      <c r="CLP178" s="52"/>
      <c r="CLQ178" s="52"/>
      <c r="CLR178" s="52"/>
      <c r="CLS178" s="52"/>
      <c r="CLT178" s="52"/>
      <c r="CLU178" s="52"/>
      <c r="CLV178" s="52"/>
      <c r="CLW178" s="52"/>
      <c r="CLX178" s="52"/>
      <c r="CLY178" s="52"/>
      <c r="CLZ178" s="52"/>
      <c r="CMA178" s="52"/>
      <c r="CMB178" s="52"/>
      <c r="CMC178" s="52"/>
      <c r="CMD178" s="52"/>
      <c r="CME178" s="52"/>
      <c r="CMF178" s="52"/>
      <c r="CMG178" s="52"/>
      <c r="CMH178" s="52"/>
      <c r="CMI178" s="52"/>
      <c r="CMJ178" s="52"/>
      <c r="CMK178" s="52"/>
      <c r="CML178" s="52"/>
      <c r="CMM178" s="52"/>
      <c r="CMN178" s="52"/>
      <c r="CMO178" s="52"/>
      <c r="CMP178" s="52"/>
      <c r="CMQ178" s="52"/>
      <c r="CMR178" s="52"/>
      <c r="CMS178" s="52"/>
      <c r="CMT178" s="52"/>
      <c r="CMU178" s="52"/>
      <c r="CMV178" s="52"/>
      <c r="CMW178" s="52"/>
      <c r="CMX178" s="52"/>
      <c r="CMY178" s="52"/>
      <c r="CMZ178" s="52"/>
      <c r="CNA178" s="52"/>
      <c r="CNB178" s="52"/>
      <c r="CNC178" s="52"/>
      <c r="CND178" s="52"/>
      <c r="CNE178" s="52"/>
      <c r="CNF178" s="52"/>
      <c r="CNG178" s="52"/>
      <c r="CNH178" s="52"/>
      <c r="CNI178" s="52"/>
      <c r="CNJ178" s="52"/>
      <c r="CNK178" s="52"/>
      <c r="CNL178" s="52"/>
      <c r="CNM178" s="52"/>
      <c r="CNN178" s="52"/>
      <c r="CNO178" s="52"/>
      <c r="CNP178" s="52"/>
      <c r="CNQ178" s="52"/>
      <c r="CNR178" s="52"/>
      <c r="CNS178" s="52"/>
      <c r="CNT178" s="52"/>
      <c r="CNU178" s="52"/>
      <c r="CNV178" s="52"/>
      <c r="CNW178" s="52"/>
      <c r="CNX178" s="52"/>
      <c r="CNY178" s="52"/>
      <c r="CNZ178" s="52"/>
      <c r="COA178" s="52"/>
      <c r="COB178" s="52"/>
      <c r="COC178" s="52"/>
      <c r="COD178" s="52"/>
      <c r="COE178" s="52"/>
      <c r="COF178" s="52"/>
      <c r="COG178" s="52"/>
      <c r="COH178" s="52"/>
      <c r="COI178" s="52"/>
      <c r="COJ178" s="52"/>
      <c r="COK178" s="52"/>
      <c r="COL178" s="52"/>
      <c r="COM178" s="52"/>
      <c r="CON178" s="52"/>
      <c r="COO178" s="52"/>
      <c r="COP178" s="52"/>
      <c r="COQ178" s="52"/>
      <c r="COR178" s="52"/>
      <c r="COS178" s="52"/>
      <c r="COT178" s="52"/>
      <c r="COU178" s="52"/>
      <c r="COV178" s="52"/>
      <c r="COW178" s="52"/>
      <c r="COX178" s="52"/>
      <c r="COY178" s="52"/>
      <c r="COZ178" s="52"/>
      <c r="CPA178" s="52"/>
      <c r="CPB178" s="52"/>
      <c r="CPC178" s="52"/>
      <c r="CPD178" s="52"/>
      <c r="CPE178" s="52"/>
      <c r="CPF178" s="52"/>
      <c r="CPG178" s="52"/>
      <c r="CPH178" s="52"/>
      <c r="CPI178" s="52"/>
      <c r="CPJ178" s="52"/>
      <c r="CPK178" s="52"/>
      <c r="CPL178" s="52"/>
      <c r="CPM178" s="52"/>
      <c r="CPN178" s="52"/>
      <c r="CPO178" s="52"/>
      <c r="CPP178" s="52"/>
      <c r="CPQ178" s="52"/>
      <c r="CPR178" s="52"/>
      <c r="CPS178" s="52"/>
      <c r="CPT178" s="52"/>
      <c r="CPU178" s="52"/>
      <c r="CPV178" s="52"/>
      <c r="CPW178" s="52"/>
      <c r="CPX178" s="52"/>
      <c r="CPY178" s="52"/>
      <c r="CPZ178" s="52"/>
      <c r="CQA178" s="52"/>
      <c r="CQB178" s="52"/>
      <c r="CQC178" s="52"/>
      <c r="CQD178" s="52"/>
      <c r="CQE178" s="52"/>
      <c r="CQF178" s="52"/>
      <c r="CQG178" s="52"/>
      <c r="CQH178" s="52"/>
      <c r="CQI178" s="52"/>
      <c r="CQJ178" s="52"/>
      <c r="CQK178" s="52"/>
      <c r="CQL178" s="52"/>
      <c r="CQM178" s="52"/>
      <c r="CQN178" s="52"/>
      <c r="CQO178" s="52"/>
      <c r="CQP178" s="52"/>
      <c r="CQQ178" s="52"/>
      <c r="CQR178" s="52"/>
      <c r="CQS178" s="52"/>
      <c r="CQT178" s="52"/>
      <c r="CQU178" s="52"/>
      <c r="CQV178" s="52"/>
      <c r="CQW178" s="52"/>
      <c r="CQX178" s="52"/>
      <c r="CQY178" s="52"/>
      <c r="CQZ178" s="52"/>
      <c r="CRA178" s="52"/>
      <c r="CRB178" s="52"/>
      <c r="CRC178" s="52"/>
      <c r="CRD178" s="52"/>
      <c r="CRE178" s="52"/>
      <c r="CRF178" s="52"/>
      <c r="CRG178" s="52"/>
      <c r="CRH178" s="52"/>
      <c r="CRI178" s="52"/>
      <c r="CRJ178" s="52"/>
      <c r="CRK178" s="52"/>
      <c r="CRL178" s="52"/>
      <c r="CRM178" s="52"/>
      <c r="CRN178" s="52"/>
      <c r="CRO178" s="52"/>
      <c r="CRP178" s="52"/>
      <c r="CRQ178" s="52"/>
      <c r="CRR178" s="52"/>
      <c r="CRS178" s="52"/>
      <c r="CRT178" s="52"/>
      <c r="CRU178" s="52"/>
      <c r="CRV178" s="52"/>
      <c r="CRW178" s="52"/>
      <c r="CRX178" s="52"/>
      <c r="CRY178" s="52"/>
      <c r="CRZ178" s="52"/>
      <c r="CSA178" s="52"/>
      <c r="CSB178" s="52"/>
      <c r="CSC178" s="52"/>
      <c r="CSD178" s="52"/>
      <c r="CSE178" s="52"/>
      <c r="CSF178" s="52"/>
      <c r="CSG178" s="52"/>
      <c r="CSH178" s="52"/>
      <c r="CSI178" s="52"/>
      <c r="CSJ178" s="52"/>
      <c r="CSK178" s="52"/>
      <c r="CSL178" s="52"/>
      <c r="CSM178" s="52"/>
      <c r="CSN178" s="52"/>
      <c r="CSO178" s="52"/>
      <c r="CSP178" s="52"/>
      <c r="CSQ178" s="52"/>
      <c r="CSR178" s="52"/>
      <c r="CSS178" s="52"/>
      <c r="CST178" s="52"/>
      <c r="CSU178" s="52"/>
      <c r="CSV178" s="52"/>
      <c r="CSW178" s="52"/>
      <c r="CSX178" s="52"/>
      <c r="CSY178" s="52"/>
      <c r="CSZ178" s="52"/>
      <c r="CTA178" s="52"/>
      <c r="CTB178" s="52"/>
      <c r="CTC178" s="52"/>
      <c r="CTD178" s="52"/>
      <c r="CTE178" s="52"/>
      <c r="CTF178" s="52"/>
      <c r="CTG178" s="52"/>
      <c r="CTH178" s="52"/>
      <c r="CTI178" s="52"/>
      <c r="CTJ178" s="52"/>
      <c r="CTK178" s="52"/>
      <c r="CTL178" s="52"/>
      <c r="CTM178" s="52"/>
      <c r="CTN178" s="52"/>
      <c r="CTO178" s="52"/>
      <c r="CTP178" s="52"/>
      <c r="CTQ178" s="52"/>
      <c r="CTR178" s="52"/>
      <c r="CTS178" s="52"/>
      <c r="CTT178" s="52"/>
      <c r="CTU178" s="52"/>
      <c r="CTV178" s="52"/>
      <c r="CTW178" s="52"/>
      <c r="CTX178" s="52"/>
      <c r="CTY178" s="52"/>
      <c r="CTZ178" s="52"/>
      <c r="CUA178" s="52"/>
      <c r="CUB178" s="52"/>
      <c r="CUC178" s="52"/>
      <c r="CUD178" s="52"/>
      <c r="CUE178" s="52"/>
      <c r="CUF178" s="52"/>
      <c r="CUG178" s="52"/>
      <c r="CUH178" s="52"/>
      <c r="CUI178" s="52"/>
      <c r="CUJ178" s="52"/>
      <c r="CUK178" s="52"/>
      <c r="CUL178" s="52"/>
      <c r="CUM178" s="52"/>
      <c r="CUN178" s="52"/>
      <c r="CUO178" s="52"/>
      <c r="CUP178" s="52"/>
      <c r="CUQ178" s="52"/>
      <c r="CUR178" s="52"/>
      <c r="CUS178" s="52"/>
      <c r="CUT178" s="52"/>
      <c r="CUU178" s="52"/>
      <c r="CUV178" s="52"/>
      <c r="CUW178" s="52"/>
      <c r="CUX178" s="52"/>
      <c r="CUY178" s="52"/>
      <c r="CUZ178" s="52"/>
      <c r="CVA178" s="52"/>
      <c r="CVB178" s="52"/>
      <c r="CVC178" s="52"/>
      <c r="CVD178" s="52"/>
      <c r="CVE178" s="52"/>
      <c r="CVF178" s="52"/>
      <c r="CVG178" s="52"/>
      <c r="CVH178" s="52"/>
      <c r="CVI178" s="52"/>
      <c r="CVJ178" s="52"/>
      <c r="CVK178" s="52"/>
      <c r="CVL178" s="52"/>
      <c r="CVM178" s="52"/>
      <c r="CVN178" s="52"/>
      <c r="CVO178" s="52"/>
      <c r="CVP178" s="52"/>
      <c r="CVQ178" s="52"/>
      <c r="CVR178" s="52"/>
      <c r="CVS178" s="52"/>
      <c r="CVT178" s="52"/>
      <c r="CVU178" s="52"/>
      <c r="CVV178" s="52"/>
      <c r="CVW178" s="52"/>
      <c r="CVX178" s="52"/>
      <c r="CVY178" s="52"/>
      <c r="CVZ178" s="52"/>
      <c r="CWA178" s="52"/>
      <c r="CWB178" s="52"/>
      <c r="CWC178" s="52"/>
      <c r="CWD178" s="52"/>
      <c r="CWE178" s="52"/>
      <c r="CWF178" s="52"/>
      <c r="CWG178" s="52"/>
      <c r="CWH178" s="52"/>
      <c r="CWI178" s="52"/>
      <c r="CWJ178" s="52"/>
      <c r="CWK178" s="52"/>
      <c r="CWL178" s="52"/>
      <c r="CWM178" s="52"/>
      <c r="CWN178" s="52"/>
      <c r="CWO178" s="52"/>
      <c r="CWP178" s="52"/>
      <c r="CWQ178" s="52"/>
      <c r="CWR178" s="52"/>
      <c r="CWS178" s="52"/>
      <c r="CWT178" s="52"/>
      <c r="CWU178" s="52"/>
      <c r="CWV178" s="52"/>
      <c r="CWW178" s="52"/>
      <c r="CWX178" s="52"/>
      <c r="CWY178" s="52"/>
      <c r="CWZ178" s="52"/>
      <c r="CXA178" s="52"/>
      <c r="CXB178" s="52"/>
      <c r="CXC178" s="52"/>
      <c r="CXD178" s="52"/>
      <c r="CXE178" s="52"/>
      <c r="CXF178" s="52"/>
      <c r="CXG178" s="52"/>
      <c r="CXH178" s="52"/>
      <c r="CXI178" s="52"/>
      <c r="CXJ178" s="52"/>
      <c r="CXK178" s="52"/>
      <c r="CXL178" s="52"/>
      <c r="CXM178" s="52"/>
      <c r="CXN178" s="52"/>
      <c r="CXO178" s="52"/>
      <c r="CXP178" s="52"/>
      <c r="CXQ178" s="52"/>
      <c r="CXR178" s="52"/>
      <c r="CXS178" s="52"/>
      <c r="CXT178" s="52"/>
      <c r="CXU178" s="52"/>
      <c r="CXV178" s="52"/>
      <c r="CXW178" s="52"/>
      <c r="CXX178" s="52"/>
      <c r="CXY178" s="52"/>
      <c r="CXZ178" s="52"/>
      <c r="CYA178" s="52"/>
      <c r="CYB178" s="52"/>
      <c r="CYC178" s="52"/>
      <c r="CYD178" s="52"/>
      <c r="CYE178" s="52"/>
      <c r="CYF178" s="52"/>
      <c r="CYG178" s="52"/>
      <c r="CYH178" s="52"/>
      <c r="CYI178" s="52"/>
      <c r="CYJ178" s="52"/>
      <c r="CYK178" s="52"/>
      <c r="CYL178" s="52"/>
      <c r="CYM178" s="52"/>
      <c r="CYN178" s="52"/>
      <c r="CYO178" s="52"/>
      <c r="CYP178" s="52"/>
      <c r="CYQ178" s="52"/>
      <c r="CYR178" s="52"/>
      <c r="CYS178" s="52"/>
      <c r="CYT178" s="52"/>
      <c r="CYU178" s="52"/>
      <c r="CYV178" s="52"/>
      <c r="CYW178" s="52"/>
      <c r="CYX178" s="52"/>
      <c r="CYY178" s="52"/>
      <c r="CYZ178" s="52"/>
      <c r="CZA178" s="52"/>
      <c r="CZB178" s="52"/>
      <c r="CZC178" s="52"/>
      <c r="CZD178" s="52"/>
      <c r="CZE178" s="52"/>
      <c r="CZF178" s="52"/>
      <c r="CZG178" s="52"/>
      <c r="CZH178" s="52"/>
      <c r="CZI178" s="52"/>
      <c r="CZJ178" s="52"/>
      <c r="CZK178" s="52"/>
      <c r="CZL178" s="52"/>
      <c r="CZM178" s="52"/>
      <c r="CZN178" s="52"/>
      <c r="CZO178" s="52"/>
      <c r="CZP178" s="52"/>
      <c r="CZQ178" s="52"/>
      <c r="CZR178" s="52"/>
      <c r="CZS178" s="52"/>
      <c r="CZT178" s="52"/>
      <c r="CZU178" s="52"/>
      <c r="CZV178" s="52"/>
      <c r="CZW178" s="52"/>
      <c r="CZX178" s="52"/>
      <c r="CZY178" s="52"/>
      <c r="CZZ178" s="52"/>
      <c r="DAA178" s="52"/>
      <c r="DAB178" s="52"/>
      <c r="DAC178" s="52"/>
      <c r="DAD178" s="52"/>
      <c r="DAE178" s="52"/>
      <c r="DAF178" s="52"/>
      <c r="DAG178" s="52"/>
      <c r="DAH178" s="52"/>
      <c r="DAI178" s="52"/>
      <c r="DAJ178" s="52"/>
      <c r="DAK178" s="52"/>
      <c r="DAL178" s="52"/>
      <c r="DAM178" s="52"/>
      <c r="DAN178" s="52"/>
      <c r="DAO178" s="52"/>
      <c r="DAP178" s="52"/>
      <c r="DAQ178" s="52"/>
      <c r="DAR178" s="52"/>
      <c r="DAS178" s="52"/>
      <c r="DAT178" s="52"/>
      <c r="DAU178" s="52"/>
      <c r="DAV178" s="52"/>
      <c r="DAW178" s="52"/>
      <c r="DAX178" s="52"/>
      <c r="DAY178" s="52"/>
      <c r="DAZ178" s="52"/>
      <c r="DBA178" s="52"/>
      <c r="DBB178" s="52"/>
      <c r="DBC178" s="52"/>
      <c r="DBD178" s="52"/>
      <c r="DBE178" s="52"/>
      <c r="DBF178" s="52"/>
      <c r="DBG178" s="52"/>
      <c r="DBH178" s="52"/>
      <c r="DBI178" s="52"/>
      <c r="DBJ178" s="52"/>
      <c r="DBK178" s="52"/>
      <c r="DBL178" s="52"/>
      <c r="DBM178" s="52"/>
      <c r="DBN178" s="52"/>
      <c r="DBO178" s="52"/>
      <c r="DBP178" s="52"/>
      <c r="DBQ178" s="52"/>
      <c r="DBR178" s="52"/>
      <c r="DBS178" s="52"/>
      <c r="DBT178" s="52"/>
      <c r="DBU178" s="52"/>
      <c r="DBV178" s="52"/>
      <c r="DBW178" s="52"/>
      <c r="DBX178" s="52"/>
      <c r="DBY178" s="52"/>
      <c r="DBZ178" s="52"/>
      <c r="DCA178" s="52"/>
      <c r="DCB178" s="52"/>
      <c r="DCC178" s="52"/>
      <c r="DCD178" s="52"/>
      <c r="DCE178" s="52"/>
      <c r="DCF178" s="52"/>
      <c r="DCG178" s="52"/>
      <c r="DCH178" s="52"/>
      <c r="DCI178" s="52"/>
      <c r="DCJ178" s="52"/>
      <c r="DCK178" s="52"/>
      <c r="DCL178" s="52"/>
      <c r="DCM178" s="52"/>
      <c r="DCN178" s="52"/>
      <c r="DCO178" s="52"/>
      <c r="DCP178" s="52"/>
      <c r="DCQ178" s="52"/>
      <c r="DCR178" s="52"/>
      <c r="DCS178" s="52"/>
      <c r="DCT178" s="52"/>
      <c r="DCU178" s="52"/>
      <c r="DCV178" s="52"/>
      <c r="DCW178" s="52"/>
      <c r="DCX178" s="52"/>
      <c r="DCY178" s="52"/>
      <c r="DCZ178" s="52"/>
      <c r="DDA178" s="52"/>
      <c r="DDB178" s="52"/>
      <c r="DDC178" s="52"/>
      <c r="DDD178" s="52"/>
      <c r="DDE178" s="52"/>
      <c r="DDF178" s="52"/>
      <c r="DDG178" s="52"/>
      <c r="DDH178" s="52"/>
      <c r="DDI178" s="52"/>
      <c r="DDJ178" s="52"/>
      <c r="DDK178" s="52"/>
      <c r="DDL178" s="52"/>
      <c r="DDM178" s="52"/>
      <c r="DDN178" s="52"/>
      <c r="DDO178" s="52"/>
      <c r="DDP178" s="52"/>
      <c r="DDQ178" s="52"/>
      <c r="DDR178" s="52"/>
      <c r="DDS178" s="52"/>
      <c r="DDT178" s="52"/>
      <c r="DDU178" s="52"/>
      <c r="DDV178" s="52"/>
      <c r="DDW178" s="52"/>
      <c r="DDX178" s="52"/>
      <c r="DDY178" s="52"/>
      <c r="DDZ178" s="52"/>
      <c r="DEA178" s="52"/>
      <c r="DEB178" s="52"/>
      <c r="DEC178" s="52"/>
      <c r="DED178" s="52"/>
      <c r="DEE178" s="52"/>
      <c r="DEF178" s="52"/>
      <c r="DEG178" s="52"/>
      <c r="DEH178" s="52"/>
      <c r="DEI178" s="52"/>
      <c r="DEJ178" s="52"/>
      <c r="DEK178" s="52"/>
      <c r="DEL178" s="52"/>
      <c r="DEM178" s="52"/>
      <c r="DEN178" s="52"/>
      <c r="DEO178" s="52"/>
      <c r="DEP178" s="52"/>
      <c r="DEQ178" s="52"/>
      <c r="DER178" s="52"/>
      <c r="DES178" s="52"/>
      <c r="DET178" s="52"/>
      <c r="DEU178" s="52"/>
      <c r="DEV178" s="52"/>
      <c r="DEW178" s="52"/>
      <c r="DEX178" s="52"/>
      <c r="DEY178" s="52"/>
      <c r="DEZ178" s="52"/>
      <c r="DFA178" s="52"/>
      <c r="DFB178" s="52"/>
      <c r="DFC178" s="52"/>
      <c r="DFD178" s="52"/>
      <c r="DFE178" s="52"/>
      <c r="DFF178" s="52"/>
      <c r="DFG178" s="52"/>
      <c r="DFH178" s="52"/>
      <c r="DFI178" s="52"/>
      <c r="DFJ178" s="52"/>
      <c r="DFK178" s="52"/>
      <c r="DFL178" s="52"/>
      <c r="DFM178" s="52"/>
      <c r="DFN178" s="52"/>
      <c r="DFO178" s="52"/>
      <c r="DFP178" s="52"/>
      <c r="DFQ178" s="52"/>
      <c r="DFR178" s="52"/>
      <c r="DFS178" s="52"/>
      <c r="DFT178" s="52"/>
      <c r="DFU178" s="52"/>
      <c r="DFV178" s="52"/>
      <c r="DFW178" s="52"/>
      <c r="DFX178" s="52"/>
      <c r="DFY178" s="52"/>
      <c r="DFZ178" s="52"/>
      <c r="DGA178" s="52"/>
      <c r="DGB178" s="52"/>
      <c r="DGC178" s="52"/>
      <c r="DGD178" s="52"/>
      <c r="DGE178" s="52"/>
      <c r="DGF178" s="52"/>
      <c r="DGG178" s="52"/>
      <c r="DGH178" s="52"/>
      <c r="DGI178" s="52"/>
      <c r="DGJ178" s="52"/>
      <c r="DGK178" s="52"/>
      <c r="DGL178" s="52"/>
      <c r="DGM178" s="52"/>
      <c r="DGN178" s="52"/>
      <c r="DGO178" s="52"/>
      <c r="DGP178" s="52"/>
      <c r="DGQ178" s="52"/>
      <c r="DGR178" s="52"/>
      <c r="DGS178" s="52"/>
      <c r="DGT178" s="52"/>
      <c r="DGU178" s="52"/>
      <c r="DGV178" s="52"/>
      <c r="DGW178" s="52"/>
      <c r="DGX178" s="52"/>
      <c r="DGY178" s="52"/>
      <c r="DGZ178" s="52"/>
      <c r="DHA178" s="52"/>
      <c r="DHB178" s="52"/>
      <c r="DHC178" s="52"/>
      <c r="DHD178" s="52"/>
      <c r="DHE178" s="52"/>
      <c r="DHF178" s="52"/>
      <c r="DHG178" s="52"/>
      <c r="DHH178" s="52"/>
      <c r="DHI178" s="52"/>
      <c r="DHJ178" s="52"/>
      <c r="DHK178" s="52"/>
      <c r="DHL178" s="52"/>
      <c r="DHM178" s="52"/>
      <c r="DHN178" s="52"/>
      <c r="DHO178" s="52"/>
      <c r="DHP178" s="52"/>
      <c r="DHQ178" s="52"/>
      <c r="DHR178" s="52"/>
      <c r="DHS178" s="52"/>
      <c r="DHT178" s="52"/>
      <c r="DHU178" s="52"/>
      <c r="DHV178" s="52"/>
      <c r="DHW178" s="52"/>
      <c r="DHX178" s="52"/>
      <c r="DHY178" s="52"/>
      <c r="DHZ178" s="52"/>
      <c r="DIA178" s="52"/>
      <c r="DIB178" s="52"/>
      <c r="DIC178" s="52"/>
      <c r="DID178" s="52"/>
      <c r="DIE178" s="52"/>
      <c r="DIF178" s="52"/>
      <c r="DIG178" s="52"/>
      <c r="DIH178" s="52"/>
      <c r="DII178" s="52"/>
      <c r="DIJ178" s="52"/>
      <c r="DIK178" s="52"/>
      <c r="DIL178" s="52"/>
      <c r="DIM178" s="52"/>
      <c r="DIN178" s="52"/>
      <c r="DIO178" s="52"/>
      <c r="DIP178" s="52"/>
      <c r="DIQ178" s="52"/>
      <c r="DIR178" s="52"/>
      <c r="DIS178" s="52"/>
      <c r="DIT178" s="52"/>
      <c r="DIU178" s="52"/>
      <c r="DIV178" s="52"/>
      <c r="DIW178" s="52"/>
      <c r="DIX178" s="52"/>
      <c r="DIY178" s="52"/>
      <c r="DIZ178" s="52"/>
      <c r="DJA178" s="52"/>
      <c r="DJB178" s="52"/>
      <c r="DJC178" s="52"/>
      <c r="DJD178" s="52"/>
      <c r="DJE178" s="52"/>
      <c r="DJF178" s="52"/>
      <c r="DJG178" s="52"/>
      <c r="DJH178" s="52"/>
      <c r="DJI178" s="52"/>
      <c r="DJJ178" s="52"/>
      <c r="DJK178" s="52"/>
      <c r="DJL178" s="52"/>
      <c r="DJM178" s="52"/>
      <c r="DJN178" s="52"/>
      <c r="DJO178" s="52"/>
      <c r="DJP178" s="52"/>
      <c r="DJQ178" s="52"/>
      <c r="DJR178" s="52"/>
      <c r="DJS178" s="52"/>
      <c r="DJT178" s="52"/>
      <c r="DJU178" s="52"/>
      <c r="DJV178" s="52"/>
      <c r="DJW178" s="52"/>
      <c r="DJX178" s="52"/>
      <c r="DJY178" s="52"/>
      <c r="DJZ178" s="52"/>
      <c r="DKA178" s="52"/>
      <c r="DKB178" s="52"/>
      <c r="DKC178" s="52"/>
      <c r="DKD178" s="52"/>
      <c r="DKE178" s="52"/>
      <c r="DKF178" s="52"/>
      <c r="DKG178" s="52"/>
      <c r="DKH178" s="52"/>
      <c r="DKI178" s="52"/>
      <c r="DKJ178" s="52"/>
      <c r="DKK178" s="52"/>
      <c r="DKL178" s="52"/>
      <c r="DKM178" s="52"/>
      <c r="DKN178" s="52"/>
      <c r="DKO178" s="52"/>
      <c r="DKP178" s="52"/>
      <c r="DKQ178" s="52"/>
      <c r="DKR178" s="52"/>
      <c r="DKS178" s="52"/>
      <c r="DKT178" s="52"/>
      <c r="DKU178" s="52"/>
      <c r="DKV178" s="52"/>
      <c r="DKW178" s="52"/>
      <c r="DKX178" s="52"/>
      <c r="DKY178" s="52"/>
      <c r="DKZ178" s="52"/>
      <c r="DLA178" s="52"/>
      <c r="DLB178" s="52"/>
      <c r="DLC178" s="52"/>
      <c r="DLD178" s="52"/>
      <c r="DLE178" s="52"/>
      <c r="DLF178" s="52"/>
      <c r="DLG178" s="52"/>
      <c r="DLH178" s="52"/>
      <c r="DLI178" s="52"/>
      <c r="DLJ178" s="52"/>
      <c r="DLK178" s="52"/>
      <c r="DLL178" s="52"/>
      <c r="DLM178" s="52"/>
      <c r="DLN178" s="52"/>
      <c r="DLO178" s="52"/>
      <c r="DLP178" s="52"/>
      <c r="DLQ178" s="52"/>
      <c r="DLR178" s="52"/>
      <c r="DLS178" s="52"/>
      <c r="DLT178" s="52"/>
      <c r="DLU178" s="52"/>
      <c r="DLV178" s="52"/>
      <c r="DLW178" s="52"/>
      <c r="DLX178" s="52"/>
      <c r="DLY178" s="52"/>
      <c r="DLZ178" s="52"/>
      <c r="DMA178" s="52"/>
      <c r="DMB178" s="52"/>
      <c r="DMC178" s="52"/>
      <c r="DMD178" s="52"/>
      <c r="DME178" s="52"/>
      <c r="DMF178" s="52"/>
      <c r="DMG178" s="52"/>
      <c r="DMH178" s="52"/>
      <c r="DMI178" s="52"/>
      <c r="DMJ178" s="52"/>
      <c r="DMK178" s="52"/>
      <c r="DML178" s="52"/>
      <c r="DMM178" s="52"/>
      <c r="DMN178" s="52"/>
      <c r="DMO178" s="52"/>
      <c r="DMP178" s="52"/>
      <c r="DMQ178" s="52"/>
      <c r="DMR178" s="52"/>
      <c r="DMS178" s="52"/>
      <c r="DMT178" s="52"/>
      <c r="DMU178" s="52"/>
      <c r="DMV178" s="52"/>
      <c r="DMW178" s="52"/>
      <c r="DMX178" s="52"/>
      <c r="DMY178" s="52"/>
      <c r="DMZ178" s="52"/>
      <c r="DNA178" s="52"/>
      <c r="DNB178" s="52"/>
      <c r="DNC178" s="52"/>
      <c r="DND178" s="52"/>
      <c r="DNE178" s="52"/>
      <c r="DNF178" s="52"/>
      <c r="DNG178" s="52"/>
      <c r="DNH178" s="52"/>
      <c r="DNI178" s="52"/>
      <c r="DNJ178" s="52"/>
      <c r="DNK178" s="52"/>
      <c r="DNL178" s="52"/>
      <c r="DNM178" s="52"/>
      <c r="DNN178" s="52"/>
      <c r="DNO178" s="52"/>
      <c r="DNP178" s="52"/>
      <c r="DNQ178" s="52"/>
      <c r="DNR178" s="52"/>
      <c r="DNS178" s="52"/>
      <c r="DNT178" s="52"/>
      <c r="DNU178" s="52"/>
      <c r="DNV178" s="52"/>
      <c r="DNW178" s="52"/>
      <c r="DNX178" s="52"/>
      <c r="DNY178" s="52"/>
      <c r="DNZ178" s="52"/>
      <c r="DOA178" s="52"/>
      <c r="DOB178" s="52"/>
      <c r="DOC178" s="52"/>
      <c r="DOD178" s="52"/>
      <c r="DOE178" s="52"/>
      <c r="DOF178" s="52"/>
      <c r="DOG178" s="52"/>
      <c r="DOH178" s="52"/>
      <c r="DOI178" s="52"/>
      <c r="DOJ178" s="52"/>
      <c r="DOK178" s="52"/>
      <c r="DOL178" s="52"/>
      <c r="DOM178" s="52"/>
      <c r="DON178" s="52"/>
      <c r="DOO178" s="52"/>
      <c r="DOP178" s="52"/>
      <c r="DOQ178" s="52"/>
      <c r="DOR178" s="52"/>
      <c r="DOS178" s="52"/>
      <c r="DOT178" s="52"/>
      <c r="DOU178" s="52"/>
      <c r="DOV178" s="52"/>
      <c r="DOW178" s="52"/>
      <c r="DOX178" s="52"/>
      <c r="DOY178" s="52"/>
      <c r="DOZ178" s="52"/>
      <c r="DPA178" s="52"/>
      <c r="DPB178" s="52"/>
      <c r="DPC178" s="52"/>
      <c r="DPD178" s="52"/>
      <c r="DPE178" s="52"/>
      <c r="DPF178" s="52"/>
      <c r="DPG178" s="52"/>
      <c r="DPH178" s="52"/>
      <c r="DPI178" s="52"/>
      <c r="DPJ178" s="52"/>
      <c r="DPK178" s="52"/>
      <c r="DPL178" s="52"/>
      <c r="DPM178" s="52"/>
      <c r="DPN178" s="52"/>
      <c r="DPO178" s="52"/>
      <c r="DPP178" s="52"/>
      <c r="DPQ178" s="52"/>
      <c r="DPR178" s="52"/>
      <c r="DPS178" s="52"/>
      <c r="DPT178" s="52"/>
      <c r="DPU178" s="52"/>
      <c r="DPV178" s="52"/>
      <c r="DPW178" s="52"/>
      <c r="DPX178" s="52"/>
      <c r="DPY178" s="52"/>
      <c r="DPZ178" s="52"/>
      <c r="DQA178" s="52"/>
      <c r="DQB178" s="52"/>
      <c r="DQC178" s="52"/>
      <c r="DQD178" s="52"/>
      <c r="DQE178" s="52"/>
      <c r="DQF178" s="52"/>
      <c r="DQG178" s="52"/>
      <c r="DQH178" s="52"/>
      <c r="DQI178" s="52"/>
      <c r="DQJ178" s="52"/>
      <c r="DQK178" s="52"/>
      <c r="DQL178" s="52"/>
      <c r="DQM178" s="52"/>
      <c r="DQN178" s="52"/>
      <c r="DQO178" s="52"/>
      <c r="DQP178" s="52"/>
      <c r="DQQ178" s="52"/>
      <c r="DQR178" s="52"/>
      <c r="DQS178" s="52"/>
      <c r="DQT178" s="52"/>
      <c r="DQU178" s="52"/>
      <c r="DQV178" s="52"/>
      <c r="DQW178" s="52"/>
      <c r="DQX178" s="52"/>
      <c r="DQY178" s="52"/>
      <c r="DQZ178" s="52"/>
      <c r="DRA178" s="52"/>
      <c r="DRB178" s="52"/>
      <c r="DRC178" s="52"/>
      <c r="DRD178" s="52"/>
      <c r="DRE178" s="52"/>
      <c r="DRF178" s="52"/>
      <c r="DRG178" s="52"/>
      <c r="DRH178" s="52"/>
      <c r="DRI178" s="52"/>
      <c r="DRJ178" s="52"/>
      <c r="DRK178" s="52"/>
      <c r="DRL178" s="52"/>
      <c r="DRM178" s="52"/>
      <c r="DRN178" s="52"/>
      <c r="DRO178" s="52"/>
      <c r="DRP178" s="52"/>
      <c r="DRQ178" s="52"/>
      <c r="DRR178" s="52"/>
      <c r="DRS178" s="52"/>
      <c r="DRT178" s="52"/>
      <c r="DRU178" s="52"/>
      <c r="DRV178" s="52"/>
      <c r="DRW178" s="52"/>
      <c r="DRX178" s="52"/>
      <c r="DRY178" s="52"/>
      <c r="DRZ178" s="52"/>
      <c r="DSA178" s="52"/>
      <c r="DSB178" s="52"/>
      <c r="DSC178" s="52"/>
      <c r="DSD178" s="52"/>
      <c r="DSE178" s="52"/>
      <c r="DSF178" s="52"/>
      <c r="DSG178" s="52"/>
      <c r="DSH178" s="52"/>
      <c r="DSI178" s="52"/>
      <c r="DSJ178" s="52"/>
      <c r="DSK178" s="52"/>
      <c r="DSL178" s="52"/>
      <c r="DSM178" s="52"/>
      <c r="DSN178" s="52"/>
      <c r="DSO178" s="52"/>
      <c r="DSP178" s="52"/>
      <c r="DSQ178" s="52"/>
      <c r="DSR178" s="52"/>
      <c r="DSS178" s="52"/>
      <c r="DST178" s="52"/>
      <c r="DSU178" s="52"/>
      <c r="DSV178" s="52"/>
      <c r="DSW178" s="52"/>
      <c r="DSX178" s="52"/>
      <c r="DSY178" s="52"/>
      <c r="DSZ178" s="52"/>
      <c r="DTA178" s="52"/>
      <c r="DTB178" s="52"/>
      <c r="DTC178" s="52"/>
      <c r="DTD178" s="52"/>
      <c r="DTE178" s="52"/>
      <c r="DTF178" s="52"/>
      <c r="DTG178" s="52"/>
      <c r="DTH178" s="52"/>
      <c r="DTI178" s="52"/>
      <c r="DTJ178" s="52"/>
      <c r="DTK178" s="52"/>
      <c r="DTL178" s="52"/>
      <c r="DTM178" s="52"/>
      <c r="DTN178" s="52"/>
      <c r="DTO178" s="52"/>
      <c r="DTP178" s="52"/>
      <c r="DTQ178" s="52"/>
      <c r="DTR178" s="52"/>
      <c r="DTS178" s="52"/>
      <c r="DTT178" s="52"/>
      <c r="DTU178" s="52"/>
      <c r="DTV178" s="52"/>
      <c r="DTW178" s="52"/>
      <c r="DTX178" s="52"/>
      <c r="DTY178" s="52"/>
      <c r="DTZ178" s="52"/>
      <c r="DUA178" s="52"/>
      <c r="DUB178" s="52"/>
      <c r="DUC178" s="52"/>
      <c r="DUD178" s="52"/>
      <c r="DUE178" s="52"/>
      <c r="DUF178" s="52"/>
      <c r="DUG178" s="52"/>
      <c r="DUH178" s="52"/>
      <c r="DUI178" s="52"/>
      <c r="DUJ178" s="52"/>
      <c r="DUK178" s="52"/>
      <c r="DUL178" s="52"/>
      <c r="DUM178" s="52"/>
      <c r="DUN178" s="52"/>
      <c r="DUO178" s="52"/>
      <c r="DUP178" s="52"/>
      <c r="DUQ178" s="52"/>
      <c r="DUR178" s="52"/>
      <c r="DUS178" s="52"/>
      <c r="DUT178" s="52"/>
      <c r="DUU178" s="52"/>
      <c r="DUV178" s="52"/>
      <c r="DUW178" s="52"/>
      <c r="DUX178" s="52"/>
      <c r="DUY178" s="52"/>
      <c r="DUZ178" s="52"/>
      <c r="DVA178" s="52"/>
      <c r="DVB178" s="52"/>
      <c r="DVC178" s="52"/>
      <c r="DVD178" s="52"/>
      <c r="DVE178" s="52"/>
      <c r="DVF178" s="52"/>
      <c r="DVG178" s="52"/>
      <c r="DVH178" s="52"/>
      <c r="DVI178" s="52"/>
      <c r="DVJ178" s="52"/>
      <c r="DVK178" s="52"/>
      <c r="DVL178" s="52"/>
      <c r="DVM178" s="52"/>
      <c r="DVN178" s="52"/>
      <c r="DVO178" s="52"/>
      <c r="DVP178" s="52"/>
      <c r="DVQ178" s="52"/>
      <c r="DVR178" s="52"/>
      <c r="DVS178" s="52"/>
      <c r="DVT178" s="52"/>
      <c r="DVU178" s="52"/>
      <c r="DVV178" s="52"/>
      <c r="DVW178" s="52"/>
      <c r="DVX178" s="52"/>
      <c r="DVY178" s="52"/>
      <c r="DVZ178" s="52"/>
      <c r="DWA178" s="52"/>
      <c r="DWB178" s="52"/>
      <c r="DWC178" s="52"/>
      <c r="DWD178" s="52"/>
      <c r="DWE178" s="52"/>
      <c r="DWF178" s="52"/>
      <c r="DWG178" s="52"/>
      <c r="DWH178" s="52"/>
      <c r="DWI178" s="52"/>
      <c r="DWJ178" s="52"/>
      <c r="DWK178" s="52"/>
      <c r="DWL178" s="52"/>
      <c r="DWM178" s="52"/>
      <c r="DWN178" s="52"/>
      <c r="DWO178" s="52"/>
      <c r="DWP178" s="52"/>
      <c r="DWQ178" s="52"/>
      <c r="DWR178" s="52"/>
      <c r="DWS178" s="52"/>
      <c r="DWT178" s="52"/>
      <c r="DWU178" s="52"/>
      <c r="DWV178" s="52"/>
      <c r="DWW178" s="52"/>
      <c r="DWX178" s="52"/>
      <c r="DWY178" s="52"/>
      <c r="DWZ178" s="52"/>
      <c r="DXA178" s="52"/>
      <c r="DXB178" s="52"/>
      <c r="DXC178" s="52"/>
      <c r="DXD178" s="52"/>
      <c r="DXE178" s="52"/>
      <c r="DXF178" s="52"/>
      <c r="DXG178" s="52"/>
      <c r="DXH178" s="52"/>
      <c r="DXI178" s="52"/>
      <c r="DXJ178" s="52"/>
      <c r="DXK178" s="52"/>
      <c r="DXL178" s="52"/>
      <c r="DXM178" s="52"/>
      <c r="DXN178" s="52"/>
      <c r="DXO178" s="52"/>
      <c r="DXP178" s="52"/>
      <c r="DXQ178" s="52"/>
      <c r="DXR178" s="52"/>
      <c r="DXS178" s="52"/>
      <c r="DXT178" s="52"/>
      <c r="DXU178" s="52"/>
      <c r="DXV178" s="52"/>
      <c r="DXW178" s="52"/>
      <c r="DXX178" s="52"/>
      <c r="DXY178" s="52"/>
      <c r="DXZ178" s="52"/>
      <c r="DYA178" s="52"/>
      <c r="DYB178" s="52"/>
      <c r="DYC178" s="52"/>
      <c r="DYD178" s="52"/>
      <c r="DYE178" s="52"/>
      <c r="DYF178" s="52"/>
      <c r="DYG178" s="52"/>
      <c r="DYH178" s="52"/>
      <c r="DYI178" s="52"/>
      <c r="DYJ178" s="52"/>
      <c r="DYK178" s="52"/>
      <c r="DYL178" s="52"/>
      <c r="DYM178" s="52"/>
      <c r="DYN178" s="52"/>
      <c r="DYO178" s="52"/>
      <c r="DYP178" s="52"/>
      <c r="DYQ178" s="52"/>
      <c r="DYR178" s="52"/>
      <c r="DYS178" s="52"/>
      <c r="DYT178" s="52"/>
      <c r="DYU178" s="52"/>
      <c r="DYV178" s="52"/>
      <c r="DYW178" s="52"/>
      <c r="DYX178" s="52"/>
      <c r="DYY178" s="52"/>
      <c r="DYZ178" s="52"/>
      <c r="DZA178" s="52"/>
      <c r="DZB178" s="52"/>
      <c r="DZC178" s="52"/>
      <c r="DZD178" s="52"/>
      <c r="DZE178" s="52"/>
      <c r="DZF178" s="52"/>
      <c r="DZG178" s="52"/>
      <c r="DZH178" s="52"/>
      <c r="DZI178" s="52"/>
      <c r="DZJ178" s="52"/>
      <c r="DZK178" s="52"/>
      <c r="DZL178" s="52"/>
      <c r="DZM178" s="52"/>
      <c r="DZN178" s="52"/>
      <c r="DZO178" s="52"/>
      <c r="DZP178" s="52"/>
      <c r="DZQ178" s="52"/>
      <c r="DZR178" s="52"/>
      <c r="DZS178" s="52"/>
      <c r="DZT178" s="52"/>
      <c r="DZU178" s="52"/>
      <c r="DZV178" s="52"/>
      <c r="DZW178" s="52"/>
      <c r="DZX178" s="52"/>
      <c r="DZY178" s="52"/>
      <c r="DZZ178" s="52"/>
      <c r="EAA178" s="52"/>
      <c r="EAB178" s="52"/>
      <c r="EAC178" s="52"/>
      <c r="EAD178" s="52"/>
      <c r="EAE178" s="52"/>
      <c r="EAF178" s="52"/>
      <c r="EAG178" s="52"/>
      <c r="EAH178" s="52"/>
      <c r="EAI178" s="52"/>
      <c r="EAJ178" s="52"/>
      <c r="EAK178" s="52"/>
      <c r="EAL178" s="52"/>
      <c r="EAM178" s="52"/>
      <c r="EAN178" s="52"/>
      <c r="EAO178" s="52"/>
      <c r="EAP178" s="52"/>
      <c r="EAQ178" s="52"/>
      <c r="EAR178" s="52"/>
      <c r="EAS178" s="52"/>
      <c r="EAT178" s="52"/>
      <c r="EAU178" s="52"/>
      <c r="EAV178" s="52"/>
      <c r="EAW178" s="52"/>
      <c r="EAX178" s="52"/>
      <c r="EAY178" s="52"/>
      <c r="EAZ178" s="52"/>
      <c r="EBA178" s="52"/>
      <c r="EBB178" s="52"/>
      <c r="EBC178" s="52"/>
      <c r="EBD178" s="52"/>
      <c r="EBE178" s="52"/>
      <c r="EBF178" s="52"/>
      <c r="EBG178" s="52"/>
      <c r="EBH178" s="52"/>
      <c r="EBI178" s="52"/>
      <c r="EBJ178" s="52"/>
      <c r="EBK178" s="52"/>
      <c r="EBL178" s="52"/>
      <c r="EBM178" s="52"/>
      <c r="EBN178" s="52"/>
      <c r="EBO178" s="52"/>
      <c r="EBP178" s="52"/>
      <c r="EBQ178" s="52"/>
      <c r="EBR178" s="52"/>
      <c r="EBS178" s="52"/>
      <c r="EBT178" s="52"/>
      <c r="EBU178" s="52"/>
      <c r="EBV178" s="52"/>
      <c r="EBW178" s="52"/>
      <c r="EBX178" s="52"/>
      <c r="EBY178" s="52"/>
      <c r="EBZ178" s="52"/>
      <c r="ECA178" s="52"/>
      <c r="ECB178" s="52"/>
      <c r="ECC178" s="52"/>
      <c r="ECD178" s="52"/>
      <c r="ECE178" s="52"/>
      <c r="ECF178" s="52"/>
      <c r="ECG178" s="52"/>
      <c r="ECH178" s="52"/>
      <c r="ECI178" s="52"/>
      <c r="ECJ178" s="52"/>
      <c r="ECK178" s="52"/>
      <c r="ECL178" s="52"/>
      <c r="ECM178" s="52"/>
      <c r="ECN178" s="52"/>
      <c r="ECO178" s="52"/>
      <c r="ECP178" s="52"/>
      <c r="ECQ178" s="52"/>
      <c r="ECR178" s="52"/>
      <c r="ECS178" s="52"/>
      <c r="ECT178" s="52"/>
      <c r="ECU178" s="52"/>
      <c r="ECV178" s="52"/>
      <c r="ECW178" s="52"/>
      <c r="ECX178" s="52"/>
      <c r="ECY178" s="52"/>
      <c r="ECZ178" s="52"/>
      <c r="EDA178" s="52"/>
      <c r="EDB178" s="52"/>
      <c r="EDC178" s="52"/>
      <c r="EDD178" s="52"/>
      <c r="EDE178" s="52"/>
      <c r="EDF178" s="52"/>
      <c r="EDG178" s="52"/>
      <c r="EDH178" s="52"/>
      <c r="EDI178" s="52"/>
      <c r="EDJ178" s="52"/>
      <c r="EDK178" s="52"/>
      <c r="EDL178" s="52"/>
      <c r="EDM178" s="52"/>
      <c r="EDN178" s="52"/>
      <c r="EDO178" s="52"/>
      <c r="EDP178" s="52"/>
      <c r="EDQ178" s="52"/>
      <c r="EDR178" s="52"/>
      <c r="EDS178" s="52"/>
      <c r="EDT178" s="52"/>
      <c r="EDU178" s="52"/>
      <c r="EDV178" s="52"/>
      <c r="EDW178" s="52"/>
      <c r="EDX178" s="52"/>
      <c r="EDY178" s="52"/>
      <c r="EDZ178" s="52"/>
      <c r="EEA178" s="52"/>
      <c r="EEB178" s="52"/>
      <c r="EEC178" s="52"/>
      <c r="EED178" s="52"/>
      <c r="EEE178" s="52"/>
      <c r="EEF178" s="52"/>
      <c r="EEG178" s="52"/>
      <c r="EEH178" s="52"/>
      <c r="EEI178" s="52"/>
      <c r="EEJ178" s="52"/>
      <c r="EEK178" s="52"/>
      <c r="EEL178" s="52"/>
      <c r="EEM178" s="52"/>
      <c r="EEN178" s="52"/>
      <c r="EEO178" s="52"/>
      <c r="EEP178" s="52"/>
      <c r="EEQ178" s="52"/>
      <c r="EER178" s="52"/>
      <c r="EES178" s="52"/>
      <c r="EET178" s="52"/>
      <c r="EEU178" s="52"/>
      <c r="EEV178" s="52"/>
      <c r="EEW178" s="52"/>
      <c r="EEX178" s="52"/>
      <c r="EEY178" s="52"/>
      <c r="EEZ178" s="52"/>
      <c r="EFA178" s="52"/>
      <c r="EFB178" s="52"/>
      <c r="EFC178" s="52"/>
      <c r="EFD178" s="52"/>
      <c r="EFE178" s="52"/>
      <c r="EFF178" s="52"/>
      <c r="EFG178" s="52"/>
      <c r="EFH178" s="52"/>
      <c r="EFI178" s="52"/>
      <c r="EFJ178" s="52"/>
      <c r="EFK178" s="52"/>
      <c r="EFL178" s="52"/>
      <c r="EFM178" s="52"/>
      <c r="EFN178" s="52"/>
      <c r="EFO178" s="52"/>
      <c r="EFP178" s="52"/>
      <c r="EFQ178" s="52"/>
      <c r="EFR178" s="52"/>
      <c r="EFS178" s="52"/>
      <c r="EFT178" s="52"/>
      <c r="EFU178" s="52"/>
      <c r="EFV178" s="52"/>
      <c r="EFW178" s="52"/>
      <c r="EFX178" s="52"/>
      <c r="EFY178" s="52"/>
      <c r="EFZ178" s="52"/>
      <c r="EGA178" s="52"/>
      <c r="EGB178" s="52"/>
      <c r="EGC178" s="52"/>
      <c r="EGD178" s="52"/>
      <c r="EGE178" s="52"/>
      <c r="EGF178" s="52"/>
      <c r="EGG178" s="52"/>
      <c r="EGH178" s="52"/>
      <c r="EGI178" s="52"/>
      <c r="EGJ178" s="52"/>
      <c r="EGK178" s="52"/>
      <c r="EGL178" s="52"/>
      <c r="EGM178" s="52"/>
      <c r="EGN178" s="52"/>
      <c r="EGO178" s="52"/>
      <c r="EGP178" s="52"/>
      <c r="EGQ178" s="52"/>
      <c r="EGR178" s="52"/>
      <c r="EGS178" s="52"/>
      <c r="EGT178" s="52"/>
      <c r="EGU178" s="52"/>
      <c r="EGV178" s="52"/>
      <c r="EGW178" s="52"/>
      <c r="EGX178" s="52"/>
      <c r="EGY178" s="52"/>
      <c r="EGZ178" s="52"/>
      <c r="EHA178" s="52"/>
      <c r="EHB178" s="52"/>
      <c r="EHC178" s="52"/>
      <c r="EHD178" s="52"/>
      <c r="EHE178" s="52"/>
      <c r="EHF178" s="52"/>
      <c r="EHG178" s="52"/>
      <c r="EHH178" s="52"/>
      <c r="EHI178" s="52"/>
      <c r="EHJ178" s="52"/>
      <c r="EHK178" s="52"/>
      <c r="EHL178" s="52"/>
      <c r="EHM178" s="52"/>
      <c r="EHN178" s="52"/>
      <c r="EHO178" s="52"/>
      <c r="EHP178" s="52"/>
      <c r="EHQ178" s="52"/>
      <c r="EHR178" s="52"/>
      <c r="EHS178" s="52"/>
      <c r="EHT178" s="52"/>
      <c r="EHU178" s="52"/>
      <c r="EHV178" s="52"/>
      <c r="EHW178" s="52"/>
      <c r="EHX178" s="52"/>
      <c r="EHY178" s="52"/>
      <c r="EHZ178" s="52"/>
      <c r="EIA178" s="52"/>
      <c r="EIB178" s="52"/>
      <c r="EIC178" s="52"/>
      <c r="EID178" s="52"/>
      <c r="EIE178" s="52"/>
      <c r="EIF178" s="52"/>
      <c r="EIG178" s="52"/>
      <c r="EIH178" s="52"/>
      <c r="EII178" s="52"/>
      <c r="EIJ178" s="52"/>
      <c r="EIK178" s="52"/>
      <c r="EIL178" s="52"/>
      <c r="EIM178" s="52"/>
      <c r="EIN178" s="52"/>
      <c r="EIO178" s="52"/>
      <c r="EIP178" s="52"/>
      <c r="EIQ178" s="52"/>
      <c r="EIR178" s="52"/>
      <c r="EIS178" s="52"/>
      <c r="EIT178" s="52"/>
      <c r="EIU178" s="52"/>
      <c r="EIV178" s="52"/>
      <c r="EIW178" s="52"/>
      <c r="EIX178" s="52"/>
      <c r="EIY178" s="52"/>
      <c r="EIZ178" s="52"/>
      <c r="EJA178" s="52"/>
      <c r="EJB178" s="52"/>
      <c r="EJC178" s="52"/>
      <c r="EJD178" s="52"/>
      <c r="EJE178" s="52"/>
      <c r="EJF178" s="52"/>
      <c r="EJG178" s="52"/>
      <c r="EJH178" s="52"/>
      <c r="EJI178" s="52"/>
      <c r="EJJ178" s="52"/>
      <c r="EJK178" s="52"/>
      <c r="EJL178" s="52"/>
      <c r="EJM178" s="52"/>
      <c r="EJN178" s="52"/>
      <c r="EJO178" s="52"/>
      <c r="EJP178" s="52"/>
      <c r="EJQ178" s="52"/>
      <c r="EJR178" s="52"/>
      <c r="EJS178" s="52"/>
      <c r="EJT178" s="52"/>
      <c r="EJU178" s="52"/>
      <c r="EJV178" s="52"/>
      <c r="EJW178" s="52"/>
      <c r="EJX178" s="52"/>
      <c r="EJY178" s="52"/>
      <c r="EJZ178" s="52"/>
      <c r="EKA178" s="52"/>
      <c r="EKB178" s="52"/>
      <c r="EKC178" s="52"/>
      <c r="EKD178" s="52"/>
      <c r="EKE178" s="52"/>
      <c r="EKF178" s="52"/>
      <c r="EKG178" s="52"/>
      <c r="EKH178" s="52"/>
      <c r="EKI178" s="52"/>
      <c r="EKJ178" s="52"/>
      <c r="EKK178" s="52"/>
      <c r="EKL178" s="52"/>
      <c r="EKM178" s="52"/>
      <c r="EKN178" s="52"/>
      <c r="EKO178" s="52"/>
      <c r="EKP178" s="52"/>
      <c r="EKQ178" s="52"/>
      <c r="EKR178" s="52"/>
      <c r="EKS178" s="52"/>
      <c r="EKT178" s="52"/>
      <c r="EKU178" s="52"/>
      <c r="EKV178" s="52"/>
      <c r="EKW178" s="52"/>
      <c r="EKX178" s="52"/>
      <c r="EKY178" s="52"/>
      <c r="EKZ178" s="52"/>
      <c r="ELA178" s="52"/>
      <c r="ELB178" s="52"/>
      <c r="ELC178" s="52"/>
      <c r="ELD178" s="52"/>
      <c r="ELE178" s="52"/>
      <c r="ELF178" s="52"/>
      <c r="ELG178" s="52"/>
      <c r="ELH178" s="52"/>
      <c r="ELI178" s="52"/>
      <c r="ELJ178" s="52"/>
      <c r="ELK178" s="52"/>
      <c r="ELL178" s="52"/>
      <c r="ELM178" s="52"/>
      <c r="ELN178" s="52"/>
      <c r="ELO178" s="52"/>
      <c r="ELP178" s="52"/>
      <c r="ELQ178" s="52"/>
      <c r="ELR178" s="52"/>
      <c r="ELS178" s="52"/>
      <c r="ELT178" s="52"/>
      <c r="ELU178" s="52"/>
      <c r="ELV178" s="52"/>
      <c r="ELW178" s="52"/>
      <c r="ELX178" s="52"/>
      <c r="ELY178" s="52"/>
      <c r="ELZ178" s="52"/>
      <c r="EMA178" s="52"/>
      <c r="EMB178" s="52"/>
      <c r="EMC178" s="52"/>
      <c r="EMD178" s="52"/>
      <c r="EME178" s="52"/>
      <c r="EMF178" s="52"/>
      <c r="EMG178" s="52"/>
      <c r="EMH178" s="52"/>
      <c r="EMI178" s="52"/>
      <c r="EMJ178" s="52"/>
      <c r="EMK178" s="52"/>
      <c r="EML178" s="52"/>
      <c r="EMM178" s="52"/>
      <c r="EMN178" s="52"/>
      <c r="EMO178" s="52"/>
      <c r="EMP178" s="52"/>
      <c r="EMQ178" s="52"/>
      <c r="EMR178" s="52"/>
      <c r="EMS178" s="52"/>
      <c r="EMT178" s="52"/>
      <c r="EMU178" s="52"/>
      <c r="EMV178" s="52"/>
      <c r="EMW178" s="52"/>
      <c r="EMX178" s="52"/>
      <c r="EMY178" s="52"/>
      <c r="EMZ178" s="52"/>
      <c r="ENA178" s="52"/>
      <c r="ENB178" s="52"/>
      <c r="ENC178" s="52"/>
      <c r="END178" s="52"/>
      <c r="ENE178" s="52"/>
      <c r="ENF178" s="52"/>
      <c r="ENG178" s="52"/>
      <c r="ENH178" s="52"/>
      <c r="ENI178" s="52"/>
      <c r="ENJ178" s="52"/>
      <c r="ENK178" s="52"/>
      <c r="ENL178" s="52"/>
      <c r="ENM178" s="52"/>
      <c r="ENN178" s="52"/>
      <c r="ENO178" s="52"/>
      <c r="ENP178" s="52"/>
      <c r="ENQ178" s="52"/>
      <c r="ENR178" s="52"/>
      <c r="ENS178" s="52"/>
      <c r="ENT178" s="52"/>
      <c r="ENU178" s="52"/>
      <c r="ENV178" s="52"/>
      <c r="ENW178" s="52"/>
      <c r="ENX178" s="52"/>
      <c r="ENY178" s="52"/>
      <c r="ENZ178" s="52"/>
      <c r="EOA178" s="52"/>
      <c r="EOB178" s="52"/>
      <c r="EOC178" s="52"/>
      <c r="EOD178" s="52"/>
      <c r="EOE178" s="52"/>
      <c r="EOF178" s="52"/>
      <c r="EOG178" s="52"/>
      <c r="EOH178" s="52"/>
      <c r="EOI178" s="52"/>
      <c r="EOJ178" s="52"/>
      <c r="EOK178" s="52"/>
      <c r="EOL178" s="52"/>
      <c r="EOM178" s="52"/>
      <c r="EON178" s="52"/>
      <c r="EOO178" s="52"/>
      <c r="EOP178" s="52"/>
      <c r="EOQ178" s="52"/>
      <c r="EOR178" s="52"/>
      <c r="EOS178" s="52"/>
      <c r="EOT178" s="52"/>
      <c r="EOU178" s="52"/>
      <c r="EOV178" s="52"/>
      <c r="EOW178" s="52"/>
      <c r="EOX178" s="52"/>
      <c r="EOY178" s="52"/>
      <c r="EOZ178" s="52"/>
      <c r="EPA178" s="52"/>
      <c r="EPB178" s="52"/>
      <c r="EPC178" s="52"/>
      <c r="EPD178" s="52"/>
      <c r="EPE178" s="52"/>
      <c r="EPF178" s="52"/>
      <c r="EPG178" s="52"/>
      <c r="EPH178" s="52"/>
      <c r="EPI178" s="52"/>
      <c r="EPJ178" s="52"/>
      <c r="EPK178" s="52"/>
      <c r="EPL178" s="52"/>
      <c r="EPM178" s="52"/>
      <c r="EPN178" s="52"/>
      <c r="EPO178" s="52"/>
      <c r="EPP178" s="52"/>
      <c r="EPQ178" s="52"/>
      <c r="EPR178" s="52"/>
      <c r="EPS178" s="52"/>
      <c r="EPT178" s="52"/>
      <c r="EPU178" s="52"/>
      <c r="EPV178" s="52"/>
      <c r="EPW178" s="52"/>
      <c r="EPX178" s="52"/>
      <c r="EPY178" s="52"/>
      <c r="EPZ178" s="52"/>
      <c r="EQA178" s="52"/>
      <c r="EQB178" s="52"/>
      <c r="EQC178" s="52"/>
      <c r="EQD178" s="52"/>
      <c r="EQE178" s="52"/>
      <c r="EQF178" s="52"/>
      <c r="EQG178" s="52"/>
      <c r="EQH178" s="52"/>
      <c r="EQI178" s="52"/>
      <c r="EQJ178" s="52"/>
      <c r="EQK178" s="52"/>
      <c r="EQL178" s="52"/>
      <c r="EQM178" s="52"/>
      <c r="EQN178" s="52"/>
      <c r="EQO178" s="52"/>
      <c r="EQP178" s="52"/>
      <c r="EQQ178" s="52"/>
      <c r="EQR178" s="52"/>
      <c r="EQS178" s="52"/>
      <c r="EQT178" s="52"/>
      <c r="EQU178" s="52"/>
      <c r="EQV178" s="52"/>
      <c r="EQW178" s="52"/>
      <c r="EQX178" s="52"/>
      <c r="EQY178" s="52"/>
      <c r="EQZ178" s="52"/>
      <c r="ERA178" s="52"/>
      <c r="ERB178" s="52"/>
      <c r="ERC178" s="52"/>
      <c r="ERD178" s="52"/>
      <c r="ERE178" s="52"/>
      <c r="ERF178" s="52"/>
      <c r="ERG178" s="52"/>
      <c r="ERH178" s="52"/>
      <c r="ERI178" s="52"/>
      <c r="ERJ178" s="52"/>
      <c r="ERK178" s="52"/>
      <c r="ERL178" s="52"/>
      <c r="ERM178" s="52"/>
      <c r="ERN178" s="52"/>
      <c r="ERO178" s="52"/>
      <c r="ERP178" s="52"/>
      <c r="ERQ178" s="52"/>
      <c r="ERR178" s="52"/>
      <c r="ERS178" s="52"/>
      <c r="ERT178" s="52"/>
      <c r="ERU178" s="52"/>
      <c r="ERV178" s="52"/>
      <c r="ERW178" s="52"/>
      <c r="ERX178" s="52"/>
      <c r="ERY178" s="52"/>
      <c r="ERZ178" s="52"/>
      <c r="ESA178" s="52"/>
      <c r="ESB178" s="52"/>
      <c r="ESC178" s="52"/>
      <c r="ESD178" s="52"/>
      <c r="ESE178" s="52"/>
      <c r="ESF178" s="52"/>
      <c r="ESG178" s="52"/>
      <c r="ESH178" s="52"/>
      <c r="ESI178" s="52"/>
      <c r="ESJ178" s="52"/>
      <c r="ESK178" s="52"/>
      <c r="ESL178" s="52"/>
      <c r="ESM178" s="52"/>
      <c r="ESN178" s="52"/>
      <c r="ESO178" s="52"/>
      <c r="ESP178" s="52"/>
      <c r="ESQ178" s="52"/>
      <c r="ESR178" s="52"/>
      <c r="ESS178" s="52"/>
      <c r="EST178" s="52"/>
      <c r="ESU178" s="52"/>
      <c r="ESV178" s="52"/>
      <c r="ESW178" s="52"/>
      <c r="ESX178" s="52"/>
      <c r="ESY178" s="52"/>
      <c r="ESZ178" s="52"/>
      <c r="ETA178" s="52"/>
      <c r="ETB178" s="52"/>
      <c r="ETC178" s="52"/>
      <c r="ETD178" s="52"/>
      <c r="ETE178" s="52"/>
      <c r="ETF178" s="52"/>
      <c r="ETG178" s="52"/>
      <c r="ETH178" s="52"/>
      <c r="ETI178" s="52"/>
      <c r="ETJ178" s="52"/>
      <c r="ETK178" s="52"/>
      <c r="ETL178" s="52"/>
      <c r="ETM178" s="52"/>
      <c r="ETN178" s="52"/>
      <c r="ETO178" s="52"/>
      <c r="ETP178" s="52"/>
      <c r="ETQ178" s="52"/>
      <c r="ETR178" s="52"/>
      <c r="ETS178" s="52"/>
      <c r="ETT178" s="52"/>
      <c r="ETU178" s="52"/>
      <c r="ETV178" s="52"/>
      <c r="ETW178" s="52"/>
      <c r="ETX178" s="52"/>
      <c r="ETY178" s="52"/>
      <c r="ETZ178" s="52"/>
      <c r="EUA178" s="52"/>
      <c r="EUB178" s="52"/>
      <c r="EUC178" s="52"/>
      <c r="EUD178" s="52"/>
      <c r="EUE178" s="52"/>
      <c r="EUF178" s="52"/>
      <c r="EUG178" s="52"/>
      <c r="EUH178" s="52"/>
      <c r="EUI178" s="52"/>
      <c r="EUJ178" s="52"/>
      <c r="EUK178" s="52"/>
      <c r="EUL178" s="52"/>
      <c r="EUM178" s="52"/>
      <c r="EUN178" s="52"/>
      <c r="EUO178" s="52"/>
      <c r="EUP178" s="52"/>
      <c r="EUQ178" s="52"/>
      <c r="EUR178" s="52"/>
      <c r="EUS178" s="52"/>
      <c r="EUT178" s="52"/>
      <c r="EUU178" s="52"/>
      <c r="EUV178" s="52"/>
      <c r="EUW178" s="52"/>
      <c r="EUX178" s="52"/>
      <c r="EUY178" s="52"/>
      <c r="EUZ178" s="52"/>
      <c r="EVA178" s="52"/>
      <c r="EVB178" s="52"/>
      <c r="EVC178" s="52"/>
      <c r="EVD178" s="52"/>
      <c r="EVE178" s="52"/>
      <c r="EVF178" s="52"/>
      <c r="EVG178" s="52"/>
      <c r="EVH178" s="52"/>
      <c r="EVI178" s="52"/>
      <c r="EVJ178" s="52"/>
      <c r="EVK178" s="52"/>
      <c r="EVL178" s="52"/>
      <c r="EVM178" s="52"/>
      <c r="EVN178" s="52"/>
      <c r="EVO178" s="52"/>
      <c r="EVP178" s="52"/>
      <c r="EVQ178" s="52"/>
      <c r="EVR178" s="52"/>
      <c r="EVS178" s="52"/>
      <c r="EVT178" s="52"/>
      <c r="EVU178" s="52"/>
      <c r="EVV178" s="52"/>
      <c r="EVW178" s="52"/>
      <c r="EVX178" s="52"/>
      <c r="EVY178" s="52"/>
      <c r="EVZ178" s="52"/>
      <c r="EWA178" s="52"/>
      <c r="EWB178" s="52"/>
      <c r="EWC178" s="52"/>
      <c r="EWD178" s="52"/>
      <c r="EWE178" s="52"/>
      <c r="EWF178" s="52"/>
      <c r="EWG178" s="52"/>
      <c r="EWH178" s="52"/>
      <c r="EWI178" s="52"/>
      <c r="EWJ178" s="52"/>
      <c r="EWK178" s="52"/>
      <c r="EWL178" s="52"/>
      <c r="EWM178" s="52"/>
      <c r="EWN178" s="52"/>
      <c r="EWO178" s="52"/>
      <c r="EWP178" s="52"/>
      <c r="EWQ178" s="52"/>
      <c r="EWR178" s="52"/>
      <c r="EWS178" s="52"/>
      <c r="EWT178" s="52"/>
      <c r="EWU178" s="52"/>
      <c r="EWV178" s="52"/>
      <c r="EWW178" s="52"/>
      <c r="EWX178" s="52"/>
      <c r="EWY178" s="52"/>
      <c r="EWZ178" s="52"/>
      <c r="EXA178" s="52"/>
      <c r="EXB178" s="52"/>
      <c r="EXC178" s="52"/>
      <c r="EXD178" s="52"/>
      <c r="EXE178" s="52"/>
      <c r="EXF178" s="52"/>
      <c r="EXG178" s="52"/>
      <c r="EXH178" s="52"/>
      <c r="EXI178" s="52"/>
      <c r="EXJ178" s="52"/>
      <c r="EXK178" s="52"/>
      <c r="EXL178" s="52"/>
      <c r="EXM178" s="52"/>
      <c r="EXN178" s="52"/>
      <c r="EXO178" s="52"/>
      <c r="EXP178" s="52"/>
      <c r="EXQ178" s="52"/>
      <c r="EXR178" s="52"/>
      <c r="EXS178" s="52"/>
      <c r="EXT178" s="52"/>
      <c r="EXU178" s="52"/>
      <c r="EXV178" s="52"/>
      <c r="EXW178" s="52"/>
      <c r="EXX178" s="52"/>
      <c r="EXY178" s="52"/>
      <c r="EXZ178" s="52"/>
      <c r="EYA178" s="52"/>
      <c r="EYB178" s="52"/>
      <c r="EYC178" s="52"/>
      <c r="EYD178" s="52"/>
      <c r="EYE178" s="52"/>
      <c r="EYF178" s="52"/>
      <c r="EYG178" s="52"/>
      <c r="EYH178" s="52"/>
      <c r="EYI178" s="52"/>
      <c r="EYJ178" s="52"/>
      <c r="EYK178" s="52"/>
      <c r="EYL178" s="52"/>
      <c r="EYM178" s="52"/>
      <c r="EYN178" s="52"/>
      <c r="EYO178" s="52"/>
      <c r="EYP178" s="52"/>
      <c r="EYQ178" s="52"/>
      <c r="EYR178" s="52"/>
      <c r="EYS178" s="52"/>
      <c r="EYT178" s="52"/>
      <c r="EYU178" s="52"/>
      <c r="EYV178" s="52"/>
      <c r="EYW178" s="52"/>
      <c r="EYX178" s="52"/>
      <c r="EYY178" s="52"/>
      <c r="EYZ178" s="52"/>
      <c r="EZA178" s="52"/>
      <c r="EZB178" s="52"/>
      <c r="EZC178" s="52"/>
      <c r="EZD178" s="52"/>
      <c r="EZE178" s="52"/>
      <c r="EZF178" s="52"/>
      <c r="EZG178" s="52"/>
      <c r="EZH178" s="52"/>
      <c r="EZI178" s="52"/>
      <c r="EZJ178" s="52"/>
      <c r="EZK178" s="52"/>
      <c r="EZL178" s="52"/>
      <c r="EZM178" s="52"/>
      <c r="EZN178" s="52"/>
      <c r="EZO178" s="52"/>
      <c r="EZP178" s="52"/>
      <c r="EZQ178" s="52"/>
      <c r="EZR178" s="52"/>
      <c r="EZS178" s="52"/>
      <c r="EZT178" s="52"/>
      <c r="EZU178" s="52"/>
      <c r="EZV178" s="52"/>
      <c r="EZW178" s="52"/>
      <c r="EZX178" s="52"/>
      <c r="EZY178" s="52"/>
      <c r="EZZ178" s="52"/>
      <c r="FAA178" s="52"/>
      <c r="FAB178" s="52"/>
      <c r="FAC178" s="52"/>
      <c r="FAD178" s="52"/>
      <c r="FAE178" s="52"/>
      <c r="FAF178" s="52"/>
      <c r="FAG178" s="52"/>
      <c r="FAH178" s="52"/>
      <c r="FAI178" s="52"/>
      <c r="FAJ178" s="52"/>
      <c r="FAK178" s="52"/>
      <c r="FAL178" s="52"/>
      <c r="FAM178" s="52"/>
      <c r="FAN178" s="52"/>
      <c r="FAO178" s="52"/>
      <c r="FAP178" s="52"/>
      <c r="FAQ178" s="52"/>
      <c r="FAR178" s="52"/>
      <c r="FAS178" s="52"/>
      <c r="FAT178" s="52"/>
      <c r="FAU178" s="52"/>
      <c r="FAV178" s="52"/>
      <c r="FAW178" s="52"/>
      <c r="FAX178" s="52"/>
      <c r="FAY178" s="52"/>
      <c r="FAZ178" s="52"/>
      <c r="FBA178" s="52"/>
      <c r="FBB178" s="52"/>
      <c r="FBC178" s="52"/>
      <c r="FBD178" s="52"/>
      <c r="FBE178" s="52"/>
      <c r="FBF178" s="52"/>
      <c r="FBG178" s="52"/>
      <c r="FBH178" s="52"/>
      <c r="FBI178" s="52"/>
      <c r="FBJ178" s="52"/>
      <c r="FBK178" s="52"/>
      <c r="FBL178" s="52"/>
      <c r="FBM178" s="52"/>
      <c r="FBN178" s="52"/>
      <c r="FBO178" s="52"/>
      <c r="FBP178" s="52"/>
      <c r="FBQ178" s="52"/>
      <c r="FBR178" s="52"/>
      <c r="FBS178" s="52"/>
      <c r="FBT178" s="52"/>
      <c r="FBU178" s="52"/>
      <c r="FBV178" s="52"/>
      <c r="FBW178" s="52"/>
      <c r="FBX178" s="52"/>
      <c r="FBY178" s="52"/>
      <c r="FBZ178" s="52"/>
      <c r="FCA178" s="52"/>
      <c r="FCB178" s="52"/>
      <c r="FCC178" s="52"/>
      <c r="FCD178" s="52"/>
      <c r="FCE178" s="52"/>
      <c r="FCF178" s="52"/>
      <c r="FCG178" s="52"/>
      <c r="FCH178" s="52"/>
      <c r="FCI178" s="52"/>
      <c r="FCJ178" s="52"/>
      <c r="FCK178" s="52"/>
      <c r="FCL178" s="52"/>
      <c r="FCM178" s="52"/>
      <c r="FCN178" s="52"/>
      <c r="FCO178" s="52"/>
      <c r="FCP178" s="52"/>
      <c r="FCQ178" s="52"/>
      <c r="FCR178" s="52"/>
      <c r="FCS178" s="52"/>
      <c r="FCT178" s="52"/>
      <c r="FCU178" s="52"/>
      <c r="FCV178" s="52"/>
      <c r="FCW178" s="52"/>
      <c r="FCX178" s="52"/>
      <c r="FCY178" s="52"/>
      <c r="FCZ178" s="52"/>
      <c r="FDA178" s="52"/>
      <c r="FDB178" s="52"/>
      <c r="FDC178" s="52"/>
      <c r="FDD178" s="52"/>
      <c r="FDE178" s="52"/>
      <c r="FDF178" s="52"/>
      <c r="FDG178" s="52"/>
      <c r="FDH178" s="52"/>
      <c r="FDI178" s="52"/>
      <c r="FDJ178" s="52"/>
      <c r="FDK178" s="52"/>
      <c r="FDL178" s="52"/>
      <c r="FDM178" s="52"/>
      <c r="FDN178" s="52"/>
      <c r="FDO178" s="52"/>
      <c r="FDP178" s="52"/>
      <c r="FDQ178" s="52"/>
      <c r="FDR178" s="52"/>
      <c r="FDS178" s="52"/>
      <c r="FDT178" s="52"/>
      <c r="FDU178" s="52"/>
      <c r="FDV178" s="52"/>
      <c r="FDW178" s="52"/>
      <c r="FDX178" s="52"/>
      <c r="FDY178" s="52"/>
      <c r="FDZ178" s="52"/>
      <c r="FEA178" s="52"/>
      <c r="FEB178" s="52"/>
      <c r="FEC178" s="52"/>
      <c r="FED178" s="52"/>
      <c r="FEE178" s="52"/>
      <c r="FEF178" s="52"/>
      <c r="FEG178" s="52"/>
      <c r="FEH178" s="52"/>
      <c r="FEI178" s="52"/>
      <c r="FEJ178" s="52"/>
      <c r="FEK178" s="52"/>
      <c r="FEL178" s="52"/>
      <c r="FEM178" s="52"/>
      <c r="FEN178" s="52"/>
      <c r="FEO178" s="52"/>
      <c r="FEP178" s="52"/>
      <c r="FEQ178" s="52"/>
      <c r="FER178" s="52"/>
      <c r="FES178" s="52"/>
      <c r="FET178" s="52"/>
      <c r="FEU178" s="52"/>
      <c r="FEV178" s="52"/>
      <c r="FEW178" s="52"/>
      <c r="FEX178" s="52"/>
      <c r="FEY178" s="52"/>
      <c r="FEZ178" s="52"/>
      <c r="FFA178" s="52"/>
      <c r="FFB178" s="52"/>
      <c r="FFC178" s="52"/>
      <c r="FFD178" s="52"/>
      <c r="FFE178" s="52"/>
      <c r="FFF178" s="52"/>
      <c r="FFG178" s="52"/>
      <c r="FFH178" s="52"/>
      <c r="FFI178" s="52"/>
      <c r="FFJ178" s="52"/>
      <c r="FFK178" s="52"/>
      <c r="FFL178" s="52"/>
      <c r="FFM178" s="52"/>
      <c r="FFN178" s="52"/>
      <c r="FFO178" s="52"/>
      <c r="FFP178" s="52"/>
      <c r="FFQ178" s="52"/>
      <c r="FFR178" s="52"/>
      <c r="FFS178" s="52"/>
      <c r="FFT178" s="52"/>
      <c r="FFU178" s="52"/>
      <c r="FFV178" s="52"/>
      <c r="FFW178" s="52"/>
      <c r="FFX178" s="52"/>
      <c r="FFY178" s="52"/>
      <c r="FFZ178" s="52"/>
      <c r="FGA178" s="52"/>
      <c r="FGB178" s="52"/>
      <c r="FGC178" s="52"/>
      <c r="FGD178" s="52"/>
      <c r="FGE178" s="52"/>
      <c r="FGF178" s="52"/>
      <c r="FGG178" s="52"/>
      <c r="FGH178" s="52"/>
      <c r="FGI178" s="52"/>
      <c r="FGJ178" s="52"/>
      <c r="FGK178" s="52"/>
      <c r="FGL178" s="52"/>
      <c r="FGM178" s="52"/>
      <c r="FGN178" s="52"/>
      <c r="FGO178" s="52"/>
      <c r="FGP178" s="52"/>
      <c r="FGQ178" s="52"/>
      <c r="FGR178" s="52"/>
      <c r="FGS178" s="52"/>
      <c r="FGT178" s="52"/>
      <c r="FGU178" s="52"/>
      <c r="FGV178" s="52"/>
      <c r="FGW178" s="52"/>
      <c r="FGX178" s="52"/>
      <c r="FGY178" s="52"/>
      <c r="FGZ178" s="52"/>
      <c r="FHA178" s="52"/>
      <c r="FHB178" s="52"/>
      <c r="FHC178" s="52"/>
      <c r="FHD178" s="52"/>
      <c r="FHE178" s="52"/>
      <c r="FHF178" s="52"/>
      <c r="FHG178" s="52"/>
      <c r="FHH178" s="52"/>
      <c r="FHI178" s="52"/>
      <c r="FHJ178" s="52"/>
      <c r="FHK178" s="52"/>
      <c r="FHL178" s="52"/>
      <c r="FHM178" s="52"/>
      <c r="FHN178" s="52"/>
      <c r="FHO178" s="52"/>
      <c r="FHP178" s="52"/>
      <c r="FHQ178" s="52"/>
      <c r="FHR178" s="52"/>
      <c r="FHS178" s="52"/>
      <c r="FHT178" s="52"/>
      <c r="FHU178" s="52"/>
      <c r="FHV178" s="52"/>
      <c r="FHW178" s="52"/>
      <c r="FHX178" s="52"/>
      <c r="FHY178" s="52"/>
      <c r="FHZ178" s="52"/>
      <c r="FIA178" s="52"/>
      <c r="FIB178" s="52"/>
      <c r="FIC178" s="52"/>
      <c r="FID178" s="52"/>
      <c r="FIE178" s="52"/>
      <c r="FIF178" s="52"/>
      <c r="FIG178" s="52"/>
      <c r="FIH178" s="52"/>
      <c r="FII178" s="52"/>
      <c r="FIJ178" s="52"/>
      <c r="FIK178" s="52"/>
      <c r="FIL178" s="52"/>
      <c r="FIM178" s="52"/>
      <c r="FIN178" s="52"/>
      <c r="FIO178" s="52"/>
      <c r="FIP178" s="52"/>
      <c r="FIQ178" s="52"/>
      <c r="FIR178" s="52"/>
      <c r="FIS178" s="52"/>
      <c r="FIT178" s="52"/>
      <c r="FIU178" s="52"/>
      <c r="FIV178" s="52"/>
      <c r="FIW178" s="52"/>
      <c r="FIX178" s="52"/>
      <c r="FIY178" s="52"/>
      <c r="FIZ178" s="52"/>
      <c r="FJA178" s="52"/>
      <c r="FJB178" s="52"/>
      <c r="FJC178" s="52"/>
      <c r="FJD178" s="52"/>
      <c r="FJE178" s="52"/>
      <c r="FJF178" s="52"/>
      <c r="FJG178" s="52"/>
      <c r="FJH178" s="52"/>
      <c r="FJI178" s="52"/>
      <c r="FJJ178" s="52"/>
      <c r="FJK178" s="52"/>
      <c r="FJL178" s="52"/>
      <c r="FJM178" s="52"/>
      <c r="FJN178" s="52"/>
      <c r="FJO178" s="52"/>
      <c r="FJP178" s="52"/>
      <c r="FJQ178" s="52"/>
      <c r="FJR178" s="52"/>
      <c r="FJS178" s="52"/>
      <c r="FJT178" s="52"/>
      <c r="FJU178" s="52"/>
      <c r="FJV178" s="52"/>
      <c r="FJW178" s="52"/>
      <c r="FJX178" s="52"/>
      <c r="FJY178" s="52"/>
      <c r="FJZ178" s="52"/>
      <c r="FKA178" s="52"/>
      <c r="FKB178" s="52"/>
      <c r="FKC178" s="52"/>
      <c r="FKD178" s="52"/>
      <c r="FKE178" s="52"/>
      <c r="FKF178" s="52"/>
      <c r="FKG178" s="52"/>
      <c r="FKH178" s="52"/>
      <c r="FKI178" s="52"/>
      <c r="FKJ178" s="52"/>
      <c r="FKK178" s="52"/>
      <c r="FKL178" s="52"/>
      <c r="FKM178" s="52"/>
      <c r="FKN178" s="52"/>
      <c r="FKO178" s="52"/>
      <c r="FKP178" s="52"/>
      <c r="FKQ178" s="52"/>
      <c r="FKR178" s="52"/>
      <c r="FKS178" s="52"/>
      <c r="FKT178" s="52"/>
      <c r="FKU178" s="52"/>
      <c r="FKV178" s="52"/>
      <c r="FKW178" s="52"/>
      <c r="FKX178" s="52"/>
      <c r="FKY178" s="52"/>
      <c r="FKZ178" s="52"/>
      <c r="FLA178" s="52"/>
      <c r="FLB178" s="52"/>
      <c r="FLC178" s="52"/>
      <c r="FLD178" s="52"/>
      <c r="FLE178" s="52"/>
      <c r="FLF178" s="52"/>
      <c r="FLG178" s="52"/>
      <c r="FLH178" s="52"/>
      <c r="FLI178" s="52"/>
      <c r="FLJ178" s="52"/>
      <c r="FLK178" s="52"/>
      <c r="FLL178" s="52"/>
      <c r="FLM178" s="52"/>
      <c r="FLN178" s="52"/>
      <c r="FLO178" s="52"/>
      <c r="FLP178" s="52"/>
      <c r="FLQ178" s="52"/>
      <c r="FLR178" s="52"/>
      <c r="FLS178" s="52"/>
      <c r="FLT178" s="52"/>
      <c r="FLU178" s="52"/>
      <c r="FLV178" s="52"/>
      <c r="FLW178" s="52"/>
      <c r="FLX178" s="52"/>
      <c r="FLY178" s="52"/>
      <c r="FLZ178" s="52"/>
      <c r="FMA178" s="52"/>
      <c r="FMB178" s="52"/>
      <c r="FMC178" s="52"/>
      <c r="FMD178" s="52"/>
      <c r="FME178" s="52"/>
      <c r="FMF178" s="52"/>
      <c r="FMG178" s="52"/>
      <c r="FMH178" s="52"/>
      <c r="FMI178" s="52"/>
      <c r="FMJ178" s="52"/>
      <c r="FMK178" s="52"/>
      <c r="FML178" s="52"/>
      <c r="FMM178" s="52"/>
      <c r="FMN178" s="52"/>
      <c r="FMO178" s="52"/>
      <c r="FMP178" s="52"/>
      <c r="FMQ178" s="52"/>
      <c r="FMR178" s="52"/>
      <c r="FMS178" s="52"/>
      <c r="FMT178" s="52"/>
      <c r="FMU178" s="52"/>
      <c r="FMV178" s="52"/>
      <c r="FMW178" s="52"/>
      <c r="FMX178" s="52"/>
      <c r="FMY178" s="52"/>
      <c r="FMZ178" s="52"/>
      <c r="FNA178" s="52"/>
      <c r="FNB178" s="52"/>
      <c r="FNC178" s="52"/>
      <c r="FND178" s="52"/>
      <c r="FNE178" s="52"/>
      <c r="FNF178" s="52"/>
      <c r="FNG178" s="52"/>
      <c r="FNH178" s="52"/>
      <c r="FNI178" s="52"/>
      <c r="FNJ178" s="52"/>
      <c r="FNK178" s="52"/>
      <c r="FNL178" s="52"/>
      <c r="FNM178" s="52"/>
      <c r="FNN178" s="52"/>
      <c r="FNO178" s="52"/>
      <c r="FNP178" s="52"/>
      <c r="FNQ178" s="52"/>
      <c r="FNR178" s="52"/>
      <c r="FNS178" s="52"/>
      <c r="FNT178" s="52"/>
      <c r="FNU178" s="52"/>
      <c r="FNV178" s="52"/>
      <c r="FNW178" s="52"/>
      <c r="FNX178" s="52"/>
      <c r="FNY178" s="52"/>
      <c r="FNZ178" s="52"/>
      <c r="FOA178" s="52"/>
      <c r="FOB178" s="52"/>
      <c r="FOC178" s="52"/>
      <c r="FOD178" s="52"/>
      <c r="FOE178" s="52"/>
      <c r="FOF178" s="52"/>
      <c r="FOG178" s="52"/>
      <c r="FOH178" s="52"/>
      <c r="FOI178" s="52"/>
      <c r="FOJ178" s="52"/>
      <c r="FOK178" s="52"/>
      <c r="FOL178" s="52"/>
      <c r="FOM178" s="52"/>
      <c r="FON178" s="52"/>
      <c r="FOO178" s="52"/>
      <c r="FOP178" s="52"/>
      <c r="FOQ178" s="52"/>
      <c r="FOR178" s="52"/>
      <c r="FOS178" s="52"/>
      <c r="FOT178" s="52"/>
      <c r="FOU178" s="52"/>
      <c r="FOV178" s="52"/>
      <c r="FOW178" s="52"/>
      <c r="FOX178" s="52"/>
      <c r="FOY178" s="52"/>
      <c r="FOZ178" s="52"/>
      <c r="FPA178" s="52"/>
      <c r="FPB178" s="52"/>
      <c r="FPC178" s="52"/>
      <c r="FPD178" s="52"/>
      <c r="FPE178" s="52"/>
      <c r="FPF178" s="52"/>
      <c r="FPG178" s="52"/>
      <c r="FPH178" s="52"/>
      <c r="FPI178" s="52"/>
      <c r="FPJ178" s="52"/>
      <c r="FPK178" s="52"/>
      <c r="FPL178" s="52"/>
      <c r="FPM178" s="52"/>
      <c r="FPN178" s="52"/>
      <c r="FPO178" s="52"/>
      <c r="FPP178" s="52"/>
      <c r="FPQ178" s="52"/>
      <c r="FPR178" s="52"/>
      <c r="FPS178" s="52"/>
      <c r="FPT178" s="52"/>
      <c r="FPU178" s="52"/>
      <c r="FPV178" s="52"/>
      <c r="FPW178" s="52"/>
      <c r="FPX178" s="52"/>
      <c r="FPY178" s="52"/>
      <c r="FPZ178" s="52"/>
      <c r="FQA178" s="52"/>
      <c r="FQB178" s="52"/>
      <c r="FQC178" s="52"/>
      <c r="FQD178" s="52"/>
      <c r="FQE178" s="52"/>
      <c r="FQF178" s="52"/>
      <c r="FQG178" s="52"/>
      <c r="FQH178" s="52"/>
      <c r="FQI178" s="52"/>
      <c r="FQJ178" s="52"/>
      <c r="FQK178" s="52"/>
      <c r="FQL178" s="52"/>
      <c r="FQM178" s="52"/>
      <c r="FQN178" s="52"/>
      <c r="FQO178" s="52"/>
      <c r="FQP178" s="52"/>
      <c r="FQQ178" s="52"/>
      <c r="FQR178" s="52"/>
      <c r="FQS178" s="52"/>
      <c r="FQT178" s="52"/>
      <c r="FQU178" s="52"/>
      <c r="FQV178" s="52"/>
      <c r="FQW178" s="52"/>
      <c r="FQX178" s="52"/>
      <c r="FQY178" s="52"/>
      <c r="FQZ178" s="52"/>
      <c r="FRA178" s="52"/>
      <c r="FRB178" s="52"/>
      <c r="FRC178" s="52"/>
      <c r="FRD178" s="52"/>
      <c r="FRE178" s="52"/>
      <c r="FRF178" s="52"/>
      <c r="FRG178" s="52"/>
      <c r="FRH178" s="52"/>
      <c r="FRI178" s="52"/>
      <c r="FRJ178" s="52"/>
      <c r="FRK178" s="52"/>
      <c r="FRL178" s="52"/>
      <c r="FRM178" s="52"/>
      <c r="FRN178" s="52"/>
      <c r="FRO178" s="52"/>
      <c r="FRP178" s="52"/>
      <c r="FRQ178" s="52"/>
      <c r="FRR178" s="52"/>
      <c r="FRS178" s="52"/>
      <c r="FRT178" s="52"/>
      <c r="FRU178" s="52"/>
      <c r="FRV178" s="52"/>
      <c r="FRW178" s="52"/>
      <c r="FRX178" s="52"/>
      <c r="FRY178" s="52"/>
      <c r="FRZ178" s="52"/>
      <c r="FSA178" s="52"/>
      <c r="FSB178" s="52"/>
      <c r="FSC178" s="52"/>
      <c r="FSD178" s="52"/>
      <c r="FSE178" s="52"/>
      <c r="FSF178" s="52"/>
      <c r="FSG178" s="52"/>
      <c r="FSH178" s="52"/>
      <c r="FSI178" s="52"/>
      <c r="FSJ178" s="52"/>
      <c r="FSK178" s="52"/>
      <c r="FSL178" s="52"/>
      <c r="FSM178" s="52"/>
      <c r="FSN178" s="52"/>
      <c r="FSO178" s="52"/>
      <c r="FSP178" s="52"/>
      <c r="FSQ178" s="52"/>
      <c r="FSR178" s="52"/>
      <c r="FSS178" s="52"/>
      <c r="FST178" s="52"/>
      <c r="FSU178" s="52"/>
      <c r="FSV178" s="52"/>
      <c r="FSW178" s="52"/>
      <c r="FSX178" s="52"/>
      <c r="FSY178" s="52"/>
      <c r="FSZ178" s="52"/>
      <c r="FTA178" s="52"/>
      <c r="FTB178" s="52"/>
      <c r="FTC178" s="52"/>
      <c r="FTD178" s="52"/>
      <c r="FTE178" s="52"/>
      <c r="FTF178" s="52"/>
      <c r="FTG178" s="52"/>
      <c r="FTH178" s="52"/>
      <c r="FTI178" s="52"/>
      <c r="FTJ178" s="52"/>
      <c r="FTK178" s="52"/>
      <c r="FTL178" s="52"/>
      <c r="FTM178" s="52"/>
      <c r="FTN178" s="52"/>
      <c r="FTO178" s="52"/>
      <c r="FTP178" s="52"/>
      <c r="FTQ178" s="52"/>
      <c r="FTR178" s="52"/>
      <c r="FTS178" s="52"/>
      <c r="FTT178" s="52"/>
      <c r="FTU178" s="52"/>
      <c r="FTV178" s="52"/>
      <c r="FTW178" s="52"/>
      <c r="FTX178" s="52"/>
      <c r="FTY178" s="52"/>
      <c r="FTZ178" s="52"/>
      <c r="FUA178" s="52"/>
      <c r="FUB178" s="52"/>
      <c r="FUC178" s="52"/>
      <c r="FUD178" s="52"/>
      <c r="FUE178" s="52"/>
      <c r="FUF178" s="52"/>
      <c r="FUG178" s="52"/>
      <c r="FUH178" s="52"/>
      <c r="FUI178" s="52"/>
      <c r="FUJ178" s="52"/>
      <c r="FUK178" s="52"/>
      <c r="FUL178" s="52"/>
      <c r="FUM178" s="52"/>
      <c r="FUN178" s="52"/>
      <c r="FUO178" s="52"/>
      <c r="FUP178" s="52"/>
      <c r="FUQ178" s="52"/>
      <c r="FUR178" s="52"/>
      <c r="FUS178" s="52"/>
      <c r="FUT178" s="52"/>
      <c r="FUU178" s="52"/>
      <c r="FUV178" s="52"/>
      <c r="FUW178" s="52"/>
      <c r="FUX178" s="52"/>
      <c r="FUY178" s="52"/>
      <c r="FUZ178" s="52"/>
      <c r="FVA178" s="52"/>
      <c r="FVB178" s="52"/>
      <c r="FVC178" s="52"/>
      <c r="FVD178" s="52"/>
      <c r="FVE178" s="52"/>
      <c r="FVF178" s="52"/>
      <c r="FVG178" s="52"/>
      <c r="FVH178" s="52"/>
      <c r="FVI178" s="52"/>
      <c r="FVJ178" s="52"/>
      <c r="FVK178" s="52"/>
      <c r="FVL178" s="52"/>
      <c r="FVM178" s="52"/>
      <c r="FVN178" s="52"/>
      <c r="FVO178" s="52"/>
      <c r="FVP178" s="52"/>
      <c r="FVQ178" s="52"/>
      <c r="FVR178" s="52"/>
      <c r="FVS178" s="52"/>
      <c r="FVT178" s="52"/>
      <c r="FVU178" s="52"/>
      <c r="FVV178" s="52"/>
      <c r="FVW178" s="52"/>
      <c r="FVX178" s="52"/>
      <c r="FVY178" s="52"/>
      <c r="FVZ178" s="52"/>
      <c r="FWA178" s="52"/>
      <c r="FWB178" s="52"/>
      <c r="FWC178" s="52"/>
      <c r="FWD178" s="52"/>
      <c r="FWE178" s="52"/>
      <c r="FWF178" s="52"/>
      <c r="FWG178" s="52"/>
      <c r="FWH178" s="52"/>
      <c r="FWI178" s="52"/>
      <c r="FWJ178" s="52"/>
      <c r="FWK178" s="52"/>
      <c r="FWL178" s="52"/>
      <c r="FWM178" s="52"/>
      <c r="FWN178" s="52"/>
      <c r="FWO178" s="52"/>
      <c r="FWP178" s="52"/>
      <c r="FWQ178" s="52"/>
      <c r="FWR178" s="52"/>
      <c r="FWS178" s="52"/>
      <c r="FWT178" s="52"/>
      <c r="FWU178" s="52"/>
      <c r="FWV178" s="52"/>
      <c r="FWW178" s="52"/>
      <c r="FWX178" s="52"/>
      <c r="FWY178" s="52"/>
      <c r="FWZ178" s="52"/>
      <c r="FXA178" s="52"/>
      <c r="FXB178" s="52"/>
      <c r="FXC178" s="52"/>
      <c r="FXD178" s="52"/>
      <c r="FXE178" s="52"/>
      <c r="FXF178" s="52"/>
      <c r="FXG178" s="52"/>
      <c r="FXH178" s="52"/>
      <c r="FXI178" s="52"/>
      <c r="FXJ178" s="52"/>
      <c r="FXK178" s="52"/>
      <c r="FXL178" s="52"/>
      <c r="FXM178" s="52"/>
      <c r="FXN178" s="52"/>
      <c r="FXO178" s="52"/>
      <c r="FXP178" s="52"/>
      <c r="FXQ178" s="52"/>
      <c r="FXR178" s="52"/>
      <c r="FXS178" s="52"/>
      <c r="FXT178" s="52"/>
      <c r="FXU178" s="52"/>
      <c r="FXV178" s="52"/>
      <c r="FXW178" s="52"/>
      <c r="FXX178" s="52"/>
      <c r="FXY178" s="52"/>
      <c r="FXZ178" s="52"/>
      <c r="FYA178" s="52"/>
      <c r="FYB178" s="52"/>
      <c r="FYC178" s="52"/>
      <c r="FYD178" s="52"/>
      <c r="FYE178" s="52"/>
      <c r="FYF178" s="52"/>
      <c r="FYG178" s="52"/>
      <c r="FYH178" s="52"/>
      <c r="FYI178" s="52"/>
      <c r="FYJ178" s="52"/>
      <c r="FYK178" s="52"/>
      <c r="FYL178" s="52"/>
      <c r="FYM178" s="52"/>
      <c r="FYN178" s="52"/>
      <c r="FYO178" s="52"/>
      <c r="FYP178" s="52"/>
      <c r="FYQ178" s="52"/>
      <c r="FYR178" s="52"/>
      <c r="FYS178" s="52"/>
      <c r="FYT178" s="52"/>
      <c r="FYU178" s="52"/>
      <c r="FYV178" s="52"/>
      <c r="FYW178" s="52"/>
      <c r="FYX178" s="52"/>
      <c r="FYY178" s="52"/>
      <c r="FYZ178" s="52"/>
      <c r="FZA178" s="52"/>
      <c r="FZB178" s="52"/>
      <c r="FZC178" s="52"/>
      <c r="FZD178" s="52"/>
      <c r="FZE178" s="52"/>
      <c r="FZF178" s="52"/>
      <c r="FZG178" s="52"/>
      <c r="FZH178" s="52"/>
      <c r="FZI178" s="52"/>
      <c r="FZJ178" s="52"/>
      <c r="FZK178" s="52"/>
      <c r="FZL178" s="52"/>
      <c r="FZM178" s="52"/>
      <c r="FZN178" s="52"/>
      <c r="FZO178" s="52"/>
      <c r="FZP178" s="52"/>
      <c r="FZQ178" s="52"/>
      <c r="FZR178" s="52"/>
      <c r="FZS178" s="52"/>
      <c r="FZT178" s="52"/>
      <c r="FZU178" s="52"/>
      <c r="FZV178" s="52"/>
      <c r="FZW178" s="52"/>
      <c r="FZX178" s="52"/>
      <c r="FZY178" s="52"/>
      <c r="FZZ178" s="52"/>
      <c r="GAA178" s="52"/>
      <c r="GAB178" s="52"/>
      <c r="GAC178" s="52"/>
      <c r="GAD178" s="52"/>
      <c r="GAE178" s="52"/>
      <c r="GAF178" s="52"/>
      <c r="GAG178" s="52"/>
      <c r="GAH178" s="52"/>
      <c r="GAI178" s="52"/>
      <c r="GAJ178" s="52"/>
      <c r="GAK178" s="52"/>
      <c r="GAL178" s="52"/>
      <c r="GAM178" s="52"/>
      <c r="GAN178" s="52"/>
      <c r="GAO178" s="52"/>
      <c r="GAP178" s="52"/>
      <c r="GAQ178" s="52"/>
      <c r="GAR178" s="52"/>
      <c r="GAS178" s="52"/>
      <c r="GAT178" s="52"/>
      <c r="GAU178" s="52"/>
      <c r="GAV178" s="52"/>
      <c r="GAW178" s="52"/>
      <c r="GAX178" s="52"/>
      <c r="GAY178" s="52"/>
      <c r="GAZ178" s="52"/>
      <c r="GBA178" s="52"/>
      <c r="GBB178" s="52"/>
      <c r="GBC178" s="52"/>
      <c r="GBD178" s="52"/>
      <c r="GBE178" s="52"/>
      <c r="GBF178" s="52"/>
      <c r="GBG178" s="52"/>
      <c r="GBH178" s="52"/>
      <c r="GBI178" s="52"/>
      <c r="GBJ178" s="52"/>
      <c r="GBK178" s="52"/>
      <c r="GBL178" s="52"/>
      <c r="GBM178" s="52"/>
      <c r="GBN178" s="52"/>
      <c r="GBO178" s="52"/>
      <c r="GBP178" s="52"/>
      <c r="GBQ178" s="52"/>
      <c r="GBR178" s="52"/>
      <c r="GBS178" s="52"/>
      <c r="GBT178" s="52"/>
      <c r="GBU178" s="52"/>
      <c r="GBV178" s="52"/>
      <c r="GBW178" s="52"/>
      <c r="GBX178" s="52"/>
      <c r="GBY178" s="52"/>
      <c r="GBZ178" s="52"/>
      <c r="GCA178" s="52"/>
      <c r="GCB178" s="52"/>
      <c r="GCC178" s="52"/>
      <c r="GCD178" s="52"/>
      <c r="GCE178" s="52"/>
      <c r="GCF178" s="52"/>
      <c r="GCG178" s="52"/>
      <c r="GCH178" s="52"/>
      <c r="GCI178" s="52"/>
      <c r="GCJ178" s="52"/>
      <c r="GCK178" s="52"/>
      <c r="GCL178" s="52"/>
      <c r="GCM178" s="52"/>
      <c r="GCN178" s="52"/>
      <c r="GCO178" s="52"/>
      <c r="GCP178" s="52"/>
      <c r="GCQ178" s="52"/>
      <c r="GCR178" s="52"/>
      <c r="GCS178" s="52"/>
      <c r="GCT178" s="52"/>
      <c r="GCU178" s="52"/>
      <c r="GCV178" s="52"/>
      <c r="GCW178" s="52"/>
      <c r="GCX178" s="52"/>
      <c r="GCY178" s="52"/>
      <c r="GCZ178" s="52"/>
      <c r="GDA178" s="52"/>
      <c r="GDB178" s="52"/>
      <c r="GDC178" s="52"/>
      <c r="GDD178" s="52"/>
      <c r="GDE178" s="52"/>
      <c r="GDF178" s="52"/>
      <c r="GDG178" s="52"/>
      <c r="GDH178" s="52"/>
      <c r="GDI178" s="52"/>
      <c r="GDJ178" s="52"/>
      <c r="GDK178" s="52"/>
      <c r="GDL178" s="52"/>
      <c r="GDM178" s="52"/>
      <c r="GDN178" s="52"/>
      <c r="GDO178" s="52"/>
      <c r="GDP178" s="52"/>
      <c r="GDQ178" s="52"/>
      <c r="GDR178" s="52"/>
      <c r="GDS178" s="52"/>
      <c r="GDT178" s="52"/>
      <c r="GDU178" s="52"/>
      <c r="GDV178" s="52"/>
      <c r="GDW178" s="52"/>
      <c r="GDX178" s="52"/>
      <c r="GDY178" s="52"/>
      <c r="GDZ178" s="52"/>
      <c r="GEA178" s="52"/>
      <c r="GEB178" s="52"/>
      <c r="GEC178" s="52"/>
      <c r="GED178" s="52"/>
      <c r="GEE178" s="52"/>
      <c r="GEF178" s="52"/>
      <c r="GEG178" s="52"/>
      <c r="GEH178" s="52"/>
      <c r="GEI178" s="52"/>
      <c r="GEJ178" s="52"/>
      <c r="GEK178" s="52"/>
      <c r="GEL178" s="52"/>
      <c r="GEM178" s="52"/>
      <c r="GEN178" s="52"/>
      <c r="GEO178" s="52"/>
      <c r="GEP178" s="52"/>
      <c r="GEQ178" s="52"/>
      <c r="GER178" s="52"/>
      <c r="GES178" s="52"/>
      <c r="GET178" s="52"/>
      <c r="GEU178" s="52"/>
      <c r="GEV178" s="52"/>
      <c r="GEW178" s="52"/>
      <c r="GEX178" s="52"/>
      <c r="GEY178" s="52"/>
      <c r="GEZ178" s="52"/>
      <c r="GFA178" s="52"/>
      <c r="GFB178" s="52"/>
      <c r="GFC178" s="52"/>
      <c r="GFD178" s="52"/>
      <c r="GFE178" s="52"/>
      <c r="GFF178" s="52"/>
      <c r="GFG178" s="52"/>
      <c r="GFH178" s="52"/>
      <c r="GFI178" s="52"/>
      <c r="GFJ178" s="52"/>
      <c r="GFK178" s="52"/>
      <c r="GFL178" s="52"/>
      <c r="GFM178" s="52"/>
      <c r="GFN178" s="52"/>
      <c r="GFO178" s="52"/>
      <c r="GFP178" s="52"/>
      <c r="GFQ178" s="52"/>
      <c r="GFR178" s="52"/>
      <c r="GFS178" s="52"/>
      <c r="GFT178" s="52"/>
      <c r="GFU178" s="52"/>
      <c r="GFV178" s="52"/>
      <c r="GFW178" s="52"/>
      <c r="GFX178" s="52"/>
      <c r="GFY178" s="52"/>
      <c r="GFZ178" s="52"/>
      <c r="GGA178" s="52"/>
      <c r="GGB178" s="52"/>
      <c r="GGC178" s="52"/>
      <c r="GGD178" s="52"/>
      <c r="GGE178" s="52"/>
      <c r="GGF178" s="52"/>
      <c r="GGG178" s="52"/>
      <c r="GGH178" s="52"/>
      <c r="GGI178" s="52"/>
      <c r="GGJ178" s="52"/>
      <c r="GGK178" s="52"/>
      <c r="GGL178" s="52"/>
      <c r="GGM178" s="52"/>
      <c r="GGN178" s="52"/>
      <c r="GGO178" s="52"/>
      <c r="GGP178" s="52"/>
      <c r="GGQ178" s="52"/>
      <c r="GGR178" s="52"/>
      <c r="GGS178" s="52"/>
      <c r="GGT178" s="52"/>
      <c r="GGU178" s="52"/>
      <c r="GGV178" s="52"/>
      <c r="GGW178" s="52"/>
      <c r="GGX178" s="52"/>
      <c r="GGY178" s="52"/>
      <c r="GGZ178" s="52"/>
      <c r="GHA178" s="52"/>
      <c r="GHB178" s="52"/>
      <c r="GHC178" s="52"/>
      <c r="GHD178" s="52"/>
      <c r="GHE178" s="52"/>
      <c r="GHF178" s="52"/>
      <c r="GHG178" s="52"/>
      <c r="GHH178" s="52"/>
      <c r="GHI178" s="52"/>
      <c r="GHJ178" s="52"/>
      <c r="GHK178" s="52"/>
      <c r="GHL178" s="52"/>
      <c r="GHM178" s="52"/>
      <c r="GHN178" s="52"/>
      <c r="GHO178" s="52"/>
      <c r="GHP178" s="52"/>
      <c r="GHQ178" s="52"/>
      <c r="GHR178" s="52"/>
      <c r="GHS178" s="52"/>
      <c r="GHT178" s="52"/>
      <c r="GHU178" s="52"/>
      <c r="GHV178" s="52"/>
      <c r="GHW178" s="52"/>
      <c r="GHX178" s="52"/>
      <c r="GHY178" s="52"/>
      <c r="GHZ178" s="52"/>
      <c r="GIA178" s="52"/>
      <c r="GIB178" s="52"/>
      <c r="GIC178" s="52"/>
      <c r="GID178" s="52"/>
      <c r="GIE178" s="52"/>
      <c r="GIF178" s="52"/>
      <c r="GIG178" s="52"/>
      <c r="GIH178" s="52"/>
      <c r="GII178" s="52"/>
      <c r="GIJ178" s="52"/>
      <c r="GIK178" s="52"/>
      <c r="GIL178" s="52"/>
      <c r="GIM178" s="52"/>
      <c r="GIN178" s="52"/>
      <c r="GIO178" s="52"/>
      <c r="GIP178" s="52"/>
      <c r="GIQ178" s="52"/>
      <c r="GIR178" s="52"/>
      <c r="GIS178" s="52"/>
      <c r="GIT178" s="52"/>
      <c r="GIU178" s="52"/>
      <c r="GIV178" s="52"/>
      <c r="GIW178" s="52"/>
      <c r="GIX178" s="52"/>
      <c r="GIY178" s="52"/>
      <c r="GIZ178" s="52"/>
      <c r="GJA178" s="52"/>
      <c r="GJB178" s="52"/>
      <c r="GJC178" s="52"/>
      <c r="GJD178" s="52"/>
      <c r="GJE178" s="52"/>
      <c r="GJF178" s="52"/>
      <c r="GJG178" s="52"/>
      <c r="GJH178" s="52"/>
      <c r="GJI178" s="52"/>
      <c r="GJJ178" s="52"/>
      <c r="GJK178" s="52"/>
      <c r="GJL178" s="52"/>
      <c r="GJM178" s="52"/>
      <c r="GJN178" s="52"/>
      <c r="GJO178" s="52"/>
      <c r="GJP178" s="52"/>
      <c r="GJQ178" s="52"/>
      <c r="GJR178" s="52"/>
      <c r="GJS178" s="52"/>
      <c r="GJT178" s="52"/>
      <c r="GJU178" s="52"/>
      <c r="GJV178" s="52"/>
      <c r="GJW178" s="52"/>
      <c r="GJX178" s="52"/>
      <c r="GJY178" s="52"/>
      <c r="GJZ178" s="52"/>
      <c r="GKA178" s="52"/>
      <c r="GKB178" s="52"/>
      <c r="GKC178" s="52"/>
      <c r="GKD178" s="52"/>
      <c r="GKE178" s="52"/>
      <c r="GKF178" s="52"/>
      <c r="GKG178" s="52"/>
      <c r="GKH178" s="52"/>
      <c r="GKI178" s="52"/>
      <c r="GKJ178" s="52"/>
      <c r="GKK178" s="52"/>
      <c r="GKL178" s="52"/>
      <c r="GKM178" s="52"/>
      <c r="GKN178" s="52"/>
      <c r="GKO178" s="52"/>
      <c r="GKP178" s="52"/>
      <c r="GKQ178" s="52"/>
      <c r="GKR178" s="52"/>
      <c r="GKS178" s="52"/>
      <c r="GKT178" s="52"/>
      <c r="GKU178" s="52"/>
      <c r="GKV178" s="52"/>
      <c r="GKW178" s="52"/>
      <c r="GKX178" s="52"/>
      <c r="GKY178" s="52"/>
      <c r="GKZ178" s="52"/>
      <c r="GLA178" s="52"/>
      <c r="GLB178" s="52"/>
      <c r="GLC178" s="52"/>
      <c r="GLD178" s="52"/>
      <c r="GLE178" s="52"/>
      <c r="GLF178" s="52"/>
      <c r="GLG178" s="52"/>
      <c r="GLH178" s="52"/>
      <c r="GLI178" s="52"/>
      <c r="GLJ178" s="52"/>
      <c r="GLK178" s="52"/>
      <c r="GLL178" s="52"/>
      <c r="GLM178" s="52"/>
      <c r="GLN178" s="52"/>
      <c r="GLO178" s="52"/>
      <c r="GLP178" s="52"/>
      <c r="GLQ178" s="52"/>
      <c r="GLR178" s="52"/>
      <c r="GLS178" s="52"/>
      <c r="GLT178" s="52"/>
      <c r="GLU178" s="52"/>
      <c r="GLV178" s="52"/>
      <c r="GLW178" s="52"/>
      <c r="GLX178" s="52"/>
      <c r="GLY178" s="52"/>
      <c r="GLZ178" s="52"/>
      <c r="GMA178" s="52"/>
      <c r="GMB178" s="52"/>
      <c r="GMC178" s="52"/>
      <c r="GMD178" s="52"/>
      <c r="GME178" s="52"/>
      <c r="GMF178" s="52"/>
      <c r="GMG178" s="52"/>
      <c r="GMH178" s="52"/>
      <c r="GMI178" s="52"/>
      <c r="GMJ178" s="52"/>
      <c r="GMK178" s="52"/>
      <c r="GML178" s="52"/>
      <c r="GMM178" s="52"/>
      <c r="GMN178" s="52"/>
      <c r="GMO178" s="52"/>
      <c r="GMP178" s="52"/>
      <c r="GMQ178" s="52"/>
      <c r="GMR178" s="52"/>
      <c r="GMS178" s="52"/>
      <c r="GMT178" s="52"/>
      <c r="GMU178" s="52"/>
      <c r="GMV178" s="52"/>
      <c r="GMW178" s="52"/>
      <c r="GMX178" s="52"/>
      <c r="GMY178" s="52"/>
      <c r="GMZ178" s="52"/>
      <c r="GNA178" s="52"/>
      <c r="GNB178" s="52"/>
      <c r="GNC178" s="52"/>
      <c r="GND178" s="52"/>
      <c r="GNE178" s="52"/>
      <c r="GNF178" s="52"/>
      <c r="GNG178" s="52"/>
      <c r="GNH178" s="52"/>
      <c r="GNI178" s="52"/>
      <c r="GNJ178" s="52"/>
      <c r="GNK178" s="52"/>
      <c r="GNL178" s="52"/>
      <c r="GNM178" s="52"/>
      <c r="GNN178" s="52"/>
      <c r="GNO178" s="52"/>
      <c r="GNP178" s="52"/>
      <c r="GNQ178" s="52"/>
      <c r="GNR178" s="52"/>
      <c r="GNS178" s="52"/>
      <c r="GNT178" s="52"/>
      <c r="GNU178" s="52"/>
      <c r="GNV178" s="52"/>
      <c r="GNW178" s="52"/>
      <c r="GNX178" s="52"/>
      <c r="GNY178" s="52"/>
      <c r="GNZ178" s="52"/>
      <c r="GOA178" s="52"/>
      <c r="GOB178" s="52"/>
      <c r="GOC178" s="52"/>
      <c r="GOD178" s="52"/>
      <c r="GOE178" s="52"/>
      <c r="GOF178" s="52"/>
      <c r="GOG178" s="52"/>
      <c r="GOH178" s="52"/>
      <c r="GOI178" s="52"/>
      <c r="GOJ178" s="52"/>
      <c r="GOK178" s="52"/>
      <c r="GOL178" s="52"/>
      <c r="GOM178" s="52"/>
      <c r="GON178" s="52"/>
      <c r="GOO178" s="52"/>
      <c r="GOP178" s="52"/>
      <c r="GOQ178" s="52"/>
      <c r="GOR178" s="52"/>
      <c r="GOS178" s="52"/>
      <c r="GOT178" s="52"/>
      <c r="GOU178" s="52"/>
      <c r="GOV178" s="52"/>
      <c r="GOW178" s="52"/>
      <c r="GOX178" s="52"/>
      <c r="GOY178" s="52"/>
      <c r="GOZ178" s="52"/>
      <c r="GPA178" s="52"/>
      <c r="GPB178" s="52"/>
      <c r="GPC178" s="52"/>
      <c r="GPD178" s="52"/>
      <c r="GPE178" s="52"/>
      <c r="GPF178" s="52"/>
      <c r="GPG178" s="52"/>
      <c r="GPH178" s="52"/>
      <c r="GPI178" s="52"/>
      <c r="GPJ178" s="52"/>
      <c r="GPK178" s="52"/>
      <c r="GPL178" s="52"/>
      <c r="GPM178" s="52"/>
      <c r="GPN178" s="52"/>
      <c r="GPO178" s="52"/>
      <c r="GPP178" s="52"/>
      <c r="GPQ178" s="52"/>
      <c r="GPR178" s="52"/>
      <c r="GPS178" s="52"/>
      <c r="GPT178" s="52"/>
      <c r="GPU178" s="52"/>
      <c r="GPV178" s="52"/>
      <c r="GPW178" s="52"/>
      <c r="GPX178" s="52"/>
      <c r="GPY178" s="52"/>
      <c r="GPZ178" s="52"/>
      <c r="GQA178" s="52"/>
      <c r="GQB178" s="52"/>
      <c r="GQC178" s="52"/>
      <c r="GQD178" s="52"/>
      <c r="GQE178" s="52"/>
      <c r="GQF178" s="52"/>
      <c r="GQG178" s="52"/>
      <c r="GQH178" s="52"/>
      <c r="GQI178" s="52"/>
      <c r="GQJ178" s="52"/>
      <c r="GQK178" s="52"/>
      <c r="GQL178" s="52"/>
      <c r="GQM178" s="52"/>
      <c r="GQN178" s="52"/>
      <c r="GQO178" s="52"/>
      <c r="GQP178" s="52"/>
      <c r="GQQ178" s="52"/>
      <c r="GQR178" s="52"/>
      <c r="GQS178" s="52"/>
      <c r="GQT178" s="52"/>
      <c r="GQU178" s="52"/>
      <c r="GQV178" s="52"/>
      <c r="GQW178" s="52"/>
      <c r="GQX178" s="52"/>
      <c r="GQY178" s="52"/>
      <c r="GQZ178" s="52"/>
      <c r="GRA178" s="52"/>
      <c r="GRB178" s="52"/>
      <c r="GRC178" s="52"/>
      <c r="GRD178" s="52"/>
      <c r="GRE178" s="52"/>
      <c r="GRF178" s="52"/>
      <c r="GRG178" s="52"/>
      <c r="GRH178" s="52"/>
      <c r="GRI178" s="52"/>
      <c r="GRJ178" s="52"/>
      <c r="GRK178" s="52"/>
      <c r="GRL178" s="52"/>
      <c r="GRM178" s="52"/>
      <c r="GRN178" s="52"/>
      <c r="GRO178" s="52"/>
      <c r="GRP178" s="52"/>
      <c r="GRQ178" s="52"/>
      <c r="GRR178" s="52"/>
      <c r="GRS178" s="52"/>
      <c r="GRT178" s="52"/>
      <c r="GRU178" s="52"/>
      <c r="GRV178" s="52"/>
      <c r="GRW178" s="52"/>
      <c r="GRX178" s="52"/>
      <c r="GRY178" s="52"/>
      <c r="GRZ178" s="52"/>
      <c r="GSA178" s="52"/>
      <c r="GSB178" s="52"/>
      <c r="GSC178" s="52"/>
      <c r="GSD178" s="52"/>
      <c r="GSE178" s="52"/>
      <c r="GSF178" s="52"/>
      <c r="GSG178" s="52"/>
      <c r="GSH178" s="52"/>
      <c r="GSI178" s="52"/>
      <c r="GSJ178" s="52"/>
      <c r="GSK178" s="52"/>
      <c r="GSL178" s="52"/>
      <c r="GSM178" s="52"/>
      <c r="GSN178" s="52"/>
      <c r="GSO178" s="52"/>
      <c r="GSP178" s="52"/>
      <c r="GSQ178" s="52"/>
      <c r="GSR178" s="52"/>
      <c r="GSS178" s="52"/>
      <c r="GST178" s="52"/>
      <c r="GSU178" s="52"/>
      <c r="GSV178" s="52"/>
      <c r="GSW178" s="52"/>
      <c r="GSX178" s="52"/>
      <c r="GSY178" s="52"/>
      <c r="GSZ178" s="52"/>
      <c r="GTA178" s="52"/>
      <c r="GTB178" s="52"/>
      <c r="GTC178" s="52"/>
      <c r="GTD178" s="52"/>
      <c r="GTE178" s="52"/>
      <c r="GTF178" s="52"/>
      <c r="GTG178" s="52"/>
      <c r="GTH178" s="52"/>
      <c r="GTI178" s="52"/>
      <c r="GTJ178" s="52"/>
      <c r="GTK178" s="52"/>
      <c r="GTL178" s="52"/>
      <c r="GTM178" s="52"/>
      <c r="GTN178" s="52"/>
      <c r="GTO178" s="52"/>
      <c r="GTP178" s="52"/>
      <c r="GTQ178" s="52"/>
      <c r="GTR178" s="52"/>
      <c r="GTS178" s="52"/>
      <c r="GTT178" s="52"/>
      <c r="GTU178" s="52"/>
      <c r="GTV178" s="52"/>
      <c r="GTW178" s="52"/>
      <c r="GTX178" s="52"/>
      <c r="GTY178" s="52"/>
      <c r="GTZ178" s="52"/>
      <c r="GUA178" s="52"/>
      <c r="GUB178" s="52"/>
      <c r="GUC178" s="52"/>
      <c r="GUD178" s="52"/>
      <c r="GUE178" s="52"/>
      <c r="GUF178" s="52"/>
      <c r="GUG178" s="52"/>
      <c r="GUH178" s="52"/>
      <c r="GUI178" s="52"/>
      <c r="GUJ178" s="52"/>
      <c r="GUK178" s="52"/>
      <c r="GUL178" s="52"/>
      <c r="GUM178" s="52"/>
      <c r="GUN178" s="52"/>
      <c r="GUO178" s="52"/>
      <c r="GUP178" s="52"/>
      <c r="GUQ178" s="52"/>
      <c r="GUR178" s="52"/>
      <c r="GUS178" s="52"/>
      <c r="GUT178" s="52"/>
      <c r="GUU178" s="52"/>
      <c r="GUV178" s="52"/>
      <c r="GUW178" s="52"/>
      <c r="GUX178" s="52"/>
      <c r="GUY178" s="52"/>
      <c r="GUZ178" s="52"/>
      <c r="GVA178" s="52"/>
      <c r="GVB178" s="52"/>
      <c r="GVC178" s="52"/>
      <c r="GVD178" s="52"/>
      <c r="GVE178" s="52"/>
      <c r="GVF178" s="52"/>
      <c r="GVG178" s="52"/>
      <c r="GVH178" s="52"/>
      <c r="GVI178" s="52"/>
      <c r="GVJ178" s="52"/>
      <c r="GVK178" s="52"/>
      <c r="GVL178" s="52"/>
      <c r="GVM178" s="52"/>
      <c r="GVN178" s="52"/>
      <c r="GVO178" s="52"/>
      <c r="GVP178" s="52"/>
      <c r="GVQ178" s="52"/>
      <c r="GVR178" s="52"/>
      <c r="GVS178" s="52"/>
      <c r="GVT178" s="52"/>
      <c r="GVU178" s="52"/>
      <c r="GVV178" s="52"/>
      <c r="GVW178" s="52"/>
      <c r="GVX178" s="52"/>
      <c r="GVY178" s="52"/>
      <c r="GVZ178" s="52"/>
      <c r="GWA178" s="52"/>
      <c r="GWB178" s="52"/>
      <c r="GWC178" s="52"/>
      <c r="GWD178" s="52"/>
      <c r="GWE178" s="52"/>
      <c r="GWF178" s="52"/>
      <c r="GWG178" s="52"/>
      <c r="GWH178" s="52"/>
      <c r="GWI178" s="52"/>
      <c r="GWJ178" s="52"/>
      <c r="GWK178" s="52"/>
      <c r="GWL178" s="52"/>
      <c r="GWM178" s="52"/>
      <c r="GWN178" s="52"/>
      <c r="GWO178" s="52"/>
      <c r="GWP178" s="52"/>
      <c r="GWQ178" s="52"/>
      <c r="GWR178" s="52"/>
      <c r="GWS178" s="52"/>
      <c r="GWT178" s="52"/>
      <c r="GWU178" s="52"/>
      <c r="GWV178" s="52"/>
      <c r="GWW178" s="52"/>
      <c r="GWX178" s="52"/>
      <c r="GWY178" s="52"/>
      <c r="GWZ178" s="52"/>
      <c r="GXA178" s="52"/>
      <c r="GXB178" s="52"/>
      <c r="GXC178" s="52"/>
      <c r="GXD178" s="52"/>
      <c r="GXE178" s="52"/>
      <c r="GXF178" s="52"/>
      <c r="GXG178" s="52"/>
      <c r="GXH178" s="52"/>
      <c r="GXI178" s="52"/>
      <c r="GXJ178" s="52"/>
      <c r="GXK178" s="52"/>
      <c r="GXL178" s="52"/>
      <c r="GXM178" s="52"/>
      <c r="GXN178" s="52"/>
      <c r="GXO178" s="52"/>
      <c r="GXP178" s="52"/>
      <c r="GXQ178" s="52"/>
      <c r="GXR178" s="52"/>
      <c r="GXS178" s="52"/>
      <c r="GXT178" s="52"/>
      <c r="GXU178" s="52"/>
      <c r="GXV178" s="52"/>
      <c r="GXW178" s="52"/>
      <c r="GXX178" s="52"/>
      <c r="GXY178" s="52"/>
      <c r="GXZ178" s="52"/>
      <c r="GYA178" s="52"/>
      <c r="GYB178" s="52"/>
      <c r="GYC178" s="52"/>
      <c r="GYD178" s="52"/>
      <c r="GYE178" s="52"/>
      <c r="GYF178" s="52"/>
      <c r="GYG178" s="52"/>
      <c r="GYH178" s="52"/>
      <c r="GYI178" s="52"/>
      <c r="GYJ178" s="52"/>
      <c r="GYK178" s="52"/>
      <c r="GYL178" s="52"/>
      <c r="GYM178" s="52"/>
      <c r="GYN178" s="52"/>
      <c r="GYO178" s="52"/>
      <c r="GYP178" s="52"/>
      <c r="GYQ178" s="52"/>
      <c r="GYR178" s="52"/>
      <c r="GYS178" s="52"/>
      <c r="GYT178" s="52"/>
      <c r="GYU178" s="52"/>
      <c r="GYV178" s="52"/>
      <c r="GYW178" s="52"/>
      <c r="GYX178" s="52"/>
      <c r="GYY178" s="52"/>
      <c r="GYZ178" s="52"/>
      <c r="GZA178" s="52"/>
      <c r="GZB178" s="52"/>
      <c r="GZC178" s="52"/>
      <c r="GZD178" s="52"/>
      <c r="GZE178" s="52"/>
      <c r="GZF178" s="52"/>
      <c r="GZG178" s="52"/>
      <c r="GZH178" s="52"/>
      <c r="GZI178" s="52"/>
      <c r="GZJ178" s="52"/>
      <c r="GZK178" s="52"/>
      <c r="GZL178" s="52"/>
      <c r="GZM178" s="52"/>
      <c r="GZN178" s="52"/>
      <c r="GZO178" s="52"/>
      <c r="GZP178" s="52"/>
      <c r="GZQ178" s="52"/>
      <c r="GZR178" s="52"/>
      <c r="GZS178" s="52"/>
      <c r="GZT178" s="52"/>
      <c r="GZU178" s="52"/>
      <c r="GZV178" s="52"/>
      <c r="GZW178" s="52"/>
      <c r="GZX178" s="52"/>
      <c r="GZY178" s="52"/>
      <c r="GZZ178" s="52"/>
      <c r="HAA178" s="52"/>
      <c r="HAB178" s="52"/>
      <c r="HAC178" s="52"/>
      <c r="HAD178" s="52"/>
      <c r="HAE178" s="52"/>
      <c r="HAF178" s="52"/>
      <c r="HAG178" s="52"/>
      <c r="HAH178" s="52"/>
      <c r="HAI178" s="52"/>
      <c r="HAJ178" s="52"/>
      <c r="HAK178" s="52"/>
      <c r="HAL178" s="52"/>
      <c r="HAM178" s="52"/>
      <c r="HAN178" s="52"/>
      <c r="HAO178" s="52"/>
      <c r="HAP178" s="52"/>
      <c r="HAQ178" s="52"/>
      <c r="HAR178" s="52"/>
      <c r="HAS178" s="52"/>
      <c r="HAT178" s="52"/>
      <c r="HAU178" s="52"/>
      <c r="HAV178" s="52"/>
      <c r="HAW178" s="52"/>
      <c r="HAX178" s="52"/>
      <c r="HAY178" s="52"/>
      <c r="HAZ178" s="52"/>
      <c r="HBA178" s="52"/>
      <c r="HBB178" s="52"/>
      <c r="HBC178" s="52"/>
      <c r="HBD178" s="52"/>
      <c r="HBE178" s="52"/>
      <c r="HBF178" s="52"/>
      <c r="HBG178" s="52"/>
      <c r="HBH178" s="52"/>
      <c r="HBI178" s="52"/>
      <c r="HBJ178" s="52"/>
      <c r="HBK178" s="52"/>
      <c r="HBL178" s="52"/>
      <c r="HBM178" s="52"/>
      <c r="HBN178" s="52"/>
      <c r="HBO178" s="52"/>
      <c r="HBP178" s="52"/>
      <c r="HBQ178" s="52"/>
      <c r="HBR178" s="52"/>
      <c r="HBS178" s="52"/>
      <c r="HBT178" s="52"/>
      <c r="HBU178" s="52"/>
      <c r="HBV178" s="52"/>
      <c r="HBW178" s="52"/>
      <c r="HBX178" s="52"/>
      <c r="HBY178" s="52"/>
      <c r="HBZ178" s="52"/>
      <c r="HCA178" s="52"/>
      <c r="HCB178" s="52"/>
      <c r="HCC178" s="52"/>
      <c r="HCD178" s="52"/>
      <c r="HCE178" s="52"/>
      <c r="HCF178" s="52"/>
      <c r="HCG178" s="52"/>
      <c r="HCH178" s="52"/>
      <c r="HCI178" s="52"/>
      <c r="HCJ178" s="52"/>
      <c r="HCK178" s="52"/>
      <c r="HCL178" s="52"/>
      <c r="HCM178" s="52"/>
      <c r="HCN178" s="52"/>
      <c r="HCO178" s="52"/>
      <c r="HCP178" s="52"/>
      <c r="HCQ178" s="52"/>
      <c r="HCR178" s="52"/>
      <c r="HCS178" s="52"/>
      <c r="HCT178" s="52"/>
      <c r="HCU178" s="52"/>
      <c r="HCV178" s="52"/>
      <c r="HCW178" s="52"/>
      <c r="HCX178" s="52"/>
      <c r="HCY178" s="52"/>
      <c r="HCZ178" s="52"/>
      <c r="HDA178" s="52"/>
      <c r="HDB178" s="52"/>
      <c r="HDC178" s="52"/>
      <c r="HDD178" s="52"/>
      <c r="HDE178" s="52"/>
      <c r="HDF178" s="52"/>
      <c r="HDG178" s="52"/>
      <c r="HDH178" s="52"/>
      <c r="HDI178" s="52"/>
      <c r="HDJ178" s="52"/>
      <c r="HDK178" s="52"/>
      <c r="HDL178" s="52"/>
      <c r="HDM178" s="52"/>
      <c r="HDN178" s="52"/>
      <c r="HDO178" s="52"/>
      <c r="HDP178" s="52"/>
      <c r="HDQ178" s="52"/>
      <c r="HDR178" s="52"/>
      <c r="HDS178" s="52"/>
      <c r="HDT178" s="52"/>
      <c r="HDU178" s="52"/>
      <c r="HDV178" s="52"/>
      <c r="HDW178" s="52"/>
      <c r="HDX178" s="52"/>
      <c r="HDY178" s="52"/>
      <c r="HDZ178" s="52"/>
      <c r="HEA178" s="52"/>
      <c r="HEB178" s="52"/>
      <c r="HEC178" s="52"/>
      <c r="HED178" s="52"/>
      <c r="HEE178" s="52"/>
      <c r="HEF178" s="52"/>
      <c r="HEG178" s="52"/>
      <c r="HEH178" s="52"/>
      <c r="HEI178" s="52"/>
      <c r="HEJ178" s="52"/>
      <c r="HEK178" s="52"/>
      <c r="HEL178" s="52"/>
      <c r="HEM178" s="52"/>
      <c r="HEN178" s="52"/>
      <c r="HEO178" s="52"/>
      <c r="HEP178" s="52"/>
      <c r="HEQ178" s="52"/>
      <c r="HER178" s="52"/>
      <c r="HES178" s="52"/>
      <c r="HET178" s="52"/>
      <c r="HEU178" s="52"/>
      <c r="HEV178" s="52"/>
      <c r="HEW178" s="52"/>
      <c r="HEX178" s="52"/>
      <c r="HEY178" s="52"/>
      <c r="HEZ178" s="52"/>
      <c r="HFA178" s="52"/>
      <c r="HFB178" s="52"/>
      <c r="HFC178" s="52"/>
      <c r="HFD178" s="52"/>
      <c r="HFE178" s="52"/>
      <c r="HFF178" s="52"/>
      <c r="HFG178" s="52"/>
      <c r="HFH178" s="52"/>
      <c r="HFI178" s="52"/>
      <c r="HFJ178" s="52"/>
      <c r="HFK178" s="52"/>
      <c r="HFL178" s="52"/>
      <c r="HFM178" s="52"/>
      <c r="HFN178" s="52"/>
      <c r="HFO178" s="52"/>
      <c r="HFP178" s="52"/>
      <c r="HFQ178" s="52"/>
      <c r="HFR178" s="52"/>
      <c r="HFS178" s="52"/>
      <c r="HFT178" s="52"/>
      <c r="HFU178" s="52"/>
      <c r="HFV178" s="52"/>
      <c r="HFW178" s="52"/>
      <c r="HFX178" s="52"/>
      <c r="HFY178" s="52"/>
      <c r="HFZ178" s="52"/>
      <c r="HGA178" s="52"/>
      <c r="HGB178" s="52"/>
      <c r="HGC178" s="52"/>
      <c r="HGD178" s="52"/>
      <c r="HGE178" s="52"/>
      <c r="HGF178" s="52"/>
      <c r="HGG178" s="52"/>
      <c r="HGH178" s="52"/>
      <c r="HGI178" s="52"/>
      <c r="HGJ178" s="52"/>
      <c r="HGK178" s="52"/>
      <c r="HGL178" s="52"/>
      <c r="HGM178" s="52"/>
      <c r="HGN178" s="52"/>
      <c r="HGO178" s="52"/>
      <c r="HGP178" s="52"/>
      <c r="HGQ178" s="52"/>
      <c r="HGR178" s="52"/>
      <c r="HGS178" s="52"/>
      <c r="HGT178" s="52"/>
      <c r="HGU178" s="52"/>
      <c r="HGV178" s="52"/>
      <c r="HGW178" s="52"/>
      <c r="HGX178" s="52"/>
      <c r="HGY178" s="52"/>
      <c r="HGZ178" s="52"/>
      <c r="HHA178" s="52"/>
      <c r="HHB178" s="52"/>
      <c r="HHC178" s="52"/>
      <c r="HHD178" s="52"/>
      <c r="HHE178" s="52"/>
      <c r="HHF178" s="52"/>
      <c r="HHG178" s="52"/>
      <c r="HHH178" s="52"/>
      <c r="HHI178" s="52"/>
      <c r="HHJ178" s="52"/>
      <c r="HHK178" s="52"/>
      <c r="HHL178" s="52"/>
      <c r="HHM178" s="52"/>
      <c r="HHN178" s="52"/>
      <c r="HHO178" s="52"/>
      <c r="HHP178" s="52"/>
      <c r="HHQ178" s="52"/>
      <c r="HHR178" s="52"/>
      <c r="HHS178" s="52"/>
      <c r="HHT178" s="52"/>
      <c r="HHU178" s="52"/>
      <c r="HHV178" s="52"/>
      <c r="HHW178" s="52"/>
      <c r="HHX178" s="52"/>
      <c r="HHY178" s="52"/>
      <c r="HHZ178" s="52"/>
      <c r="HIA178" s="52"/>
      <c r="HIB178" s="52"/>
      <c r="HIC178" s="52"/>
      <c r="HID178" s="52"/>
      <c r="HIE178" s="52"/>
      <c r="HIF178" s="52"/>
      <c r="HIG178" s="52"/>
      <c r="HIH178" s="52"/>
      <c r="HII178" s="52"/>
      <c r="HIJ178" s="52"/>
      <c r="HIK178" s="52"/>
      <c r="HIL178" s="52"/>
      <c r="HIM178" s="52"/>
      <c r="HIN178" s="52"/>
      <c r="HIO178" s="52"/>
      <c r="HIP178" s="52"/>
      <c r="HIQ178" s="52"/>
      <c r="HIR178" s="52"/>
      <c r="HIS178" s="52"/>
      <c r="HIT178" s="52"/>
      <c r="HIU178" s="52"/>
      <c r="HIV178" s="52"/>
      <c r="HIW178" s="52"/>
      <c r="HIX178" s="52"/>
      <c r="HIY178" s="52"/>
      <c r="HIZ178" s="52"/>
      <c r="HJA178" s="52"/>
      <c r="HJB178" s="52"/>
      <c r="HJC178" s="52"/>
      <c r="HJD178" s="52"/>
      <c r="HJE178" s="52"/>
      <c r="HJF178" s="52"/>
      <c r="HJG178" s="52"/>
      <c r="HJH178" s="52"/>
      <c r="HJI178" s="52"/>
      <c r="HJJ178" s="52"/>
      <c r="HJK178" s="52"/>
      <c r="HJL178" s="52"/>
      <c r="HJM178" s="52"/>
      <c r="HJN178" s="52"/>
      <c r="HJO178" s="52"/>
      <c r="HJP178" s="52"/>
      <c r="HJQ178" s="52"/>
      <c r="HJR178" s="52"/>
      <c r="HJS178" s="52"/>
      <c r="HJT178" s="52"/>
      <c r="HJU178" s="52"/>
      <c r="HJV178" s="52"/>
      <c r="HJW178" s="52"/>
      <c r="HJX178" s="52"/>
      <c r="HJY178" s="52"/>
      <c r="HJZ178" s="52"/>
      <c r="HKA178" s="52"/>
      <c r="HKB178" s="52"/>
      <c r="HKC178" s="52"/>
      <c r="HKD178" s="52"/>
      <c r="HKE178" s="52"/>
      <c r="HKF178" s="52"/>
      <c r="HKG178" s="52"/>
      <c r="HKH178" s="52"/>
      <c r="HKI178" s="52"/>
      <c r="HKJ178" s="52"/>
      <c r="HKK178" s="52"/>
      <c r="HKL178" s="52"/>
      <c r="HKM178" s="52"/>
      <c r="HKN178" s="52"/>
      <c r="HKO178" s="52"/>
      <c r="HKP178" s="52"/>
      <c r="HKQ178" s="52"/>
      <c r="HKR178" s="52"/>
      <c r="HKS178" s="52"/>
      <c r="HKT178" s="52"/>
      <c r="HKU178" s="52"/>
      <c r="HKV178" s="52"/>
      <c r="HKW178" s="52"/>
      <c r="HKX178" s="52"/>
      <c r="HKY178" s="52"/>
      <c r="HKZ178" s="52"/>
      <c r="HLA178" s="52"/>
      <c r="HLB178" s="52"/>
      <c r="HLC178" s="52"/>
      <c r="HLD178" s="52"/>
      <c r="HLE178" s="52"/>
      <c r="HLF178" s="52"/>
      <c r="HLG178" s="52"/>
      <c r="HLH178" s="52"/>
      <c r="HLI178" s="52"/>
      <c r="HLJ178" s="52"/>
      <c r="HLK178" s="52"/>
      <c r="HLL178" s="52"/>
      <c r="HLM178" s="52"/>
      <c r="HLN178" s="52"/>
      <c r="HLO178" s="52"/>
      <c r="HLP178" s="52"/>
      <c r="HLQ178" s="52"/>
      <c r="HLR178" s="52"/>
      <c r="HLS178" s="52"/>
      <c r="HLT178" s="52"/>
      <c r="HLU178" s="52"/>
      <c r="HLV178" s="52"/>
      <c r="HLW178" s="52"/>
      <c r="HLX178" s="52"/>
      <c r="HLY178" s="52"/>
      <c r="HLZ178" s="52"/>
      <c r="HMA178" s="52"/>
      <c r="HMB178" s="52"/>
      <c r="HMC178" s="52"/>
      <c r="HMD178" s="52"/>
      <c r="HME178" s="52"/>
      <c r="HMF178" s="52"/>
      <c r="HMG178" s="52"/>
      <c r="HMH178" s="52"/>
      <c r="HMI178" s="52"/>
      <c r="HMJ178" s="52"/>
      <c r="HMK178" s="52"/>
      <c r="HML178" s="52"/>
      <c r="HMM178" s="52"/>
      <c r="HMN178" s="52"/>
      <c r="HMO178" s="52"/>
      <c r="HMP178" s="52"/>
      <c r="HMQ178" s="52"/>
      <c r="HMR178" s="52"/>
      <c r="HMS178" s="52"/>
      <c r="HMT178" s="52"/>
      <c r="HMU178" s="52"/>
      <c r="HMV178" s="52"/>
      <c r="HMW178" s="52"/>
      <c r="HMX178" s="52"/>
      <c r="HMY178" s="52"/>
      <c r="HMZ178" s="52"/>
      <c r="HNA178" s="52"/>
      <c r="HNB178" s="52"/>
      <c r="HNC178" s="52"/>
      <c r="HND178" s="52"/>
      <c r="HNE178" s="52"/>
      <c r="HNF178" s="52"/>
      <c r="HNG178" s="52"/>
      <c r="HNH178" s="52"/>
      <c r="HNI178" s="52"/>
      <c r="HNJ178" s="52"/>
      <c r="HNK178" s="52"/>
      <c r="HNL178" s="52"/>
      <c r="HNM178" s="52"/>
      <c r="HNN178" s="52"/>
      <c r="HNO178" s="52"/>
      <c r="HNP178" s="52"/>
      <c r="HNQ178" s="52"/>
      <c r="HNR178" s="52"/>
      <c r="HNS178" s="52"/>
      <c r="HNT178" s="52"/>
      <c r="HNU178" s="52"/>
      <c r="HNV178" s="52"/>
      <c r="HNW178" s="52"/>
      <c r="HNX178" s="52"/>
      <c r="HNY178" s="52"/>
      <c r="HNZ178" s="52"/>
      <c r="HOA178" s="52"/>
      <c r="HOB178" s="52"/>
      <c r="HOC178" s="52"/>
      <c r="HOD178" s="52"/>
      <c r="HOE178" s="52"/>
      <c r="HOF178" s="52"/>
      <c r="HOG178" s="52"/>
      <c r="HOH178" s="52"/>
      <c r="HOI178" s="52"/>
      <c r="HOJ178" s="52"/>
      <c r="HOK178" s="52"/>
      <c r="HOL178" s="52"/>
      <c r="HOM178" s="52"/>
      <c r="HON178" s="52"/>
      <c r="HOO178" s="52"/>
      <c r="HOP178" s="52"/>
      <c r="HOQ178" s="52"/>
      <c r="HOR178" s="52"/>
      <c r="HOS178" s="52"/>
      <c r="HOT178" s="52"/>
      <c r="HOU178" s="52"/>
      <c r="HOV178" s="52"/>
      <c r="HOW178" s="52"/>
      <c r="HOX178" s="52"/>
      <c r="HOY178" s="52"/>
      <c r="HOZ178" s="52"/>
      <c r="HPA178" s="52"/>
      <c r="HPB178" s="52"/>
      <c r="HPC178" s="52"/>
      <c r="HPD178" s="52"/>
      <c r="HPE178" s="52"/>
      <c r="HPF178" s="52"/>
      <c r="HPG178" s="52"/>
      <c r="HPH178" s="52"/>
      <c r="HPI178" s="52"/>
      <c r="HPJ178" s="52"/>
      <c r="HPK178" s="52"/>
      <c r="HPL178" s="52"/>
      <c r="HPM178" s="52"/>
      <c r="HPN178" s="52"/>
      <c r="HPO178" s="52"/>
      <c r="HPP178" s="52"/>
      <c r="HPQ178" s="52"/>
      <c r="HPR178" s="52"/>
      <c r="HPS178" s="52"/>
      <c r="HPT178" s="52"/>
      <c r="HPU178" s="52"/>
      <c r="HPV178" s="52"/>
      <c r="HPW178" s="52"/>
      <c r="HPX178" s="52"/>
      <c r="HPY178" s="52"/>
      <c r="HPZ178" s="52"/>
      <c r="HQA178" s="52"/>
      <c r="HQB178" s="52"/>
      <c r="HQC178" s="52"/>
      <c r="HQD178" s="52"/>
      <c r="HQE178" s="52"/>
      <c r="HQF178" s="52"/>
      <c r="HQG178" s="52"/>
      <c r="HQH178" s="52"/>
      <c r="HQI178" s="52"/>
      <c r="HQJ178" s="52"/>
      <c r="HQK178" s="52"/>
      <c r="HQL178" s="52"/>
      <c r="HQM178" s="52"/>
      <c r="HQN178" s="52"/>
      <c r="HQO178" s="52"/>
      <c r="HQP178" s="52"/>
      <c r="HQQ178" s="52"/>
      <c r="HQR178" s="52"/>
      <c r="HQS178" s="52"/>
      <c r="HQT178" s="52"/>
      <c r="HQU178" s="52"/>
      <c r="HQV178" s="52"/>
      <c r="HQW178" s="52"/>
      <c r="HQX178" s="52"/>
      <c r="HQY178" s="52"/>
      <c r="HQZ178" s="52"/>
      <c r="HRA178" s="52"/>
      <c r="HRB178" s="52"/>
      <c r="HRC178" s="52"/>
      <c r="HRD178" s="52"/>
      <c r="HRE178" s="52"/>
      <c r="HRF178" s="52"/>
      <c r="HRG178" s="52"/>
      <c r="HRH178" s="52"/>
      <c r="HRI178" s="52"/>
      <c r="HRJ178" s="52"/>
      <c r="HRK178" s="52"/>
      <c r="HRL178" s="52"/>
      <c r="HRM178" s="52"/>
      <c r="HRN178" s="52"/>
      <c r="HRO178" s="52"/>
      <c r="HRP178" s="52"/>
      <c r="HRQ178" s="52"/>
      <c r="HRR178" s="52"/>
      <c r="HRS178" s="52"/>
      <c r="HRT178" s="52"/>
      <c r="HRU178" s="52"/>
      <c r="HRV178" s="52"/>
      <c r="HRW178" s="52"/>
      <c r="HRX178" s="52"/>
      <c r="HRY178" s="52"/>
      <c r="HRZ178" s="52"/>
      <c r="HSA178" s="52"/>
      <c r="HSB178" s="52"/>
      <c r="HSC178" s="52"/>
      <c r="HSD178" s="52"/>
      <c r="HSE178" s="52"/>
      <c r="HSF178" s="52"/>
      <c r="HSG178" s="52"/>
      <c r="HSH178" s="52"/>
      <c r="HSI178" s="52"/>
      <c r="HSJ178" s="52"/>
      <c r="HSK178" s="52"/>
      <c r="HSL178" s="52"/>
      <c r="HSM178" s="52"/>
      <c r="HSN178" s="52"/>
      <c r="HSO178" s="52"/>
      <c r="HSP178" s="52"/>
      <c r="HSQ178" s="52"/>
      <c r="HSR178" s="52"/>
      <c r="HSS178" s="52"/>
      <c r="HST178" s="52"/>
      <c r="HSU178" s="52"/>
      <c r="HSV178" s="52"/>
      <c r="HSW178" s="52"/>
      <c r="HSX178" s="52"/>
      <c r="HSY178" s="52"/>
      <c r="HSZ178" s="52"/>
      <c r="HTA178" s="52"/>
      <c r="HTB178" s="52"/>
      <c r="HTC178" s="52"/>
      <c r="HTD178" s="52"/>
      <c r="HTE178" s="52"/>
      <c r="HTF178" s="52"/>
      <c r="HTG178" s="52"/>
      <c r="HTH178" s="52"/>
      <c r="HTI178" s="52"/>
      <c r="HTJ178" s="52"/>
      <c r="HTK178" s="52"/>
      <c r="HTL178" s="52"/>
      <c r="HTM178" s="52"/>
      <c r="HTN178" s="52"/>
      <c r="HTO178" s="52"/>
      <c r="HTP178" s="52"/>
      <c r="HTQ178" s="52"/>
      <c r="HTR178" s="52"/>
      <c r="HTS178" s="52"/>
      <c r="HTT178" s="52"/>
      <c r="HTU178" s="52"/>
      <c r="HTV178" s="52"/>
      <c r="HTW178" s="52"/>
      <c r="HTX178" s="52"/>
      <c r="HTY178" s="52"/>
      <c r="HTZ178" s="52"/>
      <c r="HUA178" s="52"/>
      <c r="HUB178" s="52"/>
      <c r="HUC178" s="52"/>
      <c r="HUD178" s="52"/>
      <c r="HUE178" s="52"/>
      <c r="HUF178" s="52"/>
      <c r="HUG178" s="52"/>
      <c r="HUH178" s="52"/>
      <c r="HUI178" s="52"/>
      <c r="HUJ178" s="52"/>
      <c r="HUK178" s="52"/>
      <c r="HUL178" s="52"/>
      <c r="HUM178" s="52"/>
      <c r="HUN178" s="52"/>
      <c r="HUO178" s="52"/>
      <c r="HUP178" s="52"/>
      <c r="HUQ178" s="52"/>
      <c r="HUR178" s="52"/>
      <c r="HUS178" s="52"/>
      <c r="HUT178" s="52"/>
      <c r="HUU178" s="52"/>
      <c r="HUV178" s="52"/>
      <c r="HUW178" s="52"/>
      <c r="HUX178" s="52"/>
      <c r="HUY178" s="52"/>
      <c r="HUZ178" s="52"/>
      <c r="HVA178" s="52"/>
      <c r="HVB178" s="52"/>
      <c r="HVC178" s="52"/>
      <c r="HVD178" s="52"/>
      <c r="HVE178" s="52"/>
      <c r="HVF178" s="52"/>
      <c r="HVG178" s="52"/>
      <c r="HVH178" s="52"/>
      <c r="HVI178" s="52"/>
      <c r="HVJ178" s="52"/>
      <c r="HVK178" s="52"/>
      <c r="HVL178" s="52"/>
      <c r="HVM178" s="52"/>
      <c r="HVN178" s="52"/>
      <c r="HVO178" s="52"/>
      <c r="HVP178" s="52"/>
      <c r="HVQ178" s="52"/>
      <c r="HVR178" s="52"/>
      <c r="HVS178" s="52"/>
      <c r="HVT178" s="52"/>
      <c r="HVU178" s="52"/>
      <c r="HVV178" s="52"/>
      <c r="HVW178" s="52"/>
      <c r="HVX178" s="52"/>
      <c r="HVY178" s="52"/>
      <c r="HVZ178" s="52"/>
      <c r="HWA178" s="52"/>
      <c r="HWB178" s="52"/>
      <c r="HWC178" s="52"/>
      <c r="HWD178" s="52"/>
      <c r="HWE178" s="52"/>
      <c r="HWF178" s="52"/>
      <c r="HWG178" s="52"/>
      <c r="HWH178" s="52"/>
      <c r="HWI178" s="52"/>
      <c r="HWJ178" s="52"/>
      <c r="HWK178" s="52"/>
      <c r="HWL178" s="52"/>
      <c r="HWM178" s="52"/>
      <c r="HWN178" s="52"/>
      <c r="HWO178" s="52"/>
      <c r="HWP178" s="52"/>
      <c r="HWQ178" s="52"/>
      <c r="HWR178" s="52"/>
      <c r="HWS178" s="52"/>
      <c r="HWT178" s="52"/>
      <c r="HWU178" s="52"/>
      <c r="HWV178" s="52"/>
      <c r="HWW178" s="52"/>
      <c r="HWX178" s="52"/>
      <c r="HWY178" s="52"/>
      <c r="HWZ178" s="52"/>
      <c r="HXA178" s="52"/>
      <c r="HXB178" s="52"/>
      <c r="HXC178" s="52"/>
      <c r="HXD178" s="52"/>
      <c r="HXE178" s="52"/>
      <c r="HXF178" s="52"/>
      <c r="HXG178" s="52"/>
      <c r="HXH178" s="52"/>
      <c r="HXI178" s="52"/>
      <c r="HXJ178" s="52"/>
      <c r="HXK178" s="52"/>
      <c r="HXL178" s="52"/>
      <c r="HXM178" s="52"/>
      <c r="HXN178" s="52"/>
      <c r="HXO178" s="52"/>
      <c r="HXP178" s="52"/>
      <c r="HXQ178" s="52"/>
      <c r="HXR178" s="52"/>
      <c r="HXS178" s="52"/>
      <c r="HXT178" s="52"/>
      <c r="HXU178" s="52"/>
      <c r="HXV178" s="52"/>
      <c r="HXW178" s="52"/>
      <c r="HXX178" s="52"/>
      <c r="HXY178" s="52"/>
      <c r="HXZ178" s="52"/>
      <c r="HYA178" s="52"/>
      <c r="HYB178" s="52"/>
      <c r="HYC178" s="52"/>
      <c r="HYD178" s="52"/>
      <c r="HYE178" s="52"/>
      <c r="HYF178" s="52"/>
      <c r="HYG178" s="52"/>
      <c r="HYH178" s="52"/>
      <c r="HYI178" s="52"/>
      <c r="HYJ178" s="52"/>
      <c r="HYK178" s="52"/>
      <c r="HYL178" s="52"/>
      <c r="HYM178" s="52"/>
      <c r="HYN178" s="52"/>
      <c r="HYO178" s="52"/>
      <c r="HYP178" s="52"/>
      <c r="HYQ178" s="52"/>
      <c r="HYR178" s="52"/>
      <c r="HYS178" s="52"/>
      <c r="HYT178" s="52"/>
      <c r="HYU178" s="52"/>
      <c r="HYV178" s="52"/>
      <c r="HYW178" s="52"/>
      <c r="HYX178" s="52"/>
      <c r="HYY178" s="52"/>
      <c r="HYZ178" s="52"/>
      <c r="HZA178" s="52"/>
      <c r="HZB178" s="52"/>
      <c r="HZC178" s="52"/>
      <c r="HZD178" s="52"/>
      <c r="HZE178" s="52"/>
      <c r="HZF178" s="52"/>
      <c r="HZG178" s="52"/>
      <c r="HZH178" s="52"/>
      <c r="HZI178" s="52"/>
      <c r="HZJ178" s="52"/>
      <c r="HZK178" s="52"/>
      <c r="HZL178" s="52"/>
      <c r="HZM178" s="52"/>
      <c r="HZN178" s="52"/>
      <c r="HZO178" s="52"/>
      <c r="HZP178" s="52"/>
      <c r="HZQ178" s="52"/>
      <c r="HZR178" s="52"/>
      <c r="HZS178" s="52"/>
      <c r="HZT178" s="52"/>
      <c r="HZU178" s="52"/>
      <c r="HZV178" s="52"/>
      <c r="HZW178" s="52"/>
      <c r="HZX178" s="52"/>
      <c r="HZY178" s="52"/>
      <c r="HZZ178" s="52"/>
      <c r="IAA178" s="52"/>
      <c r="IAB178" s="52"/>
      <c r="IAC178" s="52"/>
      <c r="IAD178" s="52"/>
      <c r="IAE178" s="52"/>
      <c r="IAF178" s="52"/>
      <c r="IAG178" s="52"/>
      <c r="IAH178" s="52"/>
      <c r="IAI178" s="52"/>
      <c r="IAJ178" s="52"/>
      <c r="IAK178" s="52"/>
      <c r="IAL178" s="52"/>
      <c r="IAM178" s="52"/>
      <c r="IAN178" s="52"/>
      <c r="IAO178" s="52"/>
      <c r="IAP178" s="52"/>
      <c r="IAQ178" s="52"/>
      <c r="IAR178" s="52"/>
      <c r="IAS178" s="52"/>
      <c r="IAT178" s="52"/>
      <c r="IAU178" s="52"/>
      <c r="IAV178" s="52"/>
      <c r="IAW178" s="52"/>
      <c r="IAX178" s="52"/>
      <c r="IAY178" s="52"/>
      <c r="IAZ178" s="52"/>
      <c r="IBA178" s="52"/>
      <c r="IBB178" s="52"/>
      <c r="IBC178" s="52"/>
      <c r="IBD178" s="52"/>
      <c r="IBE178" s="52"/>
      <c r="IBF178" s="52"/>
      <c r="IBG178" s="52"/>
      <c r="IBH178" s="52"/>
      <c r="IBI178" s="52"/>
      <c r="IBJ178" s="52"/>
      <c r="IBK178" s="52"/>
      <c r="IBL178" s="52"/>
      <c r="IBM178" s="52"/>
      <c r="IBN178" s="52"/>
      <c r="IBO178" s="52"/>
      <c r="IBP178" s="52"/>
      <c r="IBQ178" s="52"/>
      <c r="IBR178" s="52"/>
      <c r="IBS178" s="52"/>
      <c r="IBT178" s="52"/>
      <c r="IBU178" s="52"/>
      <c r="IBV178" s="52"/>
      <c r="IBW178" s="52"/>
      <c r="IBX178" s="52"/>
      <c r="IBY178" s="52"/>
      <c r="IBZ178" s="52"/>
      <c r="ICA178" s="52"/>
      <c r="ICB178" s="52"/>
      <c r="ICC178" s="52"/>
      <c r="ICD178" s="52"/>
      <c r="ICE178" s="52"/>
      <c r="ICF178" s="52"/>
      <c r="ICG178" s="52"/>
      <c r="ICH178" s="52"/>
      <c r="ICI178" s="52"/>
      <c r="ICJ178" s="52"/>
      <c r="ICK178" s="52"/>
      <c r="ICL178" s="52"/>
      <c r="ICM178" s="52"/>
      <c r="ICN178" s="52"/>
      <c r="ICO178" s="52"/>
      <c r="ICP178" s="52"/>
      <c r="ICQ178" s="52"/>
      <c r="ICR178" s="52"/>
      <c r="ICS178" s="52"/>
      <c r="ICT178" s="52"/>
      <c r="ICU178" s="52"/>
      <c r="ICV178" s="52"/>
      <c r="ICW178" s="52"/>
      <c r="ICX178" s="52"/>
      <c r="ICY178" s="52"/>
      <c r="ICZ178" s="52"/>
      <c r="IDA178" s="52"/>
      <c r="IDB178" s="52"/>
      <c r="IDC178" s="52"/>
      <c r="IDD178" s="52"/>
      <c r="IDE178" s="52"/>
      <c r="IDF178" s="52"/>
      <c r="IDG178" s="52"/>
      <c r="IDH178" s="52"/>
      <c r="IDI178" s="52"/>
      <c r="IDJ178" s="52"/>
      <c r="IDK178" s="52"/>
      <c r="IDL178" s="52"/>
      <c r="IDM178" s="52"/>
      <c r="IDN178" s="52"/>
      <c r="IDO178" s="52"/>
      <c r="IDP178" s="52"/>
      <c r="IDQ178" s="52"/>
      <c r="IDR178" s="52"/>
      <c r="IDS178" s="52"/>
      <c r="IDT178" s="52"/>
      <c r="IDU178" s="52"/>
      <c r="IDV178" s="52"/>
      <c r="IDW178" s="52"/>
      <c r="IDX178" s="52"/>
      <c r="IDY178" s="52"/>
      <c r="IDZ178" s="52"/>
      <c r="IEA178" s="52"/>
      <c r="IEB178" s="52"/>
      <c r="IEC178" s="52"/>
      <c r="IED178" s="52"/>
      <c r="IEE178" s="52"/>
      <c r="IEF178" s="52"/>
      <c r="IEG178" s="52"/>
      <c r="IEH178" s="52"/>
      <c r="IEI178" s="52"/>
      <c r="IEJ178" s="52"/>
      <c r="IEK178" s="52"/>
      <c r="IEL178" s="52"/>
      <c r="IEM178" s="52"/>
      <c r="IEN178" s="52"/>
      <c r="IEO178" s="52"/>
      <c r="IEP178" s="52"/>
      <c r="IEQ178" s="52"/>
      <c r="IER178" s="52"/>
      <c r="IES178" s="52"/>
      <c r="IET178" s="52"/>
      <c r="IEU178" s="52"/>
      <c r="IEV178" s="52"/>
      <c r="IEW178" s="52"/>
      <c r="IEX178" s="52"/>
      <c r="IEY178" s="52"/>
      <c r="IEZ178" s="52"/>
      <c r="IFA178" s="52"/>
      <c r="IFB178" s="52"/>
      <c r="IFC178" s="52"/>
      <c r="IFD178" s="52"/>
      <c r="IFE178" s="52"/>
      <c r="IFF178" s="52"/>
      <c r="IFG178" s="52"/>
      <c r="IFH178" s="52"/>
      <c r="IFI178" s="52"/>
      <c r="IFJ178" s="52"/>
      <c r="IFK178" s="52"/>
      <c r="IFL178" s="52"/>
      <c r="IFM178" s="52"/>
      <c r="IFN178" s="52"/>
      <c r="IFO178" s="52"/>
      <c r="IFP178" s="52"/>
      <c r="IFQ178" s="52"/>
      <c r="IFR178" s="52"/>
      <c r="IFS178" s="52"/>
      <c r="IFT178" s="52"/>
      <c r="IFU178" s="52"/>
      <c r="IFV178" s="52"/>
      <c r="IFW178" s="52"/>
      <c r="IFX178" s="52"/>
      <c r="IFY178" s="52"/>
      <c r="IFZ178" s="52"/>
      <c r="IGA178" s="52"/>
      <c r="IGB178" s="52"/>
      <c r="IGC178" s="52"/>
      <c r="IGD178" s="52"/>
      <c r="IGE178" s="52"/>
      <c r="IGF178" s="52"/>
      <c r="IGG178" s="52"/>
      <c r="IGH178" s="52"/>
      <c r="IGI178" s="52"/>
      <c r="IGJ178" s="52"/>
      <c r="IGK178" s="52"/>
      <c r="IGL178" s="52"/>
      <c r="IGM178" s="52"/>
      <c r="IGN178" s="52"/>
      <c r="IGO178" s="52"/>
      <c r="IGP178" s="52"/>
      <c r="IGQ178" s="52"/>
      <c r="IGR178" s="52"/>
      <c r="IGS178" s="52"/>
      <c r="IGT178" s="52"/>
      <c r="IGU178" s="52"/>
      <c r="IGV178" s="52"/>
      <c r="IGW178" s="52"/>
      <c r="IGX178" s="52"/>
      <c r="IGY178" s="52"/>
      <c r="IGZ178" s="52"/>
      <c r="IHA178" s="52"/>
      <c r="IHB178" s="52"/>
      <c r="IHC178" s="52"/>
      <c r="IHD178" s="52"/>
      <c r="IHE178" s="52"/>
      <c r="IHF178" s="52"/>
      <c r="IHG178" s="52"/>
      <c r="IHH178" s="52"/>
      <c r="IHI178" s="52"/>
      <c r="IHJ178" s="52"/>
      <c r="IHK178" s="52"/>
      <c r="IHL178" s="52"/>
      <c r="IHM178" s="52"/>
      <c r="IHN178" s="52"/>
      <c r="IHO178" s="52"/>
      <c r="IHP178" s="52"/>
      <c r="IHQ178" s="52"/>
      <c r="IHR178" s="52"/>
      <c r="IHS178" s="52"/>
      <c r="IHT178" s="52"/>
      <c r="IHU178" s="52"/>
      <c r="IHV178" s="52"/>
      <c r="IHW178" s="52"/>
      <c r="IHX178" s="52"/>
      <c r="IHY178" s="52"/>
      <c r="IHZ178" s="52"/>
      <c r="IIA178" s="52"/>
      <c r="IIB178" s="52"/>
      <c r="IIC178" s="52"/>
      <c r="IID178" s="52"/>
      <c r="IIE178" s="52"/>
      <c r="IIF178" s="52"/>
      <c r="IIG178" s="52"/>
      <c r="IIH178" s="52"/>
      <c r="III178" s="52"/>
      <c r="IIJ178" s="52"/>
      <c r="IIK178" s="52"/>
      <c r="IIL178" s="52"/>
      <c r="IIM178" s="52"/>
      <c r="IIN178" s="52"/>
      <c r="IIO178" s="52"/>
      <c r="IIP178" s="52"/>
      <c r="IIQ178" s="52"/>
      <c r="IIR178" s="52"/>
      <c r="IIS178" s="52"/>
      <c r="IIT178" s="52"/>
      <c r="IIU178" s="52"/>
      <c r="IIV178" s="52"/>
      <c r="IIW178" s="52"/>
      <c r="IIX178" s="52"/>
      <c r="IIY178" s="52"/>
      <c r="IIZ178" s="52"/>
      <c r="IJA178" s="52"/>
      <c r="IJB178" s="52"/>
      <c r="IJC178" s="52"/>
      <c r="IJD178" s="52"/>
      <c r="IJE178" s="52"/>
      <c r="IJF178" s="52"/>
      <c r="IJG178" s="52"/>
      <c r="IJH178" s="52"/>
      <c r="IJI178" s="52"/>
      <c r="IJJ178" s="52"/>
      <c r="IJK178" s="52"/>
      <c r="IJL178" s="52"/>
      <c r="IJM178" s="52"/>
      <c r="IJN178" s="52"/>
      <c r="IJO178" s="52"/>
      <c r="IJP178" s="52"/>
      <c r="IJQ178" s="52"/>
      <c r="IJR178" s="52"/>
      <c r="IJS178" s="52"/>
      <c r="IJT178" s="52"/>
      <c r="IJU178" s="52"/>
      <c r="IJV178" s="52"/>
      <c r="IJW178" s="52"/>
      <c r="IJX178" s="52"/>
      <c r="IJY178" s="52"/>
      <c r="IJZ178" s="52"/>
      <c r="IKA178" s="52"/>
      <c r="IKB178" s="52"/>
      <c r="IKC178" s="52"/>
      <c r="IKD178" s="52"/>
      <c r="IKE178" s="52"/>
      <c r="IKF178" s="52"/>
      <c r="IKG178" s="52"/>
      <c r="IKH178" s="52"/>
      <c r="IKI178" s="52"/>
      <c r="IKJ178" s="52"/>
      <c r="IKK178" s="52"/>
      <c r="IKL178" s="52"/>
      <c r="IKM178" s="52"/>
      <c r="IKN178" s="52"/>
      <c r="IKO178" s="52"/>
      <c r="IKP178" s="52"/>
      <c r="IKQ178" s="52"/>
      <c r="IKR178" s="52"/>
      <c r="IKS178" s="52"/>
      <c r="IKT178" s="52"/>
      <c r="IKU178" s="52"/>
      <c r="IKV178" s="52"/>
      <c r="IKW178" s="52"/>
      <c r="IKX178" s="52"/>
      <c r="IKY178" s="52"/>
      <c r="IKZ178" s="52"/>
      <c r="ILA178" s="52"/>
      <c r="ILB178" s="52"/>
      <c r="ILC178" s="52"/>
      <c r="ILD178" s="52"/>
      <c r="ILE178" s="52"/>
      <c r="ILF178" s="52"/>
      <c r="ILG178" s="52"/>
      <c r="ILH178" s="52"/>
      <c r="ILI178" s="52"/>
      <c r="ILJ178" s="52"/>
      <c r="ILK178" s="52"/>
      <c r="ILL178" s="52"/>
      <c r="ILM178" s="52"/>
      <c r="ILN178" s="52"/>
      <c r="ILO178" s="52"/>
      <c r="ILP178" s="52"/>
      <c r="ILQ178" s="52"/>
      <c r="ILR178" s="52"/>
      <c r="ILS178" s="52"/>
      <c r="ILT178" s="52"/>
      <c r="ILU178" s="52"/>
      <c r="ILV178" s="52"/>
      <c r="ILW178" s="52"/>
      <c r="ILX178" s="52"/>
      <c r="ILY178" s="52"/>
      <c r="ILZ178" s="52"/>
      <c r="IMA178" s="52"/>
      <c r="IMB178" s="52"/>
      <c r="IMC178" s="52"/>
      <c r="IMD178" s="52"/>
      <c r="IME178" s="52"/>
      <c r="IMF178" s="52"/>
      <c r="IMG178" s="52"/>
      <c r="IMH178" s="52"/>
      <c r="IMI178" s="52"/>
      <c r="IMJ178" s="52"/>
      <c r="IMK178" s="52"/>
      <c r="IML178" s="52"/>
      <c r="IMM178" s="52"/>
      <c r="IMN178" s="52"/>
      <c r="IMO178" s="52"/>
      <c r="IMP178" s="52"/>
      <c r="IMQ178" s="52"/>
      <c r="IMR178" s="52"/>
      <c r="IMS178" s="52"/>
      <c r="IMT178" s="52"/>
      <c r="IMU178" s="52"/>
      <c r="IMV178" s="52"/>
      <c r="IMW178" s="52"/>
      <c r="IMX178" s="52"/>
      <c r="IMY178" s="52"/>
      <c r="IMZ178" s="52"/>
      <c r="INA178" s="52"/>
      <c r="INB178" s="52"/>
      <c r="INC178" s="52"/>
      <c r="IND178" s="52"/>
      <c r="INE178" s="52"/>
      <c r="INF178" s="52"/>
      <c r="ING178" s="52"/>
      <c r="INH178" s="52"/>
      <c r="INI178" s="52"/>
      <c r="INJ178" s="52"/>
      <c r="INK178" s="52"/>
      <c r="INL178" s="52"/>
      <c r="INM178" s="52"/>
      <c r="INN178" s="52"/>
      <c r="INO178" s="52"/>
      <c r="INP178" s="52"/>
      <c r="INQ178" s="52"/>
      <c r="INR178" s="52"/>
      <c r="INS178" s="52"/>
      <c r="INT178" s="52"/>
      <c r="INU178" s="52"/>
      <c r="INV178" s="52"/>
      <c r="INW178" s="52"/>
      <c r="INX178" s="52"/>
      <c r="INY178" s="52"/>
      <c r="INZ178" s="52"/>
      <c r="IOA178" s="52"/>
      <c r="IOB178" s="52"/>
      <c r="IOC178" s="52"/>
      <c r="IOD178" s="52"/>
      <c r="IOE178" s="52"/>
      <c r="IOF178" s="52"/>
      <c r="IOG178" s="52"/>
      <c r="IOH178" s="52"/>
      <c r="IOI178" s="52"/>
      <c r="IOJ178" s="52"/>
      <c r="IOK178" s="52"/>
      <c r="IOL178" s="52"/>
      <c r="IOM178" s="52"/>
      <c r="ION178" s="52"/>
      <c r="IOO178" s="52"/>
      <c r="IOP178" s="52"/>
      <c r="IOQ178" s="52"/>
      <c r="IOR178" s="52"/>
      <c r="IOS178" s="52"/>
      <c r="IOT178" s="52"/>
      <c r="IOU178" s="52"/>
      <c r="IOV178" s="52"/>
      <c r="IOW178" s="52"/>
      <c r="IOX178" s="52"/>
      <c r="IOY178" s="52"/>
      <c r="IOZ178" s="52"/>
      <c r="IPA178" s="52"/>
      <c r="IPB178" s="52"/>
      <c r="IPC178" s="52"/>
      <c r="IPD178" s="52"/>
      <c r="IPE178" s="52"/>
      <c r="IPF178" s="52"/>
      <c r="IPG178" s="52"/>
      <c r="IPH178" s="52"/>
      <c r="IPI178" s="52"/>
      <c r="IPJ178" s="52"/>
      <c r="IPK178" s="52"/>
      <c r="IPL178" s="52"/>
      <c r="IPM178" s="52"/>
      <c r="IPN178" s="52"/>
      <c r="IPO178" s="52"/>
      <c r="IPP178" s="52"/>
      <c r="IPQ178" s="52"/>
      <c r="IPR178" s="52"/>
      <c r="IPS178" s="52"/>
      <c r="IPT178" s="52"/>
      <c r="IPU178" s="52"/>
      <c r="IPV178" s="52"/>
      <c r="IPW178" s="52"/>
      <c r="IPX178" s="52"/>
      <c r="IPY178" s="52"/>
      <c r="IPZ178" s="52"/>
      <c r="IQA178" s="52"/>
      <c r="IQB178" s="52"/>
      <c r="IQC178" s="52"/>
      <c r="IQD178" s="52"/>
      <c r="IQE178" s="52"/>
      <c r="IQF178" s="52"/>
      <c r="IQG178" s="52"/>
      <c r="IQH178" s="52"/>
      <c r="IQI178" s="52"/>
      <c r="IQJ178" s="52"/>
      <c r="IQK178" s="52"/>
      <c r="IQL178" s="52"/>
      <c r="IQM178" s="52"/>
      <c r="IQN178" s="52"/>
      <c r="IQO178" s="52"/>
      <c r="IQP178" s="52"/>
      <c r="IQQ178" s="52"/>
      <c r="IQR178" s="52"/>
      <c r="IQS178" s="52"/>
      <c r="IQT178" s="52"/>
      <c r="IQU178" s="52"/>
      <c r="IQV178" s="52"/>
      <c r="IQW178" s="52"/>
      <c r="IQX178" s="52"/>
      <c r="IQY178" s="52"/>
      <c r="IQZ178" s="52"/>
      <c r="IRA178" s="52"/>
      <c r="IRB178" s="52"/>
      <c r="IRC178" s="52"/>
      <c r="IRD178" s="52"/>
      <c r="IRE178" s="52"/>
      <c r="IRF178" s="52"/>
      <c r="IRG178" s="52"/>
      <c r="IRH178" s="52"/>
      <c r="IRI178" s="52"/>
      <c r="IRJ178" s="52"/>
      <c r="IRK178" s="52"/>
      <c r="IRL178" s="52"/>
      <c r="IRM178" s="52"/>
      <c r="IRN178" s="52"/>
      <c r="IRO178" s="52"/>
      <c r="IRP178" s="52"/>
      <c r="IRQ178" s="52"/>
      <c r="IRR178" s="52"/>
      <c r="IRS178" s="52"/>
      <c r="IRT178" s="52"/>
      <c r="IRU178" s="52"/>
      <c r="IRV178" s="52"/>
      <c r="IRW178" s="52"/>
      <c r="IRX178" s="52"/>
      <c r="IRY178" s="52"/>
      <c r="IRZ178" s="52"/>
      <c r="ISA178" s="52"/>
      <c r="ISB178" s="52"/>
      <c r="ISC178" s="52"/>
      <c r="ISD178" s="52"/>
      <c r="ISE178" s="52"/>
      <c r="ISF178" s="52"/>
      <c r="ISG178" s="52"/>
      <c r="ISH178" s="52"/>
      <c r="ISI178" s="52"/>
      <c r="ISJ178" s="52"/>
      <c r="ISK178" s="52"/>
      <c r="ISL178" s="52"/>
      <c r="ISM178" s="52"/>
      <c r="ISN178" s="52"/>
      <c r="ISO178" s="52"/>
      <c r="ISP178" s="52"/>
      <c r="ISQ178" s="52"/>
      <c r="ISR178" s="52"/>
      <c r="ISS178" s="52"/>
      <c r="IST178" s="52"/>
      <c r="ISU178" s="52"/>
      <c r="ISV178" s="52"/>
      <c r="ISW178" s="52"/>
      <c r="ISX178" s="52"/>
      <c r="ISY178" s="52"/>
      <c r="ISZ178" s="52"/>
      <c r="ITA178" s="52"/>
      <c r="ITB178" s="52"/>
      <c r="ITC178" s="52"/>
      <c r="ITD178" s="52"/>
      <c r="ITE178" s="52"/>
      <c r="ITF178" s="52"/>
      <c r="ITG178" s="52"/>
      <c r="ITH178" s="52"/>
      <c r="ITI178" s="52"/>
      <c r="ITJ178" s="52"/>
      <c r="ITK178" s="52"/>
      <c r="ITL178" s="52"/>
      <c r="ITM178" s="52"/>
      <c r="ITN178" s="52"/>
      <c r="ITO178" s="52"/>
      <c r="ITP178" s="52"/>
      <c r="ITQ178" s="52"/>
      <c r="ITR178" s="52"/>
      <c r="ITS178" s="52"/>
      <c r="ITT178" s="52"/>
      <c r="ITU178" s="52"/>
      <c r="ITV178" s="52"/>
      <c r="ITW178" s="52"/>
      <c r="ITX178" s="52"/>
      <c r="ITY178" s="52"/>
      <c r="ITZ178" s="52"/>
      <c r="IUA178" s="52"/>
      <c r="IUB178" s="52"/>
      <c r="IUC178" s="52"/>
      <c r="IUD178" s="52"/>
      <c r="IUE178" s="52"/>
      <c r="IUF178" s="52"/>
      <c r="IUG178" s="52"/>
      <c r="IUH178" s="52"/>
      <c r="IUI178" s="52"/>
      <c r="IUJ178" s="52"/>
      <c r="IUK178" s="52"/>
      <c r="IUL178" s="52"/>
      <c r="IUM178" s="52"/>
      <c r="IUN178" s="52"/>
      <c r="IUO178" s="52"/>
      <c r="IUP178" s="52"/>
      <c r="IUQ178" s="52"/>
      <c r="IUR178" s="52"/>
      <c r="IUS178" s="52"/>
      <c r="IUT178" s="52"/>
      <c r="IUU178" s="52"/>
      <c r="IUV178" s="52"/>
      <c r="IUW178" s="52"/>
      <c r="IUX178" s="52"/>
      <c r="IUY178" s="52"/>
      <c r="IUZ178" s="52"/>
      <c r="IVA178" s="52"/>
      <c r="IVB178" s="52"/>
      <c r="IVC178" s="52"/>
      <c r="IVD178" s="52"/>
      <c r="IVE178" s="52"/>
      <c r="IVF178" s="52"/>
      <c r="IVG178" s="52"/>
      <c r="IVH178" s="52"/>
      <c r="IVI178" s="52"/>
      <c r="IVJ178" s="52"/>
      <c r="IVK178" s="52"/>
      <c r="IVL178" s="52"/>
      <c r="IVM178" s="52"/>
      <c r="IVN178" s="52"/>
      <c r="IVO178" s="52"/>
      <c r="IVP178" s="52"/>
      <c r="IVQ178" s="52"/>
      <c r="IVR178" s="52"/>
      <c r="IVS178" s="52"/>
      <c r="IVT178" s="52"/>
      <c r="IVU178" s="52"/>
      <c r="IVV178" s="52"/>
      <c r="IVW178" s="52"/>
      <c r="IVX178" s="52"/>
      <c r="IVY178" s="52"/>
      <c r="IVZ178" s="52"/>
      <c r="IWA178" s="52"/>
      <c r="IWB178" s="52"/>
      <c r="IWC178" s="52"/>
      <c r="IWD178" s="52"/>
      <c r="IWE178" s="52"/>
      <c r="IWF178" s="52"/>
      <c r="IWG178" s="52"/>
      <c r="IWH178" s="52"/>
      <c r="IWI178" s="52"/>
      <c r="IWJ178" s="52"/>
      <c r="IWK178" s="52"/>
      <c r="IWL178" s="52"/>
      <c r="IWM178" s="52"/>
      <c r="IWN178" s="52"/>
      <c r="IWO178" s="52"/>
      <c r="IWP178" s="52"/>
      <c r="IWQ178" s="52"/>
      <c r="IWR178" s="52"/>
      <c r="IWS178" s="52"/>
      <c r="IWT178" s="52"/>
      <c r="IWU178" s="52"/>
      <c r="IWV178" s="52"/>
      <c r="IWW178" s="52"/>
      <c r="IWX178" s="52"/>
      <c r="IWY178" s="52"/>
      <c r="IWZ178" s="52"/>
      <c r="IXA178" s="52"/>
      <c r="IXB178" s="52"/>
      <c r="IXC178" s="52"/>
      <c r="IXD178" s="52"/>
      <c r="IXE178" s="52"/>
      <c r="IXF178" s="52"/>
      <c r="IXG178" s="52"/>
      <c r="IXH178" s="52"/>
      <c r="IXI178" s="52"/>
      <c r="IXJ178" s="52"/>
      <c r="IXK178" s="52"/>
      <c r="IXL178" s="52"/>
      <c r="IXM178" s="52"/>
      <c r="IXN178" s="52"/>
      <c r="IXO178" s="52"/>
      <c r="IXP178" s="52"/>
      <c r="IXQ178" s="52"/>
      <c r="IXR178" s="52"/>
      <c r="IXS178" s="52"/>
      <c r="IXT178" s="52"/>
      <c r="IXU178" s="52"/>
      <c r="IXV178" s="52"/>
      <c r="IXW178" s="52"/>
      <c r="IXX178" s="52"/>
      <c r="IXY178" s="52"/>
      <c r="IXZ178" s="52"/>
      <c r="IYA178" s="52"/>
      <c r="IYB178" s="52"/>
      <c r="IYC178" s="52"/>
      <c r="IYD178" s="52"/>
      <c r="IYE178" s="52"/>
      <c r="IYF178" s="52"/>
      <c r="IYG178" s="52"/>
      <c r="IYH178" s="52"/>
      <c r="IYI178" s="52"/>
      <c r="IYJ178" s="52"/>
      <c r="IYK178" s="52"/>
      <c r="IYL178" s="52"/>
      <c r="IYM178" s="52"/>
      <c r="IYN178" s="52"/>
      <c r="IYO178" s="52"/>
      <c r="IYP178" s="52"/>
      <c r="IYQ178" s="52"/>
      <c r="IYR178" s="52"/>
      <c r="IYS178" s="52"/>
      <c r="IYT178" s="52"/>
      <c r="IYU178" s="52"/>
      <c r="IYV178" s="52"/>
      <c r="IYW178" s="52"/>
      <c r="IYX178" s="52"/>
      <c r="IYY178" s="52"/>
      <c r="IYZ178" s="52"/>
      <c r="IZA178" s="52"/>
      <c r="IZB178" s="52"/>
      <c r="IZC178" s="52"/>
      <c r="IZD178" s="52"/>
      <c r="IZE178" s="52"/>
      <c r="IZF178" s="52"/>
      <c r="IZG178" s="52"/>
      <c r="IZH178" s="52"/>
      <c r="IZI178" s="52"/>
      <c r="IZJ178" s="52"/>
      <c r="IZK178" s="52"/>
      <c r="IZL178" s="52"/>
      <c r="IZM178" s="52"/>
      <c r="IZN178" s="52"/>
      <c r="IZO178" s="52"/>
      <c r="IZP178" s="52"/>
      <c r="IZQ178" s="52"/>
      <c r="IZR178" s="52"/>
      <c r="IZS178" s="52"/>
      <c r="IZT178" s="52"/>
      <c r="IZU178" s="52"/>
      <c r="IZV178" s="52"/>
      <c r="IZW178" s="52"/>
      <c r="IZX178" s="52"/>
      <c r="IZY178" s="52"/>
      <c r="IZZ178" s="52"/>
      <c r="JAA178" s="52"/>
      <c r="JAB178" s="52"/>
      <c r="JAC178" s="52"/>
      <c r="JAD178" s="52"/>
      <c r="JAE178" s="52"/>
      <c r="JAF178" s="52"/>
      <c r="JAG178" s="52"/>
      <c r="JAH178" s="52"/>
      <c r="JAI178" s="52"/>
      <c r="JAJ178" s="52"/>
      <c r="JAK178" s="52"/>
      <c r="JAL178" s="52"/>
      <c r="JAM178" s="52"/>
      <c r="JAN178" s="52"/>
      <c r="JAO178" s="52"/>
      <c r="JAP178" s="52"/>
      <c r="JAQ178" s="52"/>
      <c r="JAR178" s="52"/>
      <c r="JAS178" s="52"/>
      <c r="JAT178" s="52"/>
      <c r="JAU178" s="52"/>
      <c r="JAV178" s="52"/>
      <c r="JAW178" s="52"/>
      <c r="JAX178" s="52"/>
      <c r="JAY178" s="52"/>
      <c r="JAZ178" s="52"/>
      <c r="JBA178" s="52"/>
      <c r="JBB178" s="52"/>
      <c r="JBC178" s="52"/>
      <c r="JBD178" s="52"/>
      <c r="JBE178" s="52"/>
      <c r="JBF178" s="52"/>
      <c r="JBG178" s="52"/>
      <c r="JBH178" s="52"/>
      <c r="JBI178" s="52"/>
      <c r="JBJ178" s="52"/>
      <c r="JBK178" s="52"/>
      <c r="JBL178" s="52"/>
      <c r="JBM178" s="52"/>
      <c r="JBN178" s="52"/>
      <c r="JBO178" s="52"/>
      <c r="JBP178" s="52"/>
      <c r="JBQ178" s="52"/>
      <c r="JBR178" s="52"/>
      <c r="JBS178" s="52"/>
      <c r="JBT178" s="52"/>
      <c r="JBU178" s="52"/>
      <c r="JBV178" s="52"/>
      <c r="JBW178" s="52"/>
      <c r="JBX178" s="52"/>
      <c r="JBY178" s="52"/>
      <c r="JBZ178" s="52"/>
      <c r="JCA178" s="52"/>
      <c r="JCB178" s="52"/>
      <c r="JCC178" s="52"/>
      <c r="JCD178" s="52"/>
      <c r="JCE178" s="52"/>
      <c r="JCF178" s="52"/>
      <c r="JCG178" s="52"/>
      <c r="JCH178" s="52"/>
      <c r="JCI178" s="52"/>
      <c r="JCJ178" s="52"/>
      <c r="JCK178" s="52"/>
      <c r="JCL178" s="52"/>
      <c r="JCM178" s="52"/>
      <c r="JCN178" s="52"/>
      <c r="JCO178" s="52"/>
      <c r="JCP178" s="52"/>
      <c r="JCQ178" s="52"/>
      <c r="JCR178" s="52"/>
      <c r="JCS178" s="52"/>
      <c r="JCT178" s="52"/>
      <c r="JCU178" s="52"/>
      <c r="JCV178" s="52"/>
      <c r="JCW178" s="52"/>
      <c r="JCX178" s="52"/>
      <c r="JCY178" s="52"/>
      <c r="JCZ178" s="52"/>
      <c r="JDA178" s="52"/>
      <c r="JDB178" s="52"/>
      <c r="JDC178" s="52"/>
      <c r="JDD178" s="52"/>
      <c r="JDE178" s="52"/>
      <c r="JDF178" s="52"/>
      <c r="JDG178" s="52"/>
      <c r="JDH178" s="52"/>
      <c r="JDI178" s="52"/>
      <c r="JDJ178" s="52"/>
      <c r="JDK178" s="52"/>
      <c r="JDL178" s="52"/>
      <c r="JDM178" s="52"/>
      <c r="JDN178" s="52"/>
      <c r="JDO178" s="52"/>
      <c r="JDP178" s="52"/>
      <c r="JDQ178" s="52"/>
      <c r="JDR178" s="52"/>
      <c r="JDS178" s="52"/>
      <c r="JDT178" s="52"/>
      <c r="JDU178" s="52"/>
      <c r="JDV178" s="52"/>
      <c r="JDW178" s="52"/>
      <c r="JDX178" s="52"/>
      <c r="JDY178" s="52"/>
      <c r="JDZ178" s="52"/>
      <c r="JEA178" s="52"/>
      <c r="JEB178" s="52"/>
      <c r="JEC178" s="52"/>
      <c r="JED178" s="52"/>
      <c r="JEE178" s="52"/>
      <c r="JEF178" s="52"/>
      <c r="JEG178" s="52"/>
      <c r="JEH178" s="52"/>
      <c r="JEI178" s="52"/>
      <c r="JEJ178" s="52"/>
      <c r="JEK178" s="52"/>
      <c r="JEL178" s="52"/>
      <c r="JEM178" s="52"/>
      <c r="JEN178" s="52"/>
      <c r="JEO178" s="52"/>
      <c r="JEP178" s="52"/>
      <c r="JEQ178" s="52"/>
      <c r="JER178" s="52"/>
      <c r="JES178" s="52"/>
      <c r="JET178" s="52"/>
      <c r="JEU178" s="52"/>
      <c r="JEV178" s="52"/>
      <c r="JEW178" s="52"/>
      <c r="JEX178" s="52"/>
      <c r="JEY178" s="52"/>
      <c r="JEZ178" s="52"/>
      <c r="JFA178" s="52"/>
      <c r="JFB178" s="52"/>
      <c r="JFC178" s="52"/>
      <c r="JFD178" s="52"/>
      <c r="JFE178" s="52"/>
      <c r="JFF178" s="52"/>
      <c r="JFG178" s="52"/>
      <c r="JFH178" s="52"/>
      <c r="JFI178" s="52"/>
      <c r="JFJ178" s="52"/>
      <c r="JFK178" s="52"/>
      <c r="JFL178" s="52"/>
      <c r="JFM178" s="52"/>
      <c r="JFN178" s="52"/>
      <c r="JFO178" s="52"/>
      <c r="JFP178" s="52"/>
      <c r="JFQ178" s="52"/>
      <c r="JFR178" s="52"/>
      <c r="JFS178" s="52"/>
      <c r="JFT178" s="52"/>
      <c r="JFU178" s="52"/>
      <c r="JFV178" s="52"/>
      <c r="JFW178" s="52"/>
      <c r="JFX178" s="52"/>
      <c r="JFY178" s="52"/>
      <c r="JFZ178" s="52"/>
      <c r="JGA178" s="52"/>
      <c r="JGB178" s="52"/>
      <c r="JGC178" s="52"/>
      <c r="JGD178" s="52"/>
      <c r="JGE178" s="52"/>
      <c r="JGF178" s="52"/>
      <c r="JGG178" s="52"/>
      <c r="JGH178" s="52"/>
      <c r="JGI178" s="52"/>
      <c r="JGJ178" s="52"/>
      <c r="JGK178" s="52"/>
      <c r="JGL178" s="52"/>
      <c r="JGM178" s="52"/>
      <c r="JGN178" s="52"/>
      <c r="JGO178" s="52"/>
      <c r="JGP178" s="52"/>
      <c r="JGQ178" s="52"/>
      <c r="JGR178" s="52"/>
      <c r="JGS178" s="52"/>
      <c r="JGT178" s="52"/>
      <c r="JGU178" s="52"/>
      <c r="JGV178" s="52"/>
      <c r="JGW178" s="52"/>
      <c r="JGX178" s="52"/>
      <c r="JGY178" s="52"/>
      <c r="JGZ178" s="52"/>
      <c r="JHA178" s="52"/>
      <c r="JHB178" s="52"/>
      <c r="JHC178" s="52"/>
      <c r="JHD178" s="52"/>
      <c r="JHE178" s="52"/>
      <c r="JHF178" s="52"/>
      <c r="JHG178" s="52"/>
      <c r="JHH178" s="52"/>
      <c r="JHI178" s="52"/>
      <c r="JHJ178" s="52"/>
      <c r="JHK178" s="52"/>
      <c r="JHL178" s="52"/>
      <c r="JHM178" s="52"/>
      <c r="JHN178" s="52"/>
      <c r="JHO178" s="52"/>
      <c r="JHP178" s="52"/>
      <c r="JHQ178" s="52"/>
      <c r="JHR178" s="52"/>
      <c r="JHS178" s="52"/>
      <c r="JHT178" s="52"/>
      <c r="JHU178" s="52"/>
      <c r="JHV178" s="52"/>
      <c r="JHW178" s="52"/>
      <c r="JHX178" s="52"/>
      <c r="JHY178" s="52"/>
      <c r="JHZ178" s="52"/>
      <c r="JIA178" s="52"/>
      <c r="JIB178" s="52"/>
      <c r="JIC178" s="52"/>
      <c r="JID178" s="52"/>
      <c r="JIE178" s="52"/>
      <c r="JIF178" s="52"/>
      <c r="JIG178" s="52"/>
      <c r="JIH178" s="52"/>
      <c r="JII178" s="52"/>
      <c r="JIJ178" s="52"/>
      <c r="JIK178" s="52"/>
      <c r="JIL178" s="52"/>
      <c r="JIM178" s="52"/>
      <c r="JIN178" s="52"/>
      <c r="JIO178" s="52"/>
      <c r="JIP178" s="52"/>
      <c r="JIQ178" s="52"/>
      <c r="JIR178" s="52"/>
      <c r="JIS178" s="52"/>
      <c r="JIT178" s="52"/>
      <c r="JIU178" s="52"/>
      <c r="JIV178" s="52"/>
      <c r="JIW178" s="52"/>
      <c r="JIX178" s="52"/>
      <c r="JIY178" s="52"/>
      <c r="JIZ178" s="52"/>
      <c r="JJA178" s="52"/>
      <c r="JJB178" s="52"/>
      <c r="JJC178" s="52"/>
      <c r="JJD178" s="52"/>
      <c r="JJE178" s="52"/>
      <c r="JJF178" s="52"/>
      <c r="JJG178" s="52"/>
      <c r="JJH178" s="52"/>
      <c r="JJI178" s="52"/>
      <c r="JJJ178" s="52"/>
      <c r="JJK178" s="52"/>
      <c r="JJL178" s="52"/>
      <c r="JJM178" s="52"/>
      <c r="JJN178" s="52"/>
      <c r="JJO178" s="52"/>
      <c r="JJP178" s="52"/>
      <c r="JJQ178" s="52"/>
      <c r="JJR178" s="52"/>
      <c r="JJS178" s="52"/>
      <c r="JJT178" s="52"/>
      <c r="JJU178" s="52"/>
      <c r="JJV178" s="52"/>
      <c r="JJW178" s="52"/>
      <c r="JJX178" s="52"/>
      <c r="JJY178" s="52"/>
      <c r="JJZ178" s="52"/>
      <c r="JKA178" s="52"/>
      <c r="JKB178" s="52"/>
      <c r="JKC178" s="52"/>
      <c r="JKD178" s="52"/>
      <c r="JKE178" s="52"/>
      <c r="JKF178" s="52"/>
      <c r="JKG178" s="52"/>
      <c r="JKH178" s="52"/>
      <c r="JKI178" s="52"/>
      <c r="JKJ178" s="52"/>
      <c r="JKK178" s="52"/>
      <c r="JKL178" s="52"/>
      <c r="JKM178" s="52"/>
      <c r="JKN178" s="52"/>
      <c r="JKO178" s="52"/>
      <c r="JKP178" s="52"/>
      <c r="JKQ178" s="52"/>
      <c r="JKR178" s="52"/>
      <c r="JKS178" s="52"/>
      <c r="JKT178" s="52"/>
      <c r="JKU178" s="52"/>
      <c r="JKV178" s="52"/>
      <c r="JKW178" s="52"/>
      <c r="JKX178" s="52"/>
      <c r="JKY178" s="52"/>
      <c r="JKZ178" s="52"/>
      <c r="JLA178" s="52"/>
      <c r="JLB178" s="52"/>
      <c r="JLC178" s="52"/>
      <c r="JLD178" s="52"/>
      <c r="JLE178" s="52"/>
      <c r="JLF178" s="52"/>
      <c r="JLG178" s="52"/>
      <c r="JLH178" s="52"/>
      <c r="JLI178" s="52"/>
      <c r="JLJ178" s="52"/>
      <c r="JLK178" s="52"/>
      <c r="JLL178" s="52"/>
      <c r="JLM178" s="52"/>
      <c r="JLN178" s="52"/>
      <c r="JLO178" s="52"/>
      <c r="JLP178" s="52"/>
      <c r="JLQ178" s="52"/>
      <c r="JLR178" s="52"/>
      <c r="JLS178" s="52"/>
      <c r="JLT178" s="52"/>
      <c r="JLU178" s="52"/>
      <c r="JLV178" s="52"/>
      <c r="JLW178" s="52"/>
      <c r="JLX178" s="52"/>
      <c r="JLY178" s="52"/>
      <c r="JLZ178" s="52"/>
      <c r="JMA178" s="52"/>
      <c r="JMB178" s="52"/>
      <c r="JMC178" s="52"/>
      <c r="JMD178" s="52"/>
      <c r="JME178" s="52"/>
      <c r="JMF178" s="52"/>
      <c r="JMG178" s="52"/>
      <c r="JMH178" s="52"/>
      <c r="JMI178" s="52"/>
      <c r="JMJ178" s="52"/>
      <c r="JMK178" s="52"/>
      <c r="JML178" s="52"/>
      <c r="JMM178" s="52"/>
      <c r="JMN178" s="52"/>
      <c r="JMO178" s="52"/>
      <c r="JMP178" s="52"/>
      <c r="JMQ178" s="52"/>
      <c r="JMR178" s="52"/>
      <c r="JMS178" s="52"/>
      <c r="JMT178" s="52"/>
      <c r="JMU178" s="52"/>
      <c r="JMV178" s="52"/>
      <c r="JMW178" s="52"/>
      <c r="JMX178" s="52"/>
      <c r="JMY178" s="52"/>
      <c r="JMZ178" s="52"/>
      <c r="JNA178" s="52"/>
      <c r="JNB178" s="52"/>
      <c r="JNC178" s="52"/>
      <c r="JND178" s="52"/>
      <c r="JNE178" s="52"/>
      <c r="JNF178" s="52"/>
      <c r="JNG178" s="52"/>
      <c r="JNH178" s="52"/>
      <c r="JNI178" s="52"/>
      <c r="JNJ178" s="52"/>
      <c r="JNK178" s="52"/>
      <c r="JNL178" s="52"/>
      <c r="JNM178" s="52"/>
      <c r="JNN178" s="52"/>
      <c r="JNO178" s="52"/>
      <c r="JNP178" s="52"/>
      <c r="JNQ178" s="52"/>
      <c r="JNR178" s="52"/>
      <c r="JNS178" s="52"/>
      <c r="JNT178" s="52"/>
      <c r="JNU178" s="52"/>
      <c r="JNV178" s="52"/>
      <c r="JNW178" s="52"/>
      <c r="JNX178" s="52"/>
      <c r="JNY178" s="52"/>
      <c r="JNZ178" s="52"/>
      <c r="JOA178" s="52"/>
      <c r="JOB178" s="52"/>
      <c r="JOC178" s="52"/>
      <c r="JOD178" s="52"/>
      <c r="JOE178" s="52"/>
      <c r="JOF178" s="52"/>
      <c r="JOG178" s="52"/>
      <c r="JOH178" s="52"/>
      <c r="JOI178" s="52"/>
      <c r="JOJ178" s="52"/>
      <c r="JOK178" s="52"/>
      <c r="JOL178" s="52"/>
      <c r="JOM178" s="52"/>
      <c r="JON178" s="52"/>
      <c r="JOO178" s="52"/>
      <c r="JOP178" s="52"/>
      <c r="JOQ178" s="52"/>
      <c r="JOR178" s="52"/>
      <c r="JOS178" s="52"/>
      <c r="JOT178" s="52"/>
      <c r="JOU178" s="52"/>
      <c r="JOV178" s="52"/>
      <c r="JOW178" s="52"/>
      <c r="JOX178" s="52"/>
      <c r="JOY178" s="52"/>
      <c r="JOZ178" s="52"/>
      <c r="JPA178" s="52"/>
      <c r="JPB178" s="52"/>
      <c r="JPC178" s="52"/>
      <c r="JPD178" s="52"/>
      <c r="JPE178" s="52"/>
      <c r="JPF178" s="52"/>
      <c r="JPG178" s="52"/>
      <c r="JPH178" s="52"/>
      <c r="JPI178" s="52"/>
      <c r="JPJ178" s="52"/>
      <c r="JPK178" s="52"/>
      <c r="JPL178" s="52"/>
      <c r="JPM178" s="52"/>
      <c r="JPN178" s="52"/>
      <c r="JPO178" s="52"/>
      <c r="JPP178" s="52"/>
      <c r="JPQ178" s="52"/>
      <c r="JPR178" s="52"/>
      <c r="JPS178" s="52"/>
      <c r="JPT178" s="52"/>
      <c r="JPU178" s="52"/>
      <c r="JPV178" s="52"/>
      <c r="JPW178" s="52"/>
      <c r="JPX178" s="52"/>
      <c r="JPY178" s="52"/>
      <c r="JPZ178" s="52"/>
      <c r="JQA178" s="52"/>
      <c r="JQB178" s="52"/>
      <c r="JQC178" s="52"/>
      <c r="JQD178" s="52"/>
      <c r="JQE178" s="52"/>
      <c r="JQF178" s="52"/>
      <c r="JQG178" s="52"/>
      <c r="JQH178" s="52"/>
      <c r="JQI178" s="52"/>
      <c r="JQJ178" s="52"/>
      <c r="JQK178" s="52"/>
      <c r="JQL178" s="52"/>
      <c r="JQM178" s="52"/>
      <c r="JQN178" s="52"/>
      <c r="JQO178" s="52"/>
      <c r="JQP178" s="52"/>
      <c r="JQQ178" s="52"/>
      <c r="JQR178" s="52"/>
      <c r="JQS178" s="52"/>
      <c r="JQT178" s="52"/>
      <c r="JQU178" s="52"/>
      <c r="JQV178" s="52"/>
      <c r="JQW178" s="52"/>
      <c r="JQX178" s="52"/>
      <c r="JQY178" s="52"/>
      <c r="JQZ178" s="52"/>
      <c r="JRA178" s="52"/>
      <c r="JRB178" s="52"/>
      <c r="JRC178" s="52"/>
      <c r="JRD178" s="52"/>
      <c r="JRE178" s="52"/>
      <c r="JRF178" s="52"/>
      <c r="JRG178" s="52"/>
      <c r="JRH178" s="52"/>
      <c r="JRI178" s="52"/>
      <c r="JRJ178" s="52"/>
      <c r="JRK178" s="52"/>
      <c r="JRL178" s="52"/>
      <c r="JRM178" s="52"/>
      <c r="JRN178" s="52"/>
      <c r="JRO178" s="52"/>
      <c r="JRP178" s="52"/>
      <c r="JRQ178" s="52"/>
      <c r="JRR178" s="52"/>
      <c r="JRS178" s="52"/>
      <c r="JRT178" s="52"/>
      <c r="JRU178" s="52"/>
      <c r="JRV178" s="52"/>
      <c r="JRW178" s="52"/>
      <c r="JRX178" s="52"/>
      <c r="JRY178" s="52"/>
      <c r="JRZ178" s="52"/>
      <c r="JSA178" s="52"/>
      <c r="JSB178" s="52"/>
      <c r="JSC178" s="52"/>
      <c r="JSD178" s="52"/>
      <c r="JSE178" s="52"/>
      <c r="JSF178" s="52"/>
      <c r="JSG178" s="52"/>
      <c r="JSH178" s="52"/>
      <c r="JSI178" s="52"/>
      <c r="JSJ178" s="52"/>
      <c r="JSK178" s="52"/>
      <c r="JSL178" s="52"/>
      <c r="JSM178" s="52"/>
      <c r="JSN178" s="52"/>
      <c r="JSO178" s="52"/>
      <c r="JSP178" s="52"/>
      <c r="JSQ178" s="52"/>
      <c r="JSR178" s="52"/>
      <c r="JSS178" s="52"/>
      <c r="JST178" s="52"/>
      <c r="JSU178" s="52"/>
      <c r="JSV178" s="52"/>
      <c r="JSW178" s="52"/>
      <c r="JSX178" s="52"/>
      <c r="JSY178" s="52"/>
      <c r="JSZ178" s="52"/>
      <c r="JTA178" s="52"/>
      <c r="JTB178" s="52"/>
      <c r="JTC178" s="52"/>
      <c r="JTD178" s="52"/>
      <c r="JTE178" s="52"/>
      <c r="JTF178" s="52"/>
      <c r="JTG178" s="52"/>
      <c r="JTH178" s="52"/>
      <c r="JTI178" s="52"/>
      <c r="JTJ178" s="52"/>
      <c r="JTK178" s="52"/>
      <c r="JTL178" s="52"/>
      <c r="JTM178" s="52"/>
      <c r="JTN178" s="52"/>
      <c r="JTO178" s="52"/>
      <c r="JTP178" s="52"/>
      <c r="JTQ178" s="52"/>
      <c r="JTR178" s="52"/>
      <c r="JTS178" s="52"/>
      <c r="JTT178" s="52"/>
      <c r="JTU178" s="52"/>
      <c r="JTV178" s="52"/>
      <c r="JTW178" s="52"/>
      <c r="JTX178" s="52"/>
      <c r="JTY178" s="52"/>
      <c r="JTZ178" s="52"/>
      <c r="JUA178" s="52"/>
      <c r="JUB178" s="52"/>
      <c r="JUC178" s="52"/>
      <c r="JUD178" s="52"/>
      <c r="JUE178" s="52"/>
      <c r="JUF178" s="52"/>
      <c r="JUG178" s="52"/>
      <c r="JUH178" s="52"/>
      <c r="JUI178" s="52"/>
      <c r="JUJ178" s="52"/>
      <c r="JUK178" s="52"/>
      <c r="JUL178" s="52"/>
      <c r="JUM178" s="52"/>
      <c r="JUN178" s="52"/>
      <c r="JUO178" s="52"/>
      <c r="JUP178" s="52"/>
      <c r="JUQ178" s="52"/>
      <c r="JUR178" s="52"/>
      <c r="JUS178" s="52"/>
      <c r="JUT178" s="52"/>
      <c r="JUU178" s="52"/>
      <c r="JUV178" s="52"/>
      <c r="JUW178" s="52"/>
      <c r="JUX178" s="52"/>
      <c r="JUY178" s="52"/>
      <c r="JUZ178" s="52"/>
      <c r="JVA178" s="52"/>
      <c r="JVB178" s="52"/>
      <c r="JVC178" s="52"/>
      <c r="JVD178" s="52"/>
      <c r="JVE178" s="52"/>
      <c r="JVF178" s="52"/>
      <c r="JVG178" s="52"/>
      <c r="JVH178" s="52"/>
      <c r="JVI178" s="52"/>
      <c r="JVJ178" s="52"/>
      <c r="JVK178" s="52"/>
      <c r="JVL178" s="52"/>
      <c r="JVM178" s="52"/>
      <c r="JVN178" s="52"/>
      <c r="JVO178" s="52"/>
      <c r="JVP178" s="52"/>
      <c r="JVQ178" s="52"/>
      <c r="JVR178" s="52"/>
      <c r="JVS178" s="52"/>
      <c r="JVT178" s="52"/>
      <c r="JVU178" s="52"/>
      <c r="JVV178" s="52"/>
      <c r="JVW178" s="52"/>
      <c r="JVX178" s="52"/>
      <c r="JVY178" s="52"/>
      <c r="JVZ178" s="52"/>
      <c r="JWA178" s="52"/>
      <c r="JWB178" s="52"/>
      <c r="JWC178" s="52"/>
      <c r="JWD178" s="52"/>
      <c r="JWE178" s="52"/>
      <c r="JWF178" s="52"/>
      <c r="JWG178" s="52"/>
      <c r="JWH178" s="52"/>
      <c r="JWI178" s="52"/>
      <c r="JWJ178" s="52"/>
      <c r="JWK178" s="52"/>
      <c r="JWL178" s="52"/>
      <c r="JWM178" s="52"/>
      <c r="JWN178" s="52"/>
      <c r="JWO178" s="52"/>
      <c r="JWP178" s="52"/>
      <c r="JWQ178" s="52"/>
      <c r="JWR178" s="52"/>
      <c r="JWS178" s="52"/>
      <c r="JWT178" s="52"/>
      <c r="JWU178" s="52"/>
      <c r="JWV178" s="52"/>
      <c r="JWW178" s="52"/>
      <c r="JWX178" s="52"/>
      <c r="JWY178" s="52"/>
      <c r="JWZ178" s="52"/>
      <c r="JXA178" s="52"/>
      <c r="JXB178" s="52"/>
      <c r="JXC178" s="52"/>
      <c r="JXD178" s="52"/>
      <c r="JXE178" s="52"/>
      <c r="JXF178" s="52"/>
      <c r="JXG178" s="52"/>
      <c r="JXH178" s="52"/>
      <c r="JXI178" s="52"/>
      <c r="JXJ178" s="52"/>
      <c r="JXK178" s="52"/>
      <c r="JXL178" s="52"/>
      <c r="JXM178" s="52"/>
      <c r="JXN178" s="52"/>
      <c r="JXO178" s="52"/>
      <c r="JXP178" s="52"/>
      <c r="JXQ178" s="52"/>
      <c r="JXR178" s="52"/>
      <c r="JXS178" s="52"/>
      <c r="JXT178" s="52"/>
      <c r="JXU178" s="52"/>
      <c r="JXV178" s="52"/>
      <c r="JXW178" s="52"/>
      <c r="JXX178" s="52"/>
      <c r="JXY178" s="52"/>
      <c r="JXZ178" s="52"/>
      <c r="JYA178" s="52"/>
      <c r="JYB178" s="52"/>
      <c r="JYC178" s="52"/>
      <c r="JYD178" s="52"/>
      <c r="JYE178" s="52"/>
      <c r="JYF178" s="52"/>
      <c r="JYG178" s="52"/>
      <c r="JYH178" s="52"/>
      <c r="JYI178" s="52"/>
      <c r="JYJ178" s="52"/>
      <c r="JYK178" s="52"/>
      <c r="JYL178" s="52"/>
      <c r="JYM178" s="52"/>
      <c r="JYN178" s="52"/>
      <c r="JYO178" s="52"/>
      <c r="JYP178" s="52"/>
      <c r="JYQ178" s="52"/>
      <c r="JYR178" s="52"/>
      <c r="JYS178" s="52"/>
      <c r="JYT178" s="52"/>
      <c r="JYU178" s="52"/>
      <c r="JYV178" s="52"/>
      <c r="JYW178" s="52"/>
      <c r="JYX178" s="52"/>
      <c r="JYY178" s="52"/>
      <c r="JYZ178" s="52"/>
      <c r="JZA178" s="52"/>
      <c r="JZB178" s="52"/>
      <c r="JZC178" s="52"/>
      <c r="JZD178" s="52"/>
      <c r="JZE178" s="52"/>
      <c r="JZF178" s="52"/>
      <c r="JZG178" s="52"/>
      <c r="JZH178" s="52"/>
      <c r="JZI178" s="52"/>
      <c r="JZJ178" s="52"/>
      <c r="JZK178" s="52"/>
      <c r="JZL178" s="52"/>
      <c r="JZM178" s="52"/>
      <c r="JZN178" s="52"/>
      <c r="JZO178" s="52"/>
      <c r="JZP178" s="52"/>
      <c r="JZQ178" s="52"/>
      <c r="JZR178" s="52"/>
      <c r="JZS178" s="52"/>
      <c r="JZT178" s="52"/>
      <c r="JZU178" s="52"/>
      <c r="JZV178" s="52"/>
      <c r="JZW178" s="52"/>
      <c r="JZX178" s="52"/>
      <c r="JZY178" s="52"/>
      <c r="JZZ178" s="52"/>
      <c r="KAA178" s="52"/>
      <c r="KAB178" s="52"/>
      <c r="KAC178" s="52"/>
      <c r="KAD178" s="52"/>
      <c r="KAE178" s="52"/>
      <c r="KAF178" s="52"/>
      <c r="KAG178" s="52"/>
      <c r="KAH178" s="52"/>
      <c r="KAI178" s="52"/>
      <c r="KAJ178" s="52"/>
      <c r="KAK178" s="52"/>
      <c r="KAL178" s="52"/>
      <c r="KAM178" s="52"/>
      <c r="KAN178" s="52"/>
      <c r="KAO178" s="52"/>
      <c r="KAP178" s="52"/>
      <c r="KAQ178" s="52"/>
      <c r="KAR178" s="52"/>
      <c r="KAS178" s="52"/>
      <c r="KAT178" s="52"/>
      <c r="KAU178" s="52"/>
      <c r="KAV178" s="52"/>
      <c r="KAW178" s="52"/>
      <c r="KAX178" s="52"/>
      <c r="KAY178" s="52"/>
      <c r="KAZ178" s="52"/>
      <c r="KBA178" s="52"/>
      <c r="KBB178" s="52"/>
      <c r="KBC178" s="52"/>
      <c r="KBD178" s="52"/>
      <c r="KBE178" s="52"/>
      <c r="KBF178" s="52"/>
      <c r="KBG178" s="52"/>
      <c r="KBH178" s="52"/>
      <c r="KBI178" s="52"/>
      <c r="KBJ178" s="52"/>
      <c r="KBK178" s="52"/>
      <c r="KBL178" s="52"/>
      <c r="KBM178" s="52"/>
      <c r="KBN178" s="52"/>
      <c r="KBO178" s="52"/>
      <c r="KBP178" s="52"/>
      <c r="KBQ178" s="52"/>
      <c r="KBR178" s="52"/>
      <c r="KBS178" s="52"/>
      <c r="KBT178" s="52"/>
      <c r="KBU178" s="52"/>
      <c r="KBV178" s="52"/>
      <c r="KBW178" s="52"/>
      <c r="KBX178" s="52"/>
      <c r="KBY178" s="52"/>
      <c r="KBZ178" s="52"/>
      <c r="KCA178" s="52"/>
      <c r="KCB178" s="52"/>
      <c r="KCC178" s="52"/>
      <c r="KCD178" s="52"/>
      <c r="KCE178" s="52"/>
      <c r="KCF178" s="52"/>
      <c r="KCG178" s="52"/>
      <c r="KCH178" s="52"/>
      <c r="KCI178" s="52"/>
      <c r="KCJ178" s="52"/>
      <c r="KCK178" s="52"/>
      <c r="KCL178" s="52"/>
      <c r="KCM178" s="52"/>
      <c r="KCN178" s="52"/>
      <c r="KCO178" s="52"/>
      <c r="KCP178" s="52"/>
      <c r="KCQ178" s="52"/>
      <c r="KCR178" s="52"/>
      <c r="KCS178" s="52"/>
      <c r="KCT178" s="52"/>
      <c r="KCU178" s="52"/>
      <c r="KCV178" s="52"/>
      <c r="KCW178" s="52"/>
      <c r="KCX178" s="52"/>
      <c r="KCY178" s="52"/>
      <c r="KCZ178" s="52"/>
      <c r="KDA178" s="52"/>
      <c r="KDB178" s="52"/>
      <c r="KDC178" s="52"/>
      <c r="KDD178" s="52"/>
      <c r="KDE178" s="52"/>
      <c r="KDF178" s="52"/>
      <c r="KDG178" s="52"/>
      <c r="KDH178" s="52"/>
      <c r="KDI178" s="52"/>
      <c r="KDJ178" s="52"/>
      <c r="KDK178" s="52"/>
      <c r="KDL178" s="52"/>
      <c r="KDM178" s="52"/>
      <c r="KDN178" s="52"/>
      <c r="KDO178" s="52"/>
      <c r="KDP178" s="52"/>
      <c r="KDQ178" s="52"/>
      <c r="KDR178" s="52"/>
      <c r="KDS178" s="52"/>
      <c r="KDT178" s="52"/>
      <c r="KDU178" s="52"/>
      <c r="KDV178" s="52"/>
      <c r="KDW178" s="52"/>
      <c r="KDX178" s="52"/>
      <c r="KDY178" s="52"/>
      <c r="KDZ178" s="52"/>
      <c r="KEA178" s="52"/>
      <c r="KEB178" s="52"/>
      <c r="KEC178" s="52"/>
      <c r="KED178" s="52"/>
      <c r="KEE178" s="52"/>
      <c r="KEF178" s="52"/>
      <c r="KEG178" s="52"/>
      <c r="KEH178" s="52"/>
      <c r="KEI178" s="52"/>
      <c r="KEJ178" s="52"/>
      <c r="KEK178" s="52"/>
      <c r="KEL178" s="52"/>
      <c r="KEM178" s="52"/>
      <c r="KEN178" s="52"/>
      <c r="KEO178" s="52"/>
      <c r="KEP178" s="52"/>
      <c r="KEQ178" s="52"/>
      <c r="KER178" s="52"/>
      <c r="KES178" s="52"/>
      <c r="KET178" s="52"/>
      <c r="KEU178" s="52"/>
      <c r="KEV178" s="52"/>
      <c r="KEW178" s="52"/>
      <c r="KEX178" s="52"/>
      <c r="KEY178" s="52"/>
      <c r="KEZ178" s="52"/>
      <c r="KFA178" s="52"/>
      <c r="KFB178" s="52"/>
      <c r="KFC178" s="52"/>
      <c r="KFD178" s="52"/>
      <c r="KFE178" s="52"/>
      <c r="KFF178" s="52"/>
      <c r="KFG178" s="52"/>
      <c r="KFH178" s="52"/>
      <c r="KFI178" s="52"/>
      <c r="KFJ178" s="52"/>
      <c r="KFK178" s="52"/>
      <c r="KFL178" s="52"/>
      <c r="KFM178" s="52"/>
      <c r="KFN178" s="52"/>
      <c r="KFO178" s="52"/>
      <c r="KFP178" s="52"/>
      <c r="KFQ178" s="52"/>
      <c r="KFR178" s="52"/>
      <c r="KFS178" s="52"/>
      <c r="KFT178" s="52"/>
      <c r="KFU178" s="52"/>
      <c r="KFV178" s="52"/>
      <c r="KFW178" s="52"/>
      <c r="KFX178" s="52"/>
      <c r="KFY178" s="52"/>
      <c r="KFZ178" s="52"/>
      <c r="KGA178" s="52"/>
      <c r="KGB178" s="52"/>
      <c r="KGC178" s="52"/>
      <c r="KGD178" s="52"/>
      <c r="KGE178" s="52"/>
      <c r="KGF178" s="52"/>
      <c r="KGG178" s="52"/>
      <c r="KGH178" s="52"/>
      <c r="KGI178" s="52"/>
      <c r="KGJ178" s="52"/>
      <c r="KGK178" s="52"/>
      <c r="KGL178" s="52"/>
      <c r="KGM178" s="52"/>
      <c r="KGN178" s="52"/>
      <c r="KGO178" s="52"/>
      <c r="KGP178" s="52"/>
      <c r="KGQ178" s="52"/>
      <c r="KGR178" s="52"/>
      <c r="KGS178" s="52"/>
      <c r="KGT178" s="52"/>
      <c r="KGU178" s="52"/>
      <c r="KGV178" s="52"/>
      <c r="KGW178" s="52"/>
      <c r="KGX178" s="52"/>
      <c r="KGY178" s="52"/>
      <c r="KGZ178" s="52"/>
      <c r="KHA178" s="52"/>
      <c r="KHB178" s="52"/>
      <c r="KHC178" s="52"/>
      <c r="KHD178" s="52"/>
      <c r="KHE178" s="52"/>
      <c r="KHF178" s="52"/>
      <c r="KHG178" s="52"/>
      <c r="KHH178" s="52"/>
      <c r="KHI178" s="52"/>
      <c r="KHJ178" s="52"/>
      <c r="KHK178" s="52"/>
      <c r="KHL178" s="52"/>
      <c r="KHM178" s="52"/>
      <c r="KHN178" s="52"/>
      <c r="KHO178" s="52"/>
      <c r="KHP178" s="52"/>
      <c r="KHQ178" s="52"/>
      <c r="KHR178" s="52"/>
      <c r="KHS178" s="52"/>
      <c r="KHT178" s="52"/>
      <c r="KHU178" s="52"/>
      <c r="KHV178" s="52"/>
      <c r="KHW178" s="52"/>
      <c r="KHX178" s="52"/>
      <c r="KHY178" s="52"/>
      <c r="KHZ178" s="52"/>
      <c r="KIA178" s="52"/>
      <c r="KIB178" s="52"/>
      <c r="KIC178" s="52"/>
      <c r="KID178" s="52"/>
      <c r="KIE178" s="52"/>
      <c r="KIF178" s="52"/>
      <c r="KIG178" s="52"/>
      <c r="KIH178" s="52"/>
      <c r="KII178" s="52"/>
      <c r="KIJ178" s="52"/>
      <c r="KIK178" s="52"/>
      <c r="KIL178" s="52"/>
      <c r="KIM178" s="52"/>
      <c r="KIN178" s="52"/>
      <c r="KIO178" s="52"/>
      <c r="KIP178" s="52"/>
      <c r="KIQ178" s="52"/>
      <c r="KIR178" s="52"/>
      <c r="KIS178" s="52"/>
      <c r="KIT178" s="52"/>
      <c r="KIU178" s="52"/>
      <c r="KIV178" s="52"/>
      <c r="KIW178" s="52"/>
      <c r="KIX178" s="52"/>
      <c r="KIY178" s="52"/>
      <c r="KIZ178" s="52"/>
      <c r="KJA178" s="52"/>
      <c r="KJB178" s="52"/>
      <c r="KJC178" s="52"/>
      <c r="KJD178" s="52"/>
      <c r="KJE178" s="52"/>
      <c r="KJF178" s="52"/>
      <c r="KJG178" s="52"/>
      <c r="KJH178" s="52"/>
      <c r="KJI178" s="52"/>
      <c r="KJJ178" s="52"/>
      <c r="KJK178" s="52"/>
      <c r="KJL178" s="52"/>
      <c r="KJM178" s="52"/>
      <c r="KJN178" s="52"/>
      <c r="KJO178" s="52"/>
      <c r="KJP178" s="52"/>
      <c r="KJQ178" s="52"/>
      <c r="KJR178" s="52"/>
      <c r="KJS178" s="52"/>
      <c r="KJT178" s="52"/>
      <c r="KJU178" s="52"/>
      <c r="KJV178" s="52"/>
      <c r="KJW178" s="52"/>
      <c r="KJX178" s="52"/>
      <c r="KJY178" s="52"/>
      <c r="KJZ178" s="52"/>
      <c r="KKA178" s="52"/>
      <c r="KKB178" s="52"/>
      <c r="KKC178" s="52"/>
      <c r="KKD178" s="52"/>
      <c r="KKE178" s="52"/>
      <c r="KKF178" s="52"/>
      <c r="KKG178" s="52"/>
      <c r="KKH178" s="52"/>
      <c r="KKI178" s="52"/>
      <c r="KKJ178" s="52"/>
      <c r="KKK178" s="52"/>
      <c r="KKL178" s="52"/>
      <c r="KKM178" s="52"/>
      <c r="KKN178" s="52"/>
      <c r="KKO178" s="52"/>
      <c r="KKP178" s="52"/>
      <c r="KKQ178" s="52"/>
      <c r="KKR178" s="52"/>
      <c r="KKS178" s="52"/>
      <c r="KKT178" s="52"/>
      <c r="KKU178" s="52"/>
      <c r="KKV178" s="52"/>
      <c r="KKW178" s="52"/>
      <c r="KKX178" s="52"/>
      <c r="KKY178" s="52"/>
      <c r="KKZ178" s="52"/>
      <c r="KLA178" s="52"/>
      <c r="KLB178" s="52"/>
      <c r="KLC178" s="52"/>
      <c r="KLD178" s="52"/>
      <c r="KLE178" s="52"/>
      <c r="KLF178" s="52"/>
      <c r="KLG178" s="52"/>
      <c r="KLH178" s="52"/>
      <c r="KLI178" s="52"/>
      <c r="KLJ178" s="52"/>
      <c r="KLK178" s="52"/>
      <c r="KLL178" s="52"/>
      <c r="KLM178" s="52"/>
      <c r="KLN178" s="52"/>
      <c r="KLO178" s="52"/>
      <c r="KLP178" s="52"/>
      <c r="KLQ178" s="52"/>
      <c r="KLR178" s="52"/>
      <c r="KLS178" s="52"/>
      <c r="KLT178" s="52"/>
      <c r="KLU178" s="52"/>
      <c r="KLV178" s="52"/>
      <c r="KLW178" s="52"/>
      <c r="KLX178" s="52"/>
      <c r="KLY178" s="52"/>
      <c r="KLZ178" s="52"/>
      <c r="KMA178" s="52"/>
      <c r="KMB178" s="52"/>
      <c r="KMC178" s="52"/>
      <c r="KMD178" s="52"/>
      <c r="KME178" s="52"/>
      <c r="KMF178" s="52"/>
      <c r="KMG178" s="52"/>
      <c r="KMH178" s="52"/>
      <c r="KMI178" s="52"/>
      <c r="KMJ178" s="52"/>
      <c r="KMK178" s="52"/>
      <c r="KML178" s="52"/>
      <c r="KMM178" s="52"/>
      <c r="KMN178" s="52"/>
      <c r="KMO178" s="52"/>
      <c r="KMP178" s="52"/>
      <c r="KMQ178" s="52"/>
      <c r="KMR178" s="52"/>
      <c r="KMS178" s="52"/>
      <c r="KMT178" s="52"/>
      <c r="KMU178" s="52"/>
      <c r="KMV178" s="52"/>
      <c r="KMW178" s="52"/>
      <c r="KMX178" s="52"/>
      <c r="KMY178" s="52"/>
      <c r="KMZ178" s="52"/>
      <c r="KNA178" s="52"/>
      <c r="KNB178" s="52"/>
      <c r="KNC178" s="52"/>
      <c r="KND178" s="52"/>
      <c r="KNE178" s="52"/>
      <c r="KNF178" s="52"/>
      <c r="KNG178" s="52"/>
      <c r="KNH178" s="52"/>
      <c r="KNI178" s="52"/>
      <c r="KNJ178" s="52"/>
      <c r="KNK178" s="52"/>
      <c r="KNL178" s="52"/>
      <c r="KNM178" s="52"/>
      <c r="KNN178" s="52"/>
      <c r="KNO178" s="52"/>
      <c r="KNP178" s="52"/>
      <c r="KNQ178" s="52"/>
      <c r="KNR178" s="52"/>
      <c r="KNS178" s="52"/>
      <c r="KNT178" s="52"/>
      <c r="KNU178" s="52"/>
      <c r="KNV178" s="52"/>
      <c r="KNW178" s="52"/>
      <c r="KNX178" s="52"/>
      <c r="KNY178" s="52"/>
      <c r="KNZ178" s="52"/>
      <c r="KOA178" s="52"/>
      <c r="KOB178" s="52"/>
      <c r="KOC178" s="52"/>
      <c r="KOD178" s="52"/>
      <c r="KOE178" s="52"/>
      <c r="KOF178" s="52"/>
      <c r="KOG178" s="52"/>
      <c r="KOH178" s="52"/>
      <c r="KOI178" s="52"/>
      <c r="KOJ178" s="52"/>
      <c r="KOK178" s="52"/>
      <c r="KOL178" s="52"/>
      <c r="KOM178" s="52"/>
      <c r="KON178" s="52"/>
      <c r="KOO178" s="52"/>
      <c r="KOP178" s="52"/>
      <c r="KOQ178" s="52"/>
      <c r="KOR178" s="52"/>
      <c r="KOS178" s="52"/>
      <c r="KOT178" s="52"/>
      <c r="KOU178" s="52"/>
      <c r="KOV178" s="52"/>
      <c r="KOW178" s="52"/>
      <c r="KOX178" s="52"/>
      <c r="KOY178" s="52"/>
      <c r="KOZ178" s="52"/>
      <c r="KPA178" s="52"/>
      <c r="KPB178" s="52"/>
      <c r="KPC178" s="52"/>
      <c r="KPD178" s="52"/>
      <c r="KPE178" s="52"/>
      <c r="KPF178" s="52"/>
      <c r="KPG178" s="52"/>
      <c r="KPH178" s="52"/>
      <c r="KPI178" s="52"/>
      <c r="KPJ178" s="52"/>
      <c r="KPK178" s="52"/>
      <c r="KPL178" s="52"/>
      <c r="KPM178" s="52"/>
      <c r="KPN178" s="52"/>
      <c r="KPO178" s="52"/>
      <c r="KPP178" s="52"/>
      <c r="KPQ178" s="52"/>
      <c r="KPR178" s="52"/>
      <c r="KPS178" s="52"/>
      <c r="KPT178" s="52"/>
      <c r="KPU178" s="52"/>
      <c r="KPV178" s="52"/>
      <c r="KPW178" s="52"/>
      <c r="KPX178" s="52"/>
      <c r="KPY178" s="52"/>
      <c r="KPZ178" s="52"/>
      <c r="KQA178" s="52"/>
      <c r="KQB178" s="52"/>
      <c r="KQC178" s="52"/>
      <c r="KQD178" s="52"/>
      <c r="KQE178" s="52"/>
      <c r="KQF178" s="52"/>
      <c r="KQG178" s="52"/>
      <c r="KQH178" s="52"/>
      <c r="KQI178" s="52"/>
      <c r="KQJ178" s="52"/>
      <c r="KQK178" s="52"/>
      <c r="KQL178" s="52"/>
      <c r="KQM178" s="52"/>
      <c r="KQN178" s="52"/>
      <c r="KQO178" s="52"/>
      <c r="KQP178" s="52"/>
      <c r="KQQ178" s="52"/>
      <c r="KQR178" s="52"/>
      <c r="KQS178" s="52"/>
      <c r="KQT178" s="52"/>
      <c r="KQU178" s="52"/>
      <c r="KQV178" s="52"/>
      <c r="KQW178" s="52"/>
      <c r="KQX178" s="52"/>
      <c r="KQY178" s="52"/>
      <c r="KQZ178" s="52"/>
      <c r="KRA178" s="52"/>
      <c r="KRB178" s="52"/>
      <c r="KRC178" s="52"/>
      <c r="KRD178" s="52"/>
      <c r="KRE178" s="52"/>
      <c r="KRF178" s="52"/>
      <c r="KRG178" s="52"/>
      <c r="KRH178" s="52"/>
      <c r="KRI178" s="52"/>
      <c r="KRJ178" s="52"/>
      <c r="KRK178" s="52"/>
      <c r="KRL178" s="52"/>
      <c r="KRM178" s="52"/>
      <c r="KRN178" s="52"/>
      <c r="KRO178" s="52"/>
      <c r="KRP178" s="52"/>
      <c r="KRQ178" s="52"/>
      <c r="KRR178" s="52"/>
      <c r="KRS178" s="52"/>
      <c r="KRT178" s="52"/>
      <c r="KRU178" s="52"/>
      <c r="KRV178" s="52"/>
      <c r="KRW178" s="52"/>
      <c r="KRX178" s="52"/>
      <c r="KRY178" s="52"/>
      <c r="KRZ178" s="52"/>
      <c r="KSA178" s="52"/>
      <c r="KSB178" s="52"/>
      <c r="KSC178" s="52"/>
      <c r="KSD178" s="52"/>
      <c r="KSE178" s="52"/>
      <c r="KSF178" s="52"/>
      <c r="KSG178" s="52"/>
      <c r="KSH178" s="52"/>
      <c r="KSI178" s="52"/>
      <c r="KSJ178" s="52"/>
      <c r="KSK178" s="52"/>
      <c r="KSL178" s="52"/>
      <c r="KSM178" s="52"/>
      <c r="KSN178" s="52"/>
      <c r="KSO178" s="52"/>
      <c r="KSP178" s="52"/>
      <c r="KSQ178" s="52"/>
      <c r="KSR178" s="52"/>
      <c r="KSS178" s="52"/>
      <c r="KST178" s="52"/>
      <c r="KSU178" s="52"/>
      <c r="KSV178" s="52"/>
      <c r="KSW178" s="52"/>
      <c r="KSX178" s="52"/>
      <c r="KSY178" s="52"/>
      <c r="KSZ178" s="52"/>
      <c r="KTA178" s="52"/>
      <c r="KTB178" s="52"/>
      <c r="KTC178" s="52"/>
      <c r="KTD178" s="52"/>
      <c r="KTE178" s="52"/>
      <c r="KTF178" s="52"/>
      <c r="KTG178" s="52"/>
      <c r="KTH178" s="52"/>
      <c r="KTI178" s="52"/>
      <c r="KTJ178" s="52"/>
      <c r="KTK178" s="52"/>
      <c r="KTL178" s="52"/>
      <c r="KTM178" s="52"/>
      <c r="KTN178" s="52"/>
      <c r="KTO178" s="52"/>
      <c r="KTP178" s="52"/>
      <c r="KTQ178" s="52"/>
      <c r="KTR178" s="52"/>
      <c r="KTS178" s="52"/>
      <c r="KTT178" s="52"/>
      <c r="KTU178" s="52"/>
      <c r="KTV178" s="52"/>
      <c r="KTW178" s="52"/>
      <c r="KTX178" s="52"/>
      <c r="KTY178" s="52"/>
      <c r="KTZ178" s="52"/>
      <c r="KUA178" s="52"/>
      <c r="KUB178" s="52"/>
      <c r="KUC178" s="52"/>
      <c r="KUD178" s="52"/>
      <c r="KUE178" s="52"/>
      <c r="KUF178" s="52"/>
      <c r="KUG178" s="52"/>
      <c r="KUH178" s="52"/>
      <c r="KUI178" s="52"/>
      <c r="KUJ178" s="52"/>
      <c r="KUK178" s="52"/>
      <c r="KUL178" s="52"/>
      <c r="KUM178" s="52"/>
      <c r="KUN178" s="52"/>
      <c r="KUO178" s="52"/>
      <c r="KUP178" s="52"/>
      <c r="KUQ178" s="52"/>
      <c r="KUR178" s="52"/>
      <c r="KUS178" s="52"/>
      <c r="KUT178" s="52"/>
      <c r="KUU178" s="52"/>
      <c r="KUV178" s="52"/>
      <c r="KUW178" s="52"/>
      <c r="KUX178" s="52"/>
      <c r="KUY178" s="52"/>
      <c r="KUZ178" s="52"/>
      <c r="KVA178" s="52"/>
      <c r="KVB178" s="52"/>
      <c r="KVC178" s="52"/>
      <c r="KVD178" s="52"/>
      <c r="KVE178" s="52"/>
      <c r="KVF178" s="52"/>
      <c r="KVG178" s="52"/>
      <c r="KVH178" s="52"/>
      <c r="KVI178" s="52"/>
      <c r="KVJ178" s="52"/>
      <c r="KVK178" s="52"/>
      <c r="KVL178" s="52"/>
      <c r="KVM178" s="52"/>
      <c r="KVN178" s="52"/>
      <c r="KVO178" s="52"/>
      <c r="KVP178" s="52"/>
      <c r="KVQ178" s="52"/>
      <c r="KVR178" s="52"/>
      <c r="KVS178" s="52"/>
      <c r="KVT178" s="52"/>
      <c r="KVU178" s="52"/>
      <c r="KVV178" s="52"/>
      <c r="KVW178" s="52"/>
      <c r="KVX178" s="52"/>
      <c r="KVY178" s="52"/>
      <c r="KVZ178" s="52"/>
      <c r="KWA178" s="52"/>
      <c r="KWB178" s="52"/>
      <c r="KWC178" s="52"/>
      <c r="KWD178" s="52"/>
      <c r="KWE178" s="52"/>
      <c r="KWF178" s="52"/>
      <c r="KWG178" s="52"/>
      <c r="KWH178" s="52"/>
      <c r="KWI178" s="52"/>
      <c r="KWJ178" s="52"/>
      <c r="KWK178" s="52"/>
      <c r="KWL178" s="52"/>
      <c r="KWM178" s="52"/>
      <c r="KWN178" s="52"/>
      <c r="KWO178" s="52"/>
      <c r="KWP178" s="52"/>
      <c r="KWQ178" s="52"/>
      <c r="KWR178" s="52"/>
      <c r="KWS178" s="52"/>
      <c r="KWT178" s="52"/>
      <c r="KWU178" s="52"/>
      <c r="KWV178" s="52"/>
      <c r="KWW178" s="52"/>
      <c r="KWX178" s="52"/>
      <c r="KWY178" s="52"/>
      <c r="KWZ178" s="52"/>
      <c r="KXA178" s="52"/>
      <c r="KXB178" s="52"/>
      <c r="KXC178" s="52"/>
      <c r="KXD178" s="52"/>
      <c r="KXE178" s="52"/>
      <c r="KXF178" s="52"/>
      <c r="KXG178" s="52"/>
      <c r="KXH178" s="52"/>
      <c r="KXI178" s="52"/>
      <c r="KXJ178" s="52"/>
      <c r="KXK178" s="52"/>
      <c r="KXL178" s="52"/>
      <c r="KXM178" s="52"/>
      <c r="KXN178" s="52"/>
      <c r="KXO178" s="52"/>
      <c r="KXP178" s="52"/>
      <c r="KXQ178" s="52"/>
      <c r="KXR178" s="52"/>
      <c r="KXS178" s="52"/>
      <c r="KXT178" s="52"/>
      <c r="KXU178" s="52"/>
      <c r="KXV178" s="52"/>
      <c r="KXW178" s="52"/>
      <c r="KXX178" s="52"/>
      <c r="KXY178" s="52"/>
      <c r="KXZ178" s="52"/>
      <c r="KYA178" s="52"/>
      <c r="KYB178" s="52"/>
      <c r="KYC178" s="52"/>
      <c r="KYD178" s="52"/>
      <c r="KYE178" s="52"/>
      <c r="KYF178" s="52"/>
      <c r="KYG178" s="52"/>
      <c r="KYH178" s="52"/>
      <c r="KYI178" s="52"/>
      <c r="KYJ178" s="52"/>
      <c r="KYK178" s="52"/>
      <c r="KYL178" s="52"/>
      <c r="KYM178" s="52"/>
      <c r="KYN178" s="52"/>
      <c r="KYO178" s="52"/>
      <c r="KYP178" s="52"/>
      <c r="KYQ178" s="52"/>
      <c r="KYR178" s="52"/>
      <c r="KYS178" s="52"/>
      <c r="KYT178" s="52"/>
      <c r="KYU178" s="52"/>
      <c r="KYV178" s="52"/>
      <c r="KYW178" s="52"/>
      <c r="KYX178" s="52"/>
      <c r="KYY178" s="52"/>
      <c r="KYZ178" s="52"/>
      <c r="KZA178" s="52"/>
      <c r="KZB178" s="52"/>
      <c r="KZC178" s="52"/>
      <c r="KZD178" s="52"/>
      <c r="KZE178" s="52"/>
      <c r="KZF178" s="52"/>
      <c r="KZG178" s="52"/>
      <c r="KZH178" s="52"/>
      <c r="KZI178" s="52"/>
      <c r="KZJ178" s="52"/>
      <c r="KZK178" s="52"/>
      <c r="KZL178" s="52"/>
      <c r="KZM178" s="52"/>
      <c r="KZN178" s="52"/>
      <c r="KZO178" s="52"/>
      <c r="KZP178" s="52"/>
      <c r="KZQ178" s="52"/>
      <c r="KZR178" s="52"/>
      <c r="KZS178" s="52"/>
      <c r="KZT178" s="52"/>
      <c r="KZU178" s="52"/>
      <c r="KZV178" s="52"/>
      <c r="KZW178" s="52"/>
      <c r="KZX178" s="52"/>
      <c r="KZY178" s="52"/>
      <c r="KZZ178" s="52"/>
      <c r="LAA178" s="52"/>
      <c r="LAB178" s="52"/>
      <c r="LAC178" s="52"/>
      <c r="LAD178" s="52"/>
      <c r="LAE178" s="52"/>
      <c r="LAF178" s="52"/>
      <c r="LAG178" s="52"/>
      <c r="LAH178" s="52"/>
      <c r="LAI178" s="52"/>
      <c r="LAJ178" s="52"/>
      <c r="LAK178" s="52"/>
      <c r="LAL178" s="52"/>
      <c r="LAM178" s="52"/>
      <c r="LAN178" s="52"/>
      <c r="LAO178" s="52"/>
      <c r="LAP178" s="52"/>
      <c r="LAQ178" s="52"/>
      <c r="LAR178" s="52"/>
      <c r="LAS178" s="52"/>
      <c r="LAT178" s="52"/>
      <c r="LAU178" s="52"/>
      <c r="LAV178" s="52"/>
      <c r="LAW178" s="52"/>
      <c r="LAX178" s="52"/>
      <c r="LAY178" s="52"/>
      <c r="LAZ178" s="52"/>
      <c r="LBA178" s="52"/>
      <c r="LBB178" s="52"/>
      <c r="LBC178" s="52"/>
      <c r="LBD178" s="52"/>
      <c r="LBE178" s="52"/>
      <c r="LBF178" s="52"/>
      <c r="LBG178" s="52"/>
      <c r="LBH178" s="52"/>
      <c r="LBI178" s="52"/>
      <c r="LBJ178" s="52"/>
      <c r="LBK178" s="52"/>
      <c r="LBL178" s="52"/>
      <c r="LBM178" s="52"/>
      <c r="LBN178" s="52"/>
      <c r="LBO178" s="52"/>
      <c r="LBP178" s="52"/>
      <c r="LBQ178" s="52"/>
      <c r="LBR178" s="52"/>
      <c r="LBS178" s="52"/>
      <c r="LBT178" s="52"/>
      <c r="LBU178" s="52"/>
      <c r="LBV178" s="52"/>
      <c r="LBW178" s="52"/>
      <c r="LBX178" s="52"/>
      <c r="LBY178" s="52"/>
      <c r="LBZ178" s="52"/>
      <c r="LCA178" s="52"/>
      <c r="LCB178" s="52"/>
      <c r="LCC178" s="52"/>
      <c r="LCD178" s="52"/>
      <c r="LCE178" s="52"/>
      <c r="LCF178" s="52"/>
      <c r="LCG178" s="52"/>
      <c r="LCH178" s="52"/>
      <c r="LCI178" s="52"/>
      <c r="LCJ178" s="52"/>
      <c r="LCK178" s="52"/>
      <c r="LCL178" s="52"/>
      <c r="LCM178" s="52"/>
      <c r="LCN178" s="52"/>
      <c r="LCO178" s="52"/>
      <c r="LCP178" s="52"/>
      <c r="LCQ178" s="52"/>
      <c r="LCR178" s="52"/>
      <c r="LCS178" s="52"/>
      <c r="LCT178" s="52"/>
      <c r="LCU178" s="52"/>
      <c r="LCV178" s="52"/>
      <c r="LCW178" s="52"/>
      <c r="LCX178" s="52"/>
      <c r="LCY178" s="52"/>
      <c r="LCZ178" s="52"/>
      <c r="LDA178" s="52"/>
      <c r="LDB178" s="52"/>
      <c r="LDC178" s="52"/>
      <c r="LDD178" s="52"/>
      <c r="LDE178" s="52"/>
      <c r="LDF178" s="52"/>
      <c r="LDG178" s="52"/>
      <c r="LDH178" s="52"/>
      <c r="LDI178" s="52"/>
      <c r="LDJ178" s="52"/>
      <c r="LDK178" s="52"/>
      <c r="LDL178" s="52"/>
      <c r="LDM178" s="52"/>
      <c r="LDN178" s="52"/>
      <c r="LDO178" s="52"/>
      <c r="LDP178" s="52"/>
      <c r="LDQ178" s="52"/>
      <c r="LDR178" s="52"/>
      <c r="LDS178" s="52"/>
      <c r="LDT178" s="52"/>
      <c r="LDU178" s="52"/>
      <c r="LDV178" s="52"/>
      <c r="LDW178" s="52"/>
      <c r="LDX178" s="52"/>
      <c r="LDY178" s="52"/>
      <c r="LDZ178" s="52"/>
      <c r="LEA178" s="52"/>
      <c r="LEB178" s="52"/>
      <c r="LEC178" s="52"/>
      <c r="LED178" s="52"/>
      <c r="LEE178" s="52"/>
      <c r="LEF178" s="52"/>
      <c r="LEG178" s="52"/>
      <c r="LEH178" s="52"/>
      <c r="LEI178" s="52"/>
      <c r="LEJ178" s="52"/>
      <c r="LEK178" s="52"/>
      <c r="LEL178" s="52"/>
      <c r="LEM178" s="52"/>
      <c r="LEN178" s="52"/>
      <c r="LEO178" s="52"/>
      <c r="LEP178" s="52"/>
      <c r="LEQ178" s="52"/>
      <c r="LER178" s="52"/>
      <c r="LES178" s="52"/>
      <c r="LET178" s="52"/>
      <c r="LEU178" s="52"/>
      <c r="LEV178" s="52"/>
      <c r="LEW178" s="52"/>
      <c r="LEX178" s="52"/>
      <c r="LEY178" s="52"/>
      <c r="LEZ178" s="52"/>
      <c r="LFA178" s="52"/>
      <c r="LFB178" s="52"/>
      <c r="LFC178" s="52"/>
      <c r="LFD178" s="52"/>
      <c r="LFE178" s="52"/>
      <c r="LFF178" s="52"/>
      <c r="LFG178" s="52"/>
      <c r="LFH178" s="52"/>
      <c r="LFI178" s="52"/>
      <c r="LFJ178" s="52"/>
      <c r="LFK178" s="52"/>
      <c r="LFL178" s="52"/>
      <c r="LFM178" s="52"/>
      <c r="LFN178" s="52"/>
      <c r="LFO178" s="52"/>
      <c r="LFP178" s="52"/>
      <c r="LFQ178" s="52"/>
      <c r="LFR178" s="52"/>
      <c r="LFS178" s="52"/>
      <c r="LFT178" s="52"/>
      <c r="LFU178" s="52"/>
      <c r="LFV178" s="52"/>
      <c r="LFW178" s="52"/>
      <c r="LFX178" s="52"/>
      <c r="LFY178" s="52"/>
      <c r="LFZ178" s="52"/>
      <c r="LGA178" s="52"/>
      <c r="LGB178" s="52"/>
      <c r="LGC178" s="52"/>
      <c r="LGD178" s="52"/>
      <c r="LGE178" s="52"/>
      <c r="LGF178" s="52"/>
      <c r="LGG178" s="52"/>
      <c r="LGH178" s="52"/>
      <c r="LGI178" s="52"/>
      <c r="LGJ178" s="52"/>
      <c r="LGK178" s="52"/>
      <c r="LGL178" s="52"/>
      <c r="LGM178" s="52"/>
      <c r="LGN178" s="52"/>
      <c r="LGO178" s="52"/>
      <c r="LGP178" s="52"/>
      <c r="LGQ178" s="52"/>
      <c r="LGR178" s="52"/>
      <c r="LGS178" s="52"/>
      <c r="LGT178" s="52"/>
      <c r="LGU178" s="52"/>
      <c r="LGV178" s="52"/>
      <c r="LGW178" s="52"/>
      <c r="LGX178" s="52"/>
      <c r="LGY178" s="52"/>
      <c r="LGZ178" s="52"/>
      <c r="LHA178" s="52"/>
      <c r="LHB178" s="52"/>
      <c r="LHC178" s="52"/>
      <c r="LHD178" s="52"/>
      <c r="LHE178" s="52"/>
      <c r="LHF178" s="52"/>
      <c r="LHG178" s="52"/>
      <c r="LHH178" s="52"/>
      <c r="LHI178" s="52"/>
      <c r="LHJ178" s="52"/>
      <c r="LHK178" s="52"/>
      <c r="LHL178" s="52"/>
      <c r="LHM178" s="52"/>
      <c r="LHN178" s="52"/>
      <c r="LHO178" s="52"/>
      <c r="LHP178" s="52"/>
      <c r="LHQ178" s="52"/>
      <c r="LHR178" s="52"/>
      <c r="LHS178" s="52"/>
      <c r="LHT178" s="52"/>
      <c r="LHU178" s="52"/>
      <c r="LHV178" s="52"/>
      <c r="LHW178" s="52"/>
      <c r="LHX178" s="52"/>
      <c r="LHY178" s="52"/>
      <c r="LHZ178" s="52"/>
      <c r="LIA178" s="52"/>
      <c r="LIB178" s="52"/>
      <c r="LIC178" s="52"/>
      <c r="LID178" s="52"/>
      <c r="LIE178" s="52"/>
      <c r="LIF178" s="52"/>
      <c r="LIG178" s="52"/>
      <c r="LIH178" s="52"/>
      <c r="LII178" s="52"/>
      <c r="LIJ178" s="52"/>
      <c r="LIK178" s="52"/>
      <c r="LIL178" s="52"/>
      <c r="LIM178" s="52"/>
      <c r="LIN178" s="52"/>
      <c r="LIO178" s="52"/>
      <c r="LIP178" s="52"/>
      <c r="LIQ178" s="52"/>
      <c r="LIR178" s="52"/>
      <c r="LIS178" s="52"/>
      <c r="LIT178" s="52"/>
      <c r="LIU178" s="52"/>
      <c r="LIV178" s="52"/>
      <c r="LIW178" s="52"/>
      <c r="LIX178" s="52"/>
      <c r="LIY178" s="52"/>
      <c r="LIZ178" s="52"/>
      <c r="LJA178" s="52"/>
      <c r="LJB178" s="52"/>
      <c r="LJC178" s="52"/>
      <c r="LJD178" s="52"/>
      <c r="LJE178" s="52"/>
      <c r="LJF178" s="52"/>
      <c r="LJG178" s="52"/>
      <c r="LJH178" s="52"/>
      <c r="LJI178" s="52"/>
      <c r="LJJ178" s="52"/>
      <c r="LJK178" s="52"/>
      <c r="LJL178" s="52"/>
      <c r="LJM178" s="52"/>
      <c r="LJN178" s="52"/>
      <c r="LJO178" s="52"/>
      <c r="LJP178" s="52"/>
      <c r="LJQ178" s="52"/>
      <c r="LJR178" s="52"/>
      <c r="LJS178" s="52"/>
      <c r="LJT178" s="52"/>
      <c r="LJU178" s="52"/>
      <c r="LJV178" s="52"/>
      <c r="LJW178" s="52"/>
      <c r="LJX178" s="52"/>
      <c r="LJY178" s="52"/>
      <c r="LJZ178" s="52"/>
      <c r="LKA178" s="52"/>
      <c r="LKB178" s="52"/>
      <c r="LKC178" s="52"/>
      <c r="LKD178" s="52"/>
      <c r="LKE178" s="52"/>
      <c r="LKF178" s="52"/>
      <c r="LKG178" s="52"/>
      <c r="LKH178" s="52"/>
      <c r="LKI178" s="52"/>
      <c r="LKJ178" s="52"/>
      <c r="LKK178" s="52"/>
      <c r="LKL178" s="52"/>
      <c r="LKM178" s="52"/>
      <c r="LKN178" s="52"/>
      <c r="LKO178" s="52"/>
      <c r="LKP178" s="52"/>
      <c r="LKQ178" s="52"/>
      <c r="LKR178" s="52"/>
      <c r="LKS178" s="52"/>
      <c r="LKT178" s="52"/>
      <c r="LKU178" s="52"/>
      <c r="LKV178" s="52"/>
      <c r="LKW178" s="52"/>
      <c r="LKX178" s="52"/>
      <c r="LKY178" s="52"/>
      <c r="LKZ178" s="52"/>
      <c r="LLA178" s="52"/>
      <c r="LLB178" s="52"/>
      <c r="LLC178" s="52"/>
      <c r="LLD178" s="52"/>
      <c r="LLE178" s="52"/>
      <c r="LLF178" s="52"/>
      <c r="LLG178" s="52"/>
      <c r="LLH178" s="52"/>
      <c r="LLI178" s="52"/>
      <c r="LLJ178" s="52"/>
      <c r="LLK178" s="52"/>
      <c r="LLL178" s="52"/>
      <c r="LLM178" s="52"/>
      <c r="LLN178" s="52"/>
      <c r="LLO178" s="52"/>
      <c r="LLP178" s="52"/>
      <c r="LLQ178" s="52"/>
      <c r="LLR178" s="52"/>
      <c r="LLS178" s="52"/>
      <c r="LLT178" s="52"/>
      <c r="LLU178" s="52"/>
      <c r="LLV178" s="52"/>
      <c r="LLW178" s="52"/>
      <c r="LLX178" s="52"/>
      <c r="LLY178" s="52"/>
      <c r="LLZ178" s="52"/>
      <c r="LMA178" s="52"/>
      <c r="LMB178" s="52"/>
      <c r="LMC178" s="52"/>
      <c r="LMD178" s="52"/>
      <c r="LME178" s="52"/>
      <c r="LMF178" s="52"/>
      <c r="LMG178" s="52"/>
      <c r="LMH178" s="52"/>
      <c r="LMI178" s="52"/>
      <c r="LMJ178" s="52"/>
      <c r="LMK178" s="52"/>
      <c r="LML178" s="52"/>
      <c r="LMM178" s="52"/>
      <c r="LMN178" s="52"/>
      <c r="LMO178" s="52"/>
      <c r="LMP178" s="52"/>
      <c r="LMQ178" s="52"/>
      <c r="LMR178" s="52"/>
      <c r="LMS178" s="52"/>
      <c r="LMT178" s="52"/>
      <c r="LMU178" s="52"/>
      <c r="LMV178" s="52"/>
      <c r="LMW178" s="52"/>
      <c r="LMX178" s="52"/>
      <c r="LMY178" s="52"/>
      <c r="LMZ178" s="52"/>
      <c r="LNA178" s="52"/>
      <c r="LNB178" s="52"/>
      <c r="LNC178" s="52"/>
      <c r="LND178" s="52"/>
      <c r="LNE178" s="52"/>
      <c r="LNF178" s="52"/>
      <c r="LNG178" s="52"/>
      <c r="LNH178" s="52"/>
      <c r="LNI178" s="52"/>
      <c r="LNJ178" s="52"/>
      <c r="LNK178" s="52"/>
      <c r="LNL178" s="52"/>
      <c r="LNM178" s="52"/>
      <c r="LNN178" s="52"/>
      <c r="LNO178" s="52"/>
      <c r="LNP178" s="52"/>
      <c r="LNQ178" s="52"/>
      <c r="LNR178" s="52"/>
      <c r="LNS178" s="52"/>
      <c r="LNT178" s="52"/>
      <c r="LNU178" s="52"/>
      <c r="LNV178" s="52"/>
      <c r="LNW178" s="52"/>
      <c r="LNX178" s="52"/>
      <c r="LNY178" s="52"/>
      <c r="LNZ178" s="52"/>
      <c r="LOA178" s="52"/>
      <c r="LOB178" s="52"/>
      <c r="LOC178" s="52"/>
      <c r="LOD178" s="52"/>
      <c r="LOE178" s="52"/>
      <c r="LOF178" s="52"/>
      <c r="LOG178" s="52"/>
      <c r="LOH178" s="52"/>
      <c r="LOI178" s="52"/>
      <c r="LOJ178" s="52"/>
      <c r="LOK178" s="52"/>
      <c r="LOL178" s="52"/>
      <c r="LOM178" s="52"/>
      <c r="LON178" s="52"/>
      <c r="LOO178" s="52"/>
      <c r="LOP178" s="52"/>
      <c r="LOQ178" s="52"/>
      <c r="LOR178" s="52"/>
      <c r="LOS178" s="52"/>
      <c r="LOT178" s="52"/>
      <c r="LOU178" s="52"/>
      <c r="LOV178" s="52"/>
      <c r="LOW178" s="52"/>
      <c r="LOX178" s="52"/>
      <c r="LOY178" s="52"/>
      <c r="LOZ178" s="52"/>
      <c r="LPA178" s="52"/>
      <c r="LPB178" s="52"/>
      <c r="LPC178" s="52"/>
      <c r="LPD178" s="52"/>
      <c r="LPE178" s="52"/>
      <c r="LPF178" s="52"/>
      <c r="LPG178" s="52"/>
      <c r="LPH178" s="52"/>
      <c r="LPI178" s="52"/>
      <c r="LPJ178" s="52"/>
      <c r="LPK178" s="52"/>
      <c r="LPL178" s="52"/>
      <c r="LPM178" s="52"/>
      <c r="LPN178" s="52"/>
      <c r="LPO178" s="52"/>
      <c r="LPP178" s="52"/>
      <c r="LPQ178" s="52"/>
      <c r="LPR178" s="52"/>
      <c r="LPS178" s="52"/>
      <c r="LPT178" s="52"/>
      <c r="LPU178" s="52"/>
      <c r="LPV178" s="52"/>
      <c r="LPW178" s="52"/>
      <c r="LPX178" s="52"/>
      <c r="LPY178" s="52"/>
      <c r="LPZ178" s="52"/>
      <c r="LQA178" s="52"/>
      <c r="LQB178" s="52"/>
      <c r="LQC178" s="52"/>
      <c r="LQD178" s="52"/>
      <c r="LQE178" s="52"/>
      <c r="LQF178" s="52"/>
      <c r="LQG178" s="52"/>
      <c r="LQH178" s="52"/>
      <c r="LQI178" s="52"/>
      <c r="LQJ178" s="52"/>
      <c r="LQK178" s="52"/>
      <c r="LQL178" s="52"/>
      <c r="LQM178" s="52"/>
      <c r="LQN178" s="52"/>
      <c r="LQO178" s="52"/>
      <c r="LQP178" s="52"/>
      <c r="LQQ178" s="52"/>
      <c r="LQR178" s="52"/>
      <c r="LQS178" s="52"/>
      <c r="LQT178" s="52"/>
      <c r="LQU178" s="52"/>
      <c r="LQV178" s="52"/>
      <c r="LQW178" s="52"/>
      <c r="LQX178" s="52"/>
      <c r="LQY178" s="52"/>
      <c r="LQZ178" s="52"/>
      <c r="LRA178" s="52"/>
      <c r="LRB178" s="52"/>
      <c r="LRC178" s="52"/>
      <c r="LRD178" s="52"/>
      <c r="LRE178" s="52"/>
      <c r="LRF178" s="52"/>
      <c r="LRG178" s="52"/>
      <c r="LRH178" s="52"/>
      <c r="LRI178" s="52"/>
      <c r="LRJ178" s="52"/>
      <c r="LRK178" s="52"/>
      <c r="LRL178" s="52"/>
      <c r="LRM178" s="52"/>
      <c r="LRN178" s="52"/>
      <c r="LRO178" s="52"/>
      <c r="LRP178" s="52"/>
      <c r="LRQ178" s="52"/>
      <c r="LRR178" s="52"/>
      <c r="LRS178" s="52"/>
      <c r="LRT178" s="52"/>
      <c r="LRU178" s="52"/>
      <c r="LRV178" s="52"/>
      <c r="LRW178" s="52"/>
      <c r="LRX178" s="52"/>
      <c r="LRY178" s="52"/>
      <c r="LRZ178" s="52"/>
      <c r="LSA178" s="52"/>
      <c r="LSB178" s="52"/>
      <c r="LSC178" s="52"/>
      <c r="LSD178" s="52"/>
      <c r="LSE178" s="52"/>
      <c r="LSF178" s="52"/>
      <c r="LSG178" s="52"/>
      <c r="LSH178" s="52"/>
      <c r="LSI178" s="52"/>
      <c r="LSJ178" s="52"/>
      <c r="LSK178" s="52"/>
      <c r="LSL178" s="52"/>
      <c r="LSM178" s="52"/>
      <c r="LSN178" s="52"/>
      <c r="LSO178" s="52"/>
      <c r="LSP178" s="52"/>
      <c r="LSQ178" s="52"/>
      <c r="LSR178" s="52"/>
      <c r="LSS178" s="52"/>
      <c r="LST178" s="52"/>
      <c r="LSU178" s="52"/>
      <c r="LSV178" s="52"/>
      <c r="LSW178" s="52"/>
      <c r="LSX178" s="52"/>
      <c r="LSY178" s="52"/>
      <c r="LSZ178" s="52"/>
      <c r="LTA178" s="52"/>
      <c r="LTB178" s="52"/>
      <c r="LTC178" s="52"/>
      <c r="LTD178" s="52"/>
      <c r="LTE178" s="52"/>
      <c r="LTF178" s="52"/>
      <c r="LTG178" s="52"/>
      <c r="LTH178" s="52"/>
      <c r="LTI178" s="52"/>
      <c r="LTJ178" s="52"/>
      <c r="LTK178" s="52"/>
      <c r="LTL178" s="52"/>
      <c r="LTM178" s="52"/>
      <c r="LTN178" s="52"/>
      <c r="LTO178" s="52"/>
      <c r="LTP178" s="52"/>
      <c r="LTQ178" s="52"/>
      <c r="LTR178" s="52"/>
      <c r="LTS178" s="52"/>
      <c r="LTT178" s="52"/>
      <c r="LTU178" s="52"/>
      <c r="LTV178" s="52"/>
      <c r="LTW178" s="52"/>
      <c r="LTX178" s="52"/>
      <c r="LTY178" s="52"/>
      <c r="LTZ178" s="52"/>
      <c r="LUA178" s="52"/>
      <c r="LUB178" s="52"/>
      <c r="LUC178" s="52"/>
      <c r="LUD178" s="52"/>
      <c r="LUE178" s="52"/>
      <c r="LUF178" s="52"/>
      <c r="LUG178" s="52"/>
      <c r="LUH178" s="52"/>
      <c r="LUI178" s="52"/>
      <c r="LUJ178" s="52"/>
      <c r="LUK178" s="52"/>
      <c r="LUL178" s="52"/>
      <c r="LUM178" s="52"/>
      <c r="LUN178" s="52"/>
      <c r="LUO178" s="52"/>
      <c r="LUP178" s="52"/>
      <c r="LUQ178" s="52"/>
      <c r="LUR178" s="52"/>
      <c r="LUS178" s="52"/>
      <c r="LUT178" s="52"/>
      <c r="LUU178" s="52"/>
      <c r="LUV178" s="52"/>
      <c r="LUW178" s="52"/>
      <c r="LUX178" s="52"/>
      <c r="LUY178" s="52"/>
      <c r="LUZ178" s="52"/>
      <c r="LVA178" s="52"/>
      <c r="LVB178" s="52"/>
      <c r="LVC178" s="52"/>
      <c r="LVD178" s="52"/>
      <c r="LVE178" s="52"/>
      <c r="LVF178" s="52"/>
      <c r="LVG178" s="52"/>
      <c r="LVH178" s="52"/>
      <c r="LVI178" s="52"/>
      <c r="LVJ178" s="52"/>
      <c r="LVK178" s="52"/>
      <c r="LVL178" s="52"/>
      <c r="LVM178" s="52"/>
      <c r="LVN178" s="52"/>
      <c r="LVO178" s="52"/>
      <c r="LVP178" s="52"/>
      <c r="LVQ178" s="52"/>
      <c r="LVR178" s="52"/>
      <c r="LVS178" s="52"/>
      <c r="LVT178" s="52"/>
      <c r="LVU178" s="52"/>
      <c r="LVV178" s="52"/>
      <c r="LVW178" s="52"/>
      <c r="LVX178" s="52"/>
      <c r="LVY178" s="52"/>
      <c r="LVZ178" s="52"/>
      <c r="LWA178" s="52"/>
      <c r="LWB178" s="52"/>
      <c r="LWC178" s="52"/>
      <c r="LWD178" s="52"/>
      <c r="LWE178" s="52"/>
      <c r="LWF178" s="52"/>
      <c r="LWG178" s="52"/>
      <c r="LWH178" s="52"/>
      <c r="LWI178" s="52"/>
      <c r="LWJ178" s="52"/>
      <c r="LWK178" s="52"/>
      <c r="LWL178" s="52"/>
      <c r="LWM178" s="52"/>
      <c r="LWN178" s="52"/>
      <c r="LWO178" s="52"/>
      <c r="LWP178" s="52"/>
      <c r="LWQ178" s="52"/>
      <c r="LWR178" s="52"/>
      <c r="LWS178" s="52"/>
      <c r="LWT178" s="52"/>
      <c r="LWU178" s="52"/>
      <c r="LWV178" s="52"/>
      <c r="LWW178" s="52"/>
      <c r="LWX178" s="52"/>
      <c r="LWY178" s="52"/>
      <c r="LWZ178" s="52"/>
      <c r="LXA178" s="52"/>
      <c r="LXB178" s="52"/>
      <c r="LXC178" s="52"/>
      <c r="LXD178" s="52"/>
      <c r="LXE178" s="52"/>
      <c r="LXF178" s="52"/>
      <c r="LXG178" s="52"/>
      <c r="LXH178" s="52"/>
      <c r="LXI178" s="52"/>
      <c r="LXJ178" s="52"/>
      <c r="LXK178" s="52"/>
      <c r="LXL178" s="52"/>
      <c r="LXM178" s="52"/>
      <c r="LXN178" s="52"/>
      <c r="LXO178" s="52"/>
      <c r="LXP178" s="52"/>
      <c r="LXQ178" s="52"/>
      <c r="LXR178" s="52"/>
      <c r="LXS178" s="52"/>
      <c r="LXT178" s="52"/>
      <c r="LXU178" s="52"/>
      <c r="LXV178" s="52"/>
      <c r="LXW178" s="52"/>
      <c r="LXX178" s="52"/>
      <c r="LXY178" s="52"/>
      <c r="LXZ178" s="52"/>
      <c r="LYA178" s="52"/>
      <c r="LYB178" s="52"/>
      <c r="LYC178" s="52"/>
      <c r="LYD178" s="52"/>
      <c r="LYE178" s="52"/>
      <c r="LYF178" s="52"/>
      <c r="LYG178" s="52"/>
      <c r="LYH178" s="52"/>
      <c r="LYI178" s="52"/>
      <c r="LYJ178" s="52"/>
      <c r="LYK178" s="52"/>
      <c r="LYL178" s="52"/>
      <c r="LYM178" s="52"/>
      <c r="LYN178" s="52"/>
      <c r="LYO178" s="52"/>
      <c r="LYP178" s="52"/>
      <c r="LYQ178" s="52"/>
      <c r="LYR178" s="52"/>
      <c r="LYS178" s="52"/>
      <c r="LYT178" s="52"/>
      <c r="LYU178" s="52"/>
      <c r="LYV178" s="52"/>
      <c r="LYW178" s="52"/>
      <c r="LYX178" s="52"/>
      <c r="LYY178" s="52"/>
      <c r="LYZ178" s="52"/>
      <c r="LZA178" s="52"/>
      <c r="LZB178" s="52"/>
      <c r="LZC178" s="52"/>
      <c r="LZD178" s="52"/>
      <c r="LZE178" s="52"/>
      <c r="LZF178" s="52"/>
      <c r="LZG178" s="52"/>
      <c r="LZH178" s="52"/>
      <c r="LZI178" s="52"/>
      <c r="LZJ178" s="52"/>
      <c r="LZK178" s="52"/>
      <c r="LZL178" s="52"/>
      <c r="LZM178" s="52"/>
      <c r="LZN178" s="52"/>
      <c r="LZO178" s="52"/>
      <c r="LZP178" s="52"/>
      <c r="LZQ178" s="52"/>
      <c r="LZR178" s="52"/>
      <c r="LZS178" s="52"/>
      <c r="LZT178" s="52"/>
      <c r="LZU178" s="52"/>
      <c r="LZV178" s="52"/>
      <c r="LZW178" s="52"/>
      <c r="LZX178" s="52"/>
      <c r="LZY178" s="52"/>
      <c r="LZZ178" s="52"/>
      <c r="MAA178" s="52"/>
      <c r="MAB178" s="52"/>
      <c r="MAC178" s="52"/>
      <c r="MAD178" s="52"/>
      <c r="MAE178" s="52"/>
      <c r="MAF178" s="52"/>
      <c r="MAG178" s="52"/>
      <c r="MAH178" s="52"/>
      <c r="MAI178" s="52"/>
      <c r="MAJ178" s="52"/>
      <c r="MAK178" s="52"/>
      <c r="MAL178" s="52"/>
      <c r="MAM178" s="52"/>
      <c r="MAN178" s="52"/>
      <c r="MAO178" s="52"/>
      <c r="MAP178" s="52"/>
      <c r="MAQ178" s="52"/>
      <c r="MAR178" s="52"/>
      <c r="MAS178" s="52"/>
      <c r="MAT178" s="52"/>
      <c r="MAU178" s="52"/>
      <c r="MAV178" s="52"/>
      <c r="MAW178" s="52"/>
      <c r="MAX178" s="52"/>
      <c r="MAY178" s="52"/>
      <c r="MAZ178" s="52"/>
      <c r="MBA178" s="52"/>
      <c r="MBB178" s="52"/>
      <c r="MBC178" s="52"/>
      <c r="MBD178" s="52"/>
      <c r="MBE178" s="52"/>
      <c r="MBF178" s="52"/>
      <c r="MBG178" s="52"/>
      <c r="MBH178" s="52"/>
      <c r="MBI178" s="52"/>
      <c r="MBJ178" s="52"/>
      <c r="MBK178" s="52"/>
      <c r="MBL178" s="52"/>
      <c r="MBM178" s="52"/>
      <c r="MBN178" s="52"/>
      <c r="MBO178" s="52"/>
      <c r="MBP178" s="52"/>
      <c r="MBQ178" s="52"/>
      <c r="MBR178" s="52"/>
      <c r="MBS178" s="52"/>
      <c r="MBT178" s="52"/>
      <c r="MBU178" s="52"/>
      <c r="MBV178" s="52"/>
      <c r="MBW178" s="52"/>
      <c r="MBX178" s="52"/>
      <c r="MBY178" s="52"/>
      <c r="MBZ178" s="52"/>
      <c r="MCA178" s="52"/>
      <c r="MCB178" s="52"/>
      <c r="MCC178" s="52"/>
      <c r="MCD178" s="52"/>
      <c r="MCE178" s="52"/>
      <c r="MCF178" s="52"/>
      <c r="MCG178" s="52"/>
      <c r="MCH178" s="52"/>
      <c r="MCI178" s="52"/>
      <c r="MCJ178" s="52"/>
      <c r="MCK178" s="52"/>
      <c r="MCL178" s="52"/>
      <c r="MCM178" s="52"/>
      <c r="MCN178" s="52"/>
      <c r="MCO178" s="52"/>
      <c r="MCP178" s="52"/>
      <c r="MCQ178" s="52"/>
      <c r="MCR178" s="52"/>
      <c r="MCS178" s="52"/>
      <c r="MCT178" s="52"/>
      <c r="MCU178" s="52"/>
      <c r="MCV178" s="52"/>
      <c r="MCW178" s="52"/>
      <c r="MCX178" s="52"/>
      <c r="MCY178" s="52"/>
      <c r="MCZ178" s="52"/>
      <c r="MDA178" s="52"/>
      <c r="MDB178" s="52"/>
      <c r="MDC178" s="52"/>
      <c r="MDD178" s="52"/>
      <c r="MDE178" s="52"/>
      <c r="MDF178" s="52"/>
      <c r="MDG178" s="52"/>
      <c r="MDH178" s="52"/>
      <c r="MDI178" s="52"/>
      <c r="MDJ178" s="52"/>
      <c r="MDK178" s="52"/>
      <c r="MDL178" s="52"/>
      <c r="MDM178" s="52"/>
      <c r="MDN178" s="52"/>
      <c r="MDO178" s="52"/>
      <c r="MDP178" s="52"/>
      <c r="MDQ178" s="52"/>
      <c r="MDR178" s="52"/>
      <c r="MDS178" s="52"/>
      <c r="MDT178" s="52"/>
      <c r="MDU178" s="52"/>
      <c r="MDV178" s="52"/>
      <c r="MDW178" s="52"/>
      <c r="MDX178" s="52"/>
      <c r="MDY178" s="52"/>
      <c r="MDZ178" s="52"/>
      <c r="MEA178" s="52"/>
      <c r="MEB178" s="52"/>
      <c r="MEC178" s="52"/>
      <c r="MED178" s="52"/>
      <c r="MEE178" s="52"/>
      <c r="MEF178" s="52"/>
      <c r="MEG178" s="52"/>
      <c r="MEH178" s="52"/>
      <c r="MEI178" s="52"/>
      <c r="MEJ178" s="52"/>
      <c r="MEK178" s="52"/>
      <c r="MEL178" s="52"/>
      <c r="MEM178" s="52"/>
      <c r="MEN178" s="52"/>
      <c r="MEO178" s="52"/>
      <c r="MEP178" s="52"/>
      <c r="MEQ178" s="52"/>
      <c r="MER178" s="52"/>
      <c r="MES178" s="52"/>
      <c r="MET178" s="52"/>
      <c r="MEU178" s="52"/>
      <c r="MEV178" s="52"/>
      <c r="MEW178" s="52"/>
      <c r="MEX178" s="52"/>
      <c r="MEY178" s="52"/>
      <c r="MEZ178" s="52"/>
      <c r="MFA178" s="52"/>
      <c r="MFB178" s="52"/>
      <c r="MFC178" s="52"/>
      <c r="MFD178" s="52"/>
      <c r="MFE178" s="52"/>
      <c r="MFF178" s="52"/>
      <c r="MFG178" s="52"/>
      <c r="MFH178" s="52"/>
      <c r="MFI178" s="52"/>
      <c r="MFJ178" s="52"/>
      <c r="MFK178" s="52"/>
      <c r="MFL178" s="52"/>
      <c r="MFM178" s="52"/>
      <c r="MFN178" s="52"/>
      <c r="MFO178" s="52"/>
      <c r="MFP178" s="52"/>
      <c r="MFQ178" s="52"/>
      <c r="MFR178" s="52"/>
      <c r="MFS178" s="52"/>
      <c r="MFT178" s="52"/>
      <c r="MFU178" s="52"/>
      <c r="MFV178" s="52"/>
      <c r="MFW178" s="52"/>
      <c r="MFX178" s="52"/>
      <c r="MFY178" s="52"/>
      <c r="MFZ178" s="52"/>
      <c r="MGA178" s="52"/>
      <c r="MGB178" s="52"/>
      <c r="MGC178" s="52"/>
      <c r="MGD178" s="52"/>
      <c r="MGE178" s="52"/>
      <c r="MGF178" s="52"/>
      <c r="MGG178" s="52"/>
      <c r="MGH178" s="52"/>
      <c r="MGI178" s="52"/>
      <c r="MGJ178" s="52"/>
      <c r="MGK178" s="52"/>
      <c r="MGL178" s="52"/>
      <c r="MGM178" s="52"/>
      <c r="MGN178" s="52"/>
      <c r="MGO178" s="52"/>
      <c r="MGP178" s="52"/>
      <c r="MGQ178" s="52"/>
      <c r="MGR178" s="52"/>
      <c r="MGS178" s="52"/>
      <c r="MGT178" s="52"/>
      <c r="MGU178" s="52"/>
      <c r="MGV178" s="52"/>
      <c r="MGW178" s="52"/>
      <c r="MGX178" s="52"/>
      <c r="MGY178" s="52"/>
      <c r="MGZ178" s="52"/>
      <c r="MHA178" s="52"/>
      <c r="MHB178" s="52"/>
      <c r="MHC178" s="52"/>
      <c r="MHD178" s="52"/>
      <c r="MHE178" s="52"/>
      <c r="MHF178" s="52"/>
      <c r="MHG178" s="52"/>
      <c r="MHH178" s="52"/>
      <c r="MHI178" s="52"/>
      <c r="MHJ178" s="52"/>
      <c r="MHK178" s="52"/>
      <c r="MHL178" s="52"/>
      <c r="MHM178" s="52"/>
      <c r="MHN178" s="52"/>
      <c r="MHO178" s="52"/>
      <c r="MHP178" s="52"/>
      <c r="MHQ178" s="52"/>
      <c r="MHR178" s="52"/>
      <c r="MHS178" s="52"/>
      <c r="MHT178" s="52"/>
      <c r="MHU178" s="52"/>
      <c r="MHV178" s="52"/>
      <c r="MHW178" s="52"/>
      <c r="MHX178" s="52"/>
      <c r="MHY178" s="52"/>
      <c r="MHZ178" s="52"/>
      <c r="MIA178" s="52"/>
      <c r="MIB178" s="52"/>
      <c r="MIC178" s="52"/>
      <c r="MID178" s="52"/>
      <c r="MIE178" s="52"/>
      <c r="MIF178" s="52"/>
      <c r="MIG178" s="52"/>
      <c r="MIH178" s="52"/>
      <c r="MII178" s="52"/>
      <c r="MIJ178" s="52"/>
      <c r="MIK178" s="52"/>
      <c r="MIL178" s="52"/>
      <c r="MIM178" s="52"/>
      <c r="MIN178" s="52"/>
      <c r="MIO178" s="52"/>
      <c r="MIP178" s="52"/>
      <c r="MIQ178" s="52"/>
      <c r="MIR178" s="52"/>
      <c r="MIS178" s="52"/>
      <c r="MIT178" s="52"/>
      <c r="MIU178" s="52"/>
      <c r="MIV178" s="52"/>
      <c r="MIW178" s="52"/>
      <c r="MIX178" s="52"/>
      <c r="MIY178" s="52"/>
      <c r="MIZ178" s="52"/>
      <c r="MJA178" s="52"/>
      <c r="MJB178" s="52"/>
      <c r="MJC178" s="52"/>
      <c r="MJD178" s="52"/>
      <c r="MJE178" s="52"/>
      <c r="MJF178" s="52"/>
      <c r="MJG178" s="52"/>
      <c r="MJH178" s="52"/>
      <c r="MJI178" s="52"/>
      <c r="MJJ178" s="52"/>
      <c r="MJK178" s="52"/>
      <c r="MJL178" s="52"/>
      <c r="MJM178" s="52"/>
      <c r="MJN178" s="52"/>
      <c r="MJO178" s="52"/>
      <c r="MJP178" s="52"/>
      <c r="MJQ178" s="52"/>
      <c r="MJR178" s="52"/>
      <c r="MJS178" s="52"/>
      <c r="MJT178" s="52"/>
      <c r="MJU178" s="52"/>
      <c r="MJV178" s="52"/>
      <c r="MJW178" s="52"/>
      <c r="MJX178" s="52"/>
      <c r="MJY178" s="52"/>
      <c r="MJZ178" s="52"/>
      <c r="MKA178" s="52"/>
      <c r="MKB178" s="52"/>
      <c r="MKC178" s="52"/>
      <c r="MKD178" s="52"/>
      <c r="MKE178" s="52"/>
      <c r="MKF178" s="52"/>
      <c r="MKG178" s="52"/>
      <c r="MKH178" s="52"/>
      <c r="MKI178" s="52"/>
      <c r="MKJ178" s="52"/>
      <c r="MKK178" s="52"/>
      <c r="MKL178" s="52"/>
      <c r="MKM178" s="52"/>
      <c r="MKN178" s="52"/>
      <c r="MKO178" s="52"/>
      <c r="MKP178" s="52"/>
      <c r="MKQ178" s="52"/>
      <c r="MKR178" s="52"/>
      <c r="MKS178" s="52"/>
      <c r="MKT178" s="52"/>
      <c r="MKU178" s="52"/>
      <c r="MKV178" s="52"/>
      <c r="MKW178" s="52"/>
      <c r="MKX178" s="52"/>
      <c r="MKY178" s="52"/>
      <c r="MKZ178" s="52"/>
      <c r="MLA178" s="52"/>
      <c r="MLB178" s="52"/>
      <c r="MLC178" s="52"/>
      <c r="MLD178" s="52"/>
      <c r="MLE178" s="52"/>
      <c r="MLF178" s="52"/>
      <c r="MLG178" s="52"/>
      <c r="MLH178" s="52"/>
      <c r="MLI178" s="52"/>
      <c r="MLJ178" s="52"/>
      <c r="MLK178" s="52"/>
      <c r="MLL178" s="52"/>
      <c r="MLM178" s="52"/>
      <c r="MLN178" s="52"/>
      <c r="MLO178" s="52"/>
      <c r="MLP178" s="52"/>
      <c r="MLQ178" s="52"/>
      <c r="MLR178" s="52"/>
      <c r="MLS178" s="52"/>
      <c r="MLT178" s="52"/>
      <c r="MLU178" s="52"/>
      <c r="MLV178" s="52"/>
      <c r="MLW178" s="52"/>
      <c r="MLX178" s="52"/>
      <c r="MLY178" s="52"/>
      <c r="MLZ178" s="52"/>
      <c r="MMA178" s="52"/>
      <c r="MMB178" s="52"/>
      <c r="MMC178" s="52"/>
      <c r="MMD178" s="52"/>
      <c r="MME178" s="52"/>
      <c r="MMF178" s="52"/>
      <c r="MMG178" s="52"/>
      <c r="MMH178" s="52"/>
      <c r="MMI178" s="52"/>
      <c r="MMJ178" s="52"/>
      <c r="MMK178" s="52"/>
      <c r="MML178" s="52"/>
      <c r="MMM178" s="52"/>
      <c r="MMN178" s="52"/>
      <c r="MMO178" s="52"/>
      <c r="MMP178" s="52"/>
      <c r="MMQ178" s="52"/>
      <c r="MMR178" s="52"/>
      <c r="MMS178" s="52"/>
      <c r="MMT178" s="52"/>
      <c r="MMU178" s="52"/>
      <c r="MMV178" s="52"/>
      <c r="MMW178" s="52"/>
      <c r="MMX178" s="52"/>
      <c r="MMY178" s="52"/>
      <c r="MMZ178" s="52"/>
      <c r="MNA178" s="52"/>
      <c r="MNB178" s="52"/>
      <c r="MNC178" s="52"/>
      <c r="MND178" s="52"/>
      <c r="MNE178" s="52"/>
      <c r="MNF178" s="52"/>
      <c r="MNG178" s="52"/>
      <c r="MNH178" s="52"/>
      <c r="MNI178" s="52"/>
      <c r="MNJ178" s="52"/>
      <c r="MNK178" s="52"/>
      <c r="MNL178" s="52"/>
      <c r="MNM178" s="52"/>
      <c r="MNN178" s="52"/>
      <c r="MNO178" s="52"/>
      <c r="MNP178" s="52"/>
      <c r="MNQ178" s="52"/>
      <c r="MNR178" s="52"/>
      <c r="MNS178" s="52"/>
      <c r="MNT178" s="52"/>
      <c r="MNU178" s="52"/>
      <c r="MNV178" s="52"/>
      <c r="MNW178" s="52"/>
      <c r="MNX178" s="52"/>
      <c r="MNY178" s="52"/>
      <c r="MNZ178" s="52"/>
      <c r="MOA178" s="52"/>
      <c r="MOB178" s="52"/>
      <c r="MOC178" s="52"/>
      <c r="MOD178" s="52"/>
      <c r="MOE178" s="52"/>
      <c r="MOF178" s="52"/>
      <c r="MOG178" s="52"/>
      <c r="MOH178" s="52"/>
      <c r="MOI178" s="52"/>
      <c r="MOJ178" s="52"/>
      <c r="MOK178" s="52"/>
      <c r="MOL178" s="52"/>
      <c r="MOM178" s="52"/>
      <c r="MON178" s="52"/>
      <c r="MOO178" s="52"/>
      <c r="MOP178" s="52"/>
      <c r="MOQ178" s="52"/>
      <c r="MOR178" s="52"/>
      <c r="MOS178" s="52"/>
      <c r="MOT178" s="52"/>
      <c r="MOU178" s="52"/>
      <c r="MOV178" s="52"/>
      <c r="MOW178" s="52"/>
      <c r="MOX178" s="52"/>
      <c r="MOY178" s="52"/>
      <c r="MOZ178" s="52"/>
      <c r="MPA178" s="52"/>
      <c r="MPB178" s="52"/>
      <c r="MPC178" s="52"/>
      <c r="MPD178" s="52"/>
      <c r="MPE178" s="52"/>
      <c r="MPF178" s="52"/>
      <c r="MPG178" s="52"/>
      <c r="MPH178" s="52"/>
      <c r="MPI178" s="52"/>
      <c r="MPJ178" s="52"/>
      <c r="MPK178" s="52"/>
      <c r="MPL178" s="52"/>
      <c r="MPM178" s="52"/>
      <c r="MPN178" s="52"/>
      <c r="MPO178" s="52"/>
      <c r="MPP178" s="52"/>
      <c r="MPQ178" s="52"/>
      <c r="MPR178" s="52"/>
      <c r="MPS178" s="52"/>
      <c r="MPT178" s="52"/>
      <c r="MPU178" s="52"/>
      <c r="MPV178" s="52"/>
      <c r="MPW178" s="52"/>
      <c r="MPX178" s="52"/>
      <c r="MPY178" s="52"/>
      <c r="MPZ178" s="52"/>
      <c r="MQA178" s="52"/>
      <c r="MQB178" s="52"/>
      <c r="MQC178" s="52"/>
      <c r="MQD178" s="52"/>
      <c r="MQE178" s="52"/>
      <c r="MQF178" s="52"/>
      <c r="MQG178" s="52"/>
      <c r="MQH178" s="52"/>
      <c r="MQI178" s="52"/>
      <c r="MQJ178" s="52"/>
      <c r="MQK178" s="52"/>
      <c r="MQL178" s="52"/>
      <c r="MQM178" s="52"/>
      <c r="MQN178" s="52"/>
      <c r="MQO178" s="52"/>
      <c r="MQP178" s="52"/>
      <c r="MQQ178" s="52"/>
      <c r="MQR178" s="52"/>
      <c r="MQS178" s="52"/>
      <c r="MQT178" s="52"/>
      <c r="MQU178" s="52"/>
      <c r="MQV178" s="52"/>
      <c r="MQW178" s="52"/>
      <c r="MQX178" s="52"/>
      <c r="MQY178" s="52"/>
      <c r="MQZ178" s="52"/>
      <c r="MRA178" s="52"/>
      <c r="MRB178" s="52"/>
      <c r="MRC178" s="52"/>
      <c r="MRD178" s="52"/>
      <c r="MRE178" s="52"/>
      <c r="MRF178" s="52"/>
      <c r="MRG178" s="52"/>
      <c r="MRH178" s="52"/>
      <c r="MRI178" s="52"/>
      <c r="MRJ178" s="52"/>
      <c r="MRK178" s="52"/>
      <c r="MRL178" s="52"/>
      <c r="MRM178" s="52"/>
      <c r="MRN178" s="52"/>
      <c r="MRO178" s="52"/>
      <c r="MRP178" s="52"/>
      <c r="MRQ178" s="52"/>
      <c r="MRR178" s="52"/>
      <c r="MRS178" s="52"/>
      <c r="MRT178" s="52"/>
      <c r="MRU178" s="52"/>
      <c r="MRV178" s="52"/>
      <c r="MRW178" s="52"/>
      <c r="MRX178" s="52"/>
      <c r="MRY178" s="52"/>
      <c r="MRZ178" s="52"/>
      <c r="MSA178" s="52"/>
      <c r="MSB178" s="52"/>
      <c r="MSC178" s="52"/>
      <c r="MSD178" s="52"/>
      <c r="MSE178" s="52"/>
      <c r="MSF178" s="52"/>
      <c r="MSG178" s="52"/>
      <c r="MSH178" s="52"/>
      <c r="MSI178" s="52"/>
      <c r="MSJ178" s="52"/>
      <c r="MSK178" s="52"/>
      <c r="MSL178" s="52"/>
      <c r="MSM178" s="52"/>
      <c r="MSN178" s="52"/>
      <c r="MSO178" s="52"/>
      <c r="MSP178" s="52"/>
      <c r="MSQ178" s="52"/>
      <c r="MSR178" s="52"/>
      <c r="MSS178" s="52"/>
      <c r="MST178" s="52"/>
      <c r="MSU178" s="52"/>
      <c r="MSV178" s="52"/>
      <c r="MSW178" s="52"/>
      <c r="MSX178" s="52"/>
      <c r="MSY178" s="52"/>
      <c r="MSZ178" s="52"/>
      <c r="MTA178" s="52"/>
      <c r="MTB178" s="52"/>
      <c r="MTC178" s="52"/>
      <c r="MTD178" s="52"/>
      <c r="MTE178" s="52"/>
      <c r="MTF178" s="52"/>
      <c r="MTG178" s="52"/>
      <c r="MTH178" s="52"/>
      <c r="MTI178" s="52"/>
      <c r="MTJ178" s="52"/>
      <c r="MTK178" s="52"/>
      <c r="MTL178" s="52"/>
      <c r="MTM178" s="52"/>
      <c r="MTN178" s="52"/>
      <c r="MTO178" s="52"/>
      <c r="MTP178" s="52"/>
      <c r="MTQ178" s="52"/>
      <c r="MTR178" s="52"/>
      <c r="MTS178" s="52"/>
      <c r="MTT178" s="52"/>
      <c r="MTU178" s="52"/>
      <c r="MTV178" s="52"/>
      <c r="MTW178" s="52"/>
      <c r="MTX178" s="52"/>
      <c r="MTY178" s="52"/>
      <c r="MTZ178" s="52"/>
      <c r="MUA178" s="52"/>
      <c r="MUB178" s="52"/>
      <c r="MUC178" s="52"/>
      <c r="MUD178" s="52"/>
      <c r="MUE178" s="52"/>
      <c r="MUF178" s="52"/>
      <c r="MUG178" s="52"/>
      <c r="MUH178" s="52"/>
      <c r="MUI178" s="52"/>
      <c r="MUJ178" s="52"/>
      <c r="MUK178" s="52"/>
      <c r="MUL178" s="52"/>
      <c r="MUM178" s="52"/>
      <c r="MUN178" s="52"/>
      <c r="MUO178" s="52"/>
      <c r="MUP178" s="52"/>
      <c r="MUQ178" s="52"/>
      <c r="MUR178" s="52"/>
      <c r="MUS178" s="52"/>
      <c r="MUT178" s="52"/>
      <c r="MUU178" s="52"/>
      <c r="MUV178" s="52"/>
      <c r="MUW178" s="52"/>
      <c r="MUX178" s="52"/>
      <c r="MUY178" s="52"/>
      <c r="MUZ178" s="52"/>
      <c r="MVA178" s="52"/>
      <c r="MVB178" s="52"/>
      <c r="MVC178" s="52"/>
      <c r="MVD178" s="52"/>
      <c r="MVE178" s="52"/>
      <c r="MVF178" s="52"/>
      <c r="MVG178" s="52"/>
      <c r="MVH178" s="52"/>
      <c r="MVI178" s="52"/>
      <c r="MVJ178" s="52"/>
      <c r="MVK178" s="52"/>
      <c r="MVL178" s="52"/>
      <c r="MVM178" s="52"/>
      <c r="MVN178" s="52"/>
      <c r="MVO178" s="52"/>
      <c r="MVP178" s="52"/>
      <c r="MVQ178" s="52"/>
      <c r="MVR178" s="52"/>
      <c r="MVS178" s="52"/>
      <c r="MVT178" s="52"/>
      <c r="MVU178" s="52"/>
      <c r="MVV178" s="52"/>
      <c r="MVW178" s="52"/>
      <c r="MVX178" s="52"/>
      <c r="MVY178" s="52"/>
      <c r="MVZ178" s="52"/>
      <c r="MWA178" s="52"/>
      <c r="MWB178" s="52"/>
      <c r="MWC178" s="52"/>
      <c r="MWD178" s="52"/>
      <c r="MWE178" s="52"/>
      <c r="MWF178" s="52"/>
      <c r="MWG178" s="52"/>
      <c r="MWH178" s="52"/>
      <c r="MWI178" s="52"/>
      <c r="MWJ178" s="52"/>
      <c r="MWK178" s="52"/>
      <c r="MWL178" s="52"/>
      <c r="MWM178" s="52"/>
      <c r="MWN178" s="52"/>
      <c r="MWO178" s="52"/>
      <c r="MWP178" s="52"/>
      <c r="MWQ178" s="52"/>
      <c r="MWR178" s="52"/>
      <c r="MWS178" s="52"/>
      <c r="MWT178" s="52"/>
      <c r="MWU178" s="52"/>
      <c r="MWV178" s="52"/>
      <c r="MWW178" s="52"/>
      <c r="MWX178" s="52"/>
      <c r="MWY178" s="52"/>
      <c r="MWZ178" s="52"/>
      <c r="MXA178" s="52"/>
      <c r="MXB178" s="52"/>
      <c r="MXC178" s="52"/>
      <c r="MXD178" s="52"/>
      <c r="MXE178" s="52"/>
      <c r="MXF178" s="52"/>
      <c r="MXG178" s="52"/>
      <c r="MXH178" s="52"/>
      <c r="MXI178" s="52"/>
      <c r="MXJ178" s="52"/>
      <c r="MXK178" s="52"/>
      <c r="MXL178" s="52"/>
      <c r="MXM178" s="52"/>
      <c r="MXN178" s="52"/>
      <c r="MXO178" s="52"/>
      <c r="MXP178" s="52"/>
      <c r="MXQ178" s="52"/>
      <c r="MXR178" s="52"/>
      <c r="MXS178" s="52"/>
      <c r="MXT178" s="52"/>
      <c r="MXU178" s="52"/>
      <c r="MXV178" s="52"/>
      <c r="MXW178" s="52"/>
      <c r="MXX178" s="52"/>
      <c r="MXY178" s="52"/>
      <c r="MXZ178" s="52"/>
      <c r="MYA178" s="52"/>
      <c r="MYB178" s="52"/>
      <c r="MYC178" s="52"/>
      <c r="MYD178" s="52"/>
      <c r="MYE178" s="52"/>
      <c r="MYF178" s="52"/>
      <c r="MYG178" s="52"/>
      <c r="MYH178" s="52"/>
      <c r="MYI178" s="52"/>
      <c r="MYJ178" s="52"/>
      <c r="MYK178" s="52"/>
      <c r="MYL178" s="52"/>
      <c r="MYM178" s="52"/>
      <c r="MYN178" s="52"/>
      <c r="MYO178" s="52"/>
      <c r="MYP178" s="52"/>
      <c r="MYQ178" s="52"/>
      <c r="MYR178" s="52"/>
      <c r="MYS178" s="52"/>
      <c r="MYT178" s="52"/>
      <c r="MYU178" s="52"/>
      <c r="MYV178" s="52"/>
      <c r="MYW178" s="52"/>
      <c r="MYX178" s="52"/>
      <c r="MYY178" s="52"/>
      <c r="MYZ178" s="52"/>
      <c r="MZA178" s="52"/>
      <c r="MZB178" s="52"/>
      <c r="MZC178" s="52"/>
      <c r="MZD178" s="52"/>
      <c r="MZE178" s="52"/>
      <c r="MZF178" s="52"/>
      <c r="MZG178" s="52"/>
      <c r="MZH178" s="52"/>
      <c r="MZI178" s="52"/>
      <c r="MZJ178" s="52"/>
      <c r="MZK178" s="52"/>
      <c r="MZL178" s="52"/>
      <c r="MZM178" s="52"/>
      <c r="MZN178" s="52"/>
      <c r="MZO178" s="52"/>
      <c r="MZP178" s="52"/>
      <c r="MZQ178" s="52"/>
      <c r="MZR178" s="52"/>
      <c r="MZS178" s="52"/>
      <c r="MZT178" s="52"/>
      <c r="MZU178" s="52"/>
      <c r="MZV178" s="52"/>
      <c r="MZW178" s="52"/>
      <c r="MZX178" s="52"/>
      <c r="MZY178" s="52"/>
      <c r="MZZ178" s="52"/>
      <c r="NAA178" s="52"/>
      <c r="NAB178" s="52"/>
      <c r="NAC178" s="52"/>
      <c r="NAD178" s="52"/>
      <c r="NAE178" s="52"/>
      <c r="NAF178" s="52"/>
      <c r="NAG178" s="52"/>
      <c r="NAH178" s="52"/>
      <c r="NAI178" s="52"/>
      <c r="NAJ178" s="52"/>
      <c r="NAK178" s="52"/>
      <c r="NAL178" s="52"/>
      <c r="NAM178" s="52"/>
      <c r="NAN178" s="52"/>
      <c r="NAO178" s="52"/>
      <c r="NAP178" s="52"/>
      <c r="NAQ178" s="52"/>
      <c r="NAR178" s="52"/>
      <c r="NAS178" s="52"/>
      <c r="NAT178" s="52"/>
      <c r="NAU178" s="52"/>
      <c r="NAV178" s="52"/>
      <c r="NAW178" s="52"/>
      <c r="NAX178" s="52"/>
      <c r="NAY178" s="52"/>
      <c r="NAZ178" s="52"/>
      <c r="NBA178" s="52"/>
      <c r="NBB178" s="52"/>
      <c r="NBC178" s="52"/>
      <c r="NBD178" s="52"/>
      <c r="NBE178" s="52"/>
      <c r="NBF178" s="52"/>
      <c r="NBG178" s="52"/>
      <c r="NBH178" s="52"/>
      <c r="NBI178" s="52"/>
      <c r="NBJ178" s="52"/>
      <c r="NBK178" s="52"/>
      <c r="NBL178" s="52"/>
      <c r="NBM178" s="52"/>
      <c r="NBN178" s="52"/>
      <c r="NBO178" s="52"/>
      <c r="NBP178" s="52"/>
      <c r="NBQ178" s="52"/>
      <c r="NBR178" s="52"/>
      <c r="NBS178" s="52"/>
      <c r="NBT178" s="52"/>
      <c r="NBU178" s="52"/>
      <c r="NBV178" s="52"/>
      <c r="NBW178" s="52"/>
      <c r="NBX178" s="52"/>
      <c r="NBY178" s="52"/>
      <c r="NBZ178" s="52"/>
      <c r="NCA178" s="52"/>
      <c r="NCB178" s="52"/>
      <c r="NCC178" s="52"/>
      <c r="NCD178" s="52"/>
      <c r="NCE178" s="52"/>
      <c r="NCF178" s="52"/>
      <c r="NCG178" s="52"/>
      <c r="NCH178" s="52"/>
      <c r="NCI178" s="52"/>
      <c r="NCJ178" s="52"/>
      <c r="NCK178" s="52"/>
      <c r="NCL178" s="52"/>
      <c r="NCM178" s="52"/>
      <c r="NCN178" s="52"/>
      <c r="NCO178" s="52"/>
      <c r="NCP178" s="52"/>
      <c r="NCQ178" s="52"/>
      <c r="NCR178" s="52"/>
      <c r="NCS178" s="52"/>
      <c r="NCT178" s="52"/>
      <c r="NCU178" s="52"/>
      <c r="NCV178" s="52"/>
      <c r="NCW178" s="52"/>
      <c r="NCX178" s="52"/>
      <c r="NCY178" s="52"/>
      <c r="NCZ178" s="52"/>
      <c r="NDA178" s="52"/>
      <c r="NDB178" s="52"/>
      <c r="NDC178" s="52"/>
      <c r="NDD178" s="52"/>
      <c r="NDE178" s="52"/>
      <c r="NDF178" s="52"/>
      <c r="NDG178" s="52"/>
      <c r="NDH178" s="52"/>
      <c r="NDI178" s="52"/>
      <c r="NDJ178" s="52"/>
      <c r="NDK178" s="52"/>
      <c r="NDL178" s="52"/>
      <c r="NDM178" s="52"/>
      <c r="NDN178" s="52"/>
      <c r="NDO178" s="52"/>
      <c r="NDP178" s="52"/>
      <c r="NDQ178" s="52"/>
      <c r="NDR178" s="52"/>
      <c r="NDS178" s="52"/>
      <c r="NDT178" s="52"/>
      <c r="NDU178" s="52"/>
      <c r="NDV178" s="52"/>
      <c r="NDW178" s="52"/>
      <c r="NDX178" s="52"/>
      <c r="NDY178" s="52"/>
      <c r="NDZ178" s="52"/>
      <c r="NEA178" s="52"/>
      <c r="NEB178" s="52"/>
      <c r="NEC178" s="52"/>
      <c r="NED178" s="52"/>
      <c r="NEE178" s="52"/>
      <c r="NEF178" s="52"/>
      <c r="NEG178" s="52"/>
      <c r="NEH178" s="52"/>
      <c r="NEI178" s="52"/>
      <c r="NEJ178" s="52"/>
      <c r="NEK178" s="52"/>
      <c r="NEL178" s="52"/>
      <c r="NEM178" s="52"/>
      <c r="NEN178" s="52"/>
      <c r="NEO178" s="52"/>
      <c r="NEP178" s="52"/>
      <c r="NEQ178" s="52"/>
      <c r="NER178" s="52"/>
      <c r="NES178" s="52"/>
      <c r="NET178" s="52"/>
      <c r="NEU178" s="52"/>
      <c r="NEV178" s="52"/>
      <c r="NEW178" s="52"/>
      <c r="NEX178" s="52"/>
      <c r="NEY178" s="52"/>
      <c r="NEZ178" s="52"/>
      <c r="NFA178" s="52"/>
      <c r="NFB178" s="52"/>
      <c r="NFC178" s="52"/>
      <c r="NFD178" s="52"/>
      <c r="NFE178" s="52"/>
      <c r="NFF178" s="52"/>
      <c r="NFG178" s="52"/>
      <c r="NFH178" s="52"/>
      <c r="NFI178" s="52"/>
      <c r="NFJ178" s="52"/>
      <c r="NFK178" s="52"/>
      <c r="NFL178" s="52"/>
      <c r="NFM178" s="52"/>
      <c r="NFN178" s="52"/>
      <c r="NFO178" s="52"/>
      <c r="NFP178" s="52"/>
      <c r="NFQ178" s="52"/>
      <c r="NFR178" s="52"/>
      <c r="NFS178" s="52"/>
      <c r="NFT178" s="52"/>
      <c r="NFU178" s="52"/>
      <c r="NFV178" s="52"/>
      <c r="NFW178" s="52"/>
      <c r="NFX178" s="52"/>
      <c r="NFY178" s="52"/>
      <c r="NFZ178" s="52"/>
      <c r="NGA178" s="52"/>
      <c r="NGB178" s="52"/>
      <c r="NGC178" s="52"/>
      <c r="NGD178" s="52"/>
      <c r="NGE178" s="52"/>
      <c r="NGF178" s="52"/>
      <c r="NGG178" s="52"/>
      <c r="NGH178" s="52"/>
      <c r="NGI178" s="52"/>
      <c r="NGJ178" s="52"/>
      <c r="NGK178" s="52"/>
      <c r="NGL178" s="52"/>
      <c r="NGM178" s="52"/>
      <c r="NGN178" s="52"/>
      <c r="NGO178" s="52"/>
      <c r="NGP178" s="52"/>
      <c r="NGQ178" s="52"/>
      <c r="NGR178" s="52"/>
      <c r="NGS178" s="52"/>
      <c r="NGT178" s="52"/>
      <c r="NGU178" s="52"/>
      <c r="NGV178" s="52"/>
      <c r="NGW178" s="52"/>
      <c r="NGX178" s="52"/>
      <c r="NGY178" s="52"/>
      <c r="NGZ178" s="52"/>
      <c r="NHA178" s="52"/>
      <c r="NHB178" s="52"/>
      <c r="NHC178" s="52"/>
      <c r="NHD178" s="52"/>
      <c r="NHE178" s="52"/>
      <c r="NHF178" s="52"/>
      <c r="NHG178" s="52"/>
      <c r="NHH178" s="52"/>
      <c r="NHI178" s="52"/>
      <c r="NHJ178" s="52"/>
      <c r="NHK178" s="52"/>
      <c r="NHL178" s="52"/>
      <c r="NHM178" s="52"/>
      <c r="NHN178" s="52"/>
      <c r="NHO178" s="52"/>
      <c r="NHP178" s="52"/>
      <c r="NHQ178" s="52"/>
      <c r="NHR178" s="52"/>
      <c r="NHS178" s="52"/>
      <c r="NHT178" s="52"/>
      <c r="NHU178" s="52"/>
      <c r="NHV178" s="52"/>
      <c r="NHW178" s="52"/>
      <c r="NHX178" s="52"/>
      <c r="NHY178" s="52"/>
      <c r="NHZ178" s="52"/>
      <c r="NIA178" s="52"/>
      <c r="NIB178" s="52"/>
      <c r="NIC178" s="52"/>
      <c r="NID178" s="52"/>
      <c r="NIE178" s="52"/>
      <c r="NIF178" s="52"/>
      <c r="NIG178" s="52"/>
      <c r="NIH178" s="52"/>
      <c r="NII178" s="52"/>
      <c r="NIJ178" s="52"/>
      <c r="NIK178" s="52"/>
      <c r="NIL178" s="52"/>
      <c r="NIM178" s="52"/>
      <c r="NIN178" s="52"/>
      <c r="NIO178" s="52"/>
      <c r="NIP178" s="52"/>
      <c r="NIQ178" s="52"/>
      <c r="NIR178" s="52"/>
      <c r="NIS178" s="52"/>
      <c r="NIT178" s="52"/>
      <c r="NIU178" s="52"/>
      <c r="NIV178" s="52"/>
      <c r="NIW178" s="52"/>
      <c r="NIX178" s="52"/>
      <c r="NIY178" s="52"/>
      <c r="NIZ178" s="52"/>
      <c r="NJA178" s="52"/>
      <c r="NJB178" s="52"/>
      <c r="NJC178" s="52"/>
      <c r="NJD178" s="52"/>
      <c r="NJE178" s="52"/>
      <c r="NJF178" s="52"/>
      <c r="NJG178" s="52"/>
      <c r="NJH178" s="52"/>
      <c r="NJI178" s="52"/>
      <c r="NJJ178" s="52"/>
      <c r="NJK178" s="52"/>
      <c r="NJL178" s="52"/>
      <c r="NJM178" s="52"/>
      <c r="NJN178" s="52"/>
      <c r="NJO178" s="52"/>
      <c r="NJP178" s="52"/>
      <c r="NJQ178" s="52"/>
      <c r="NJR178" s="52"/>
      <c r="NJS178" s="52"/>
      <c r="NJT178" s="52"/>
      <c r="NJU178" s="52"/>
      <c r="NJV178" s="52"/>
      <c r="NJW178" s="52"/>
      <c r="NJX178" s="52"/>
      <c r="NJY178" s="52"/>
      <c r="NJZ178" s="52"/>
      <c r="NKA178" s="52"/>
      <c r="NKB178" s="52"/>
      <c r="NKC178" s="52"/>
      <c r="NKD178" s="52"/>
      <c r="NKE178" s="52"/>
      <c r="NKF178" s="52"/>
      <c r="NKG178" s="52"/>
      <c r="NKH178" s="52"/>
      <c r="NKI178" s="52"/>
      <c r="NKJ178" s="52"/>
      <c r="NKK178" s="52"/>
      <c r="NKL178" s="52"/>
      <c r="NKM178" s="52"/>
      <c r="NKN178" s="52"/>
      <c r="NKO178" s="52"/>
      <c r="NKP178" s="52"/>
      <c r="NKQ178" s="52"/>
      <c r="NKR178" s="52"/>
      <c r="NKS178" s="52"/>
      <c r="NKT178" s="52"/>
      <c r="NKU178" s="52"/>
      <c r="NKV178" s="52"/>
      <c r="NKW178" s="52"/>
      <c r="NKX178" s="52"/>
      <c r="NKY178" s="52"/>
      <c r="NKZ178" s="52"/>
      <c r="NLA178" s="52"/>
      <c r="NLB178" s="52"/>
      <c r="NLC178" s="52"/>
      <c r="NLD178" s="52"/>
      <c r="NLE178" s="52"/>
      <c r="NLF178" s="52"/>
      <c r="NLG178" s="52"/>
      <c r="NLH178" s="52"/>
      <c r="NLI178" s="52"/>
      <c r="NLJ178" s="52"/>
      <c r="NLK178" s="52"/>
      <c r="NLL178" s="52"/>
      <c r="NLM178" s="52"/>
      <c r="NLN178" s="52"/>
      <c r="NLO178" s="52"/>
      <c r="NLP178" s="52"/>
      <c r="NLQ178" s="52"/>
      <c r="NLR178" s="52"/>
      <c r="NLS178" s="52"/>
      <c r="NLT178" s="52"/>
      <c r="NLU178" s="52"/>
      <c r="NLV178" s="52"/>
      <c r="NLW178" s="52"/>
      <c r="NLX178" s="52"/>
      <c r="NLY178" s="52"/>
      <c r="NLZ178" s="52"/>
      <c r="NMA178" s="52"/>
      <c r="NMB178" s="52"/>
      <c r="NMC178" s="52"/>
      <c r="NMD178" s="52"/>
      <c r="NME178" s="52"/>
      <c r="NMF178" s="52"/>
      <c r="NMG178" s="52"/>
      <c r="NMH178" s="52"/>
      <c r="NMI178" s="52"/>
      <c r="NMJ178" s="52"/>
      <c r="NMK178" s="52"/>
      <c r="NML178" s="52"/>
      <c r="NMM178" s="52"/>
      <c r="NMN178" s="52"/>
      <c r="NMO178" s="52"/>
      <c r="NMP178" s="52"/>
      <c r="NMQ178" s="52"/>
      <c r="NMR178" s="52"/>
      <c r="NMS178" s="52"/>
      <c r="NMT178" s="52"/>
      <c r="NMU178" s="52"/>
      <c r="NMV178" s="52"/>
      <c r="NMW178" s="52"/>
      <c r="NMX178" s="52"/>
      <c r="NMY178" s="52"/>
      <c r="NMZ178" s="52"/>
      <c r="NNA178" s="52"/>
      <c r="NNB178" s="52"/>
      <c r="NNC178" s="52"/>
      <c r="NND178" s="52"/>
      <c r="NNE178" s="52"/>
      <c r="NNF178" s="52"/>
      <c r="NNG178" s="52"/>
      <c r="NNH178" s="52"/>
      <c r="NNI178" s="52"/>
      <c r="NNJ178" s="52"/>
      <c r="NNK178" s="52"/>
      <c r="NNL178" s="52"/>
      <c r="NNM178" s="52"/>
      <c r="NNN178" s="52"/>
      <c r="NNO178" s="52"/>
      <c r="NNP178" s="52"/>
      <c r="NNQ178" s="52"/>
      <c r="NNR178" s="52"/>
      <c r="NNS178" s="52"/>
      <c r="NNT178" s="52"/>
      <c r="NNU178" s="52"/>
      <c r="NNV178" s="52"/>
      <c r="NNW178" s="52"/>
      <c r="NNX178" s="52"/>
      <c r="NNY178" s="52"/>
      <c r="NNZ178" s="52"/>
      <c r="NOA178" s="52"/>
      <c r="NOB178" s="52"/>
      <c r="NOC178" s="52"/>
      <c r="NOD178" s="52"/>
      <c r="NOE178" s="52"/>
      <c r="NOF178" s="52"/>
      <c r="NOG178" s="52"/>
      <c r="NOH178" s="52"/>
      <c r="NOI178" s="52"/>
      <c r="NOJ178" s="52"/>
      <c r="NOK178" s="52"/>
      <c r="NOL178" s="52"/>
      <c r="NOM178" s="52"/>
      <c r="NON178" s="52"/>
      <c r="NOO178" s="52"/>
      <c r="NOP178" s="52"/>
      <c r="NOQ178" s="52"/>
      <c r="NOR178" s="52"/>
      <c r="NOS178" s="52"/>
      <c r="NOT178" s="52"/>
      <c r="NOU178" s="52"/>
      <c r="NOV178" s="52"/>
      <c r="NOW178" s="52"/>
      <c r="NOX178" s="52"/>
      <c r="NOY178" s="52"/>
      <c r="NOZ178" s="52"/>
      <c r="NPA178" s="52"/>
      <c r="NPB178" s="52"/>
      <c r="NPC178" s="52"/>
      <c r="NPD178" s="52"/>
      <c r="NPE178" s="52"/>
      <c r="NPF178" s="52"/>
      <c r="NPG178" s="52"/>
      <c r="NPH178" s="52"/>
      <c r="NPI178" s="52"/>
      <c r="NPJ178" s="52"/>
      <c r="NPK178" s="52"/>
      <c r="NPL178" s="52"/>
      <c r="NPM178" s="52"/>
      <c r="NPN178" s="52"/>
      <c r="NPO178" s="52"/>
      <c r="NPP178" s="52"/>
      <c r="NPQ178" s="52"/>
      <c r="NPR178" s="52"/>
      <c r="NPS178" s="52"/>
      <c r="NPT178" s="52"/>
      <c r="NPU178" s="52"/>
      <c r="NPV178" s="52"/>
      <c r="NPW178" s="52"/>
      <c r="NPX178" s="52"/>
      <c r="NPY178" s="52"/>
      <c r="NPZ178" s="52"/>
      <c r="NQA178" s="52"/>
      <c r="NQB178" s="52"/>
      <c r="NQC178" s="52"/>
      <c r="NQD178" s="52"/>
      <c r="NQE178" s="52"/>
      <c r="NQF178" s="52"/>
      <c r="NQG178" s="52"/>
      <c r="NQH178" s="52"/>
      <c r="NQI178" s="52"/>
      <c r="NQJ178" s="52"/>
      <c r="NQK178" s="52"/>
      <c r="NQL178" s="52"/>
      <c r="NQM178" s="52"/>
      <c r="NQN178" s="52"/>
      <c r="NQO178" s="52"/>
      <c r="NQP178" s="52"/>
      <c r="NQQ178" s="52"/>
      <c r="NQR178" s="52"/>
      <c r="NQS178" s="52"/>
      <c r="NQT178" s="52"/>
      <c r="NQU178" s="52"/>
      <c r="NQV178" s="52"/>
      <c r="NQW178" s="52"/>
      <c r="NQX178" s="52"/>
      <c r="NQY178" s="52"/>
      <c r="NQZ178" s="52"/>
      <c r="NRA178" s="52"/>
      <c r="NRB178" s="52"/>
      <c r="NRC178" s="52"/>
      <c r="NRD178" s="52"/>
      <c r="NRE178" s="52"/>
      <c r="NRF178" s="52"/>
      <c r="NRG178" s="52"/>
      <c r="NRH178" s="52"/>
      <c r="NRI178" s="52"/>
      <c r="NRJ178" s="52"/>
      <c r="NRK178" s="52"/>
      <c r="NRL178" s="52"/>
      <c r="NRM178" s="52"/>
      <c r="NRN178" s="52"/>
      <c r="NRO178" s="52"/>
      <c r="NRP178" s="52"/>
      <c r="NRQ178" s="52"/>
      <c r="NRR178" s="52"/>
      <c r="NRS178" s="52"/>
      <c r="NRT178" s="52"/>
      <c r="NRU178" s="52"/>
      <c r="NRV178" s="52"/>
      <c r="NRW178" s="52"/>
      <c r="NRX178" s="52"/>
      <c r="NRY178" s="52"/>
      <c r="NRZ178" s="52"/>
      <c r="NSA178" s="52"/>
      <c r="NSB178" s="52"/>
      <c r="NSC178" s="52"/>
      <c r="NSD178" s="52"/>
      <c r="NSE178" s="52"/>
      <c r="NSF178" s="52"/>
      <c r="NSG178" s="52"/>
      <c r="NSH178" s="52"/>
      <c r="NSI178" s="52"/>
      <c r="NSJ178" s="52"/>
      <c r="NSK178" s="52"/>
      <c r="NSL178" s="52"/>
      <c r="NSM178" s="52"/>
      <c r="NSN178" s="52"/>
      <c r="NSO178" s="52"/>
      <c r="NSP178" s="52"/>
      <c r="NSQ178" s="52"/>
      <c r="NSR178" s="52"/>
      <c r="NSS178" s="52"/>
      <c r="NST178" s="52"/>
      <c r="NSU178" s="52"/>
      <c r="NSV178" s="52"/>
      <c r="NSW178" s="52"/>
      <c r="NSX178" s="52"/>
      <c r="NSY178" s="52"/>
      <c r="NSZ178" s="52"/>
      <c r="NTA178" s="52"/>
      <c r="NTB178" s="52"/>
      <c r="NTC178" s="52"/>
      <c r="NTD178" s="52"/>
      <c r="NTE178" s="52"/>
      <c r="NTF178" s="52"/>
      <c r="NTG178" s="52"/>
      <c r="NTH178" s="52"/>
      <c r="NTI178" s="52"/>
      <c r="NTJ178" s="52"/>
      <c r="NTK178" s="52"/>
      <c r="NTL178" s="52"/>
      <c r="NTM178" s="52"/>
      <c r="NTN178" s="52"/>
      <c r="NTO178" s="52"/>
      <c r="NTP178" s="52"/>
      <c r="NTQ178" s="52"/>
      <c r="NTR178" s="52"/>
      <c r="NTS178" s="52"/>
      <c r="NTT178" s="52"/>
      <c r="NTU178" s="52"/>
      <c r="NTV178" s="52"/>
      <c r="NTW178" s="52"/>
      <c r="NTX178" s="52"/>
      <c r="NTY178" s="52"/>
      <c r="NTZ178" s="52"/>
      <c r="NUA178" s="52"/>
      <c r="NUB178" s="52"/>
      <c r="NUC178" s="52"/>
      <c r="NUD178" s="52"/>
      <c r="NUE178" s="52"/>
      <c r="NUF178" s="52"/>
      <c r="NUG178" s="52"/>
      <c r="NUH178" s="52"/>
      <c r="NUI178" s="52"/>
      <c r="NUJ178" s="52"/>
      <c r="NUK178" s="52"/>
      <c r="NUL178" s="52"/>
      <c r="NUM178" s="52"/>
      <c r="NUN178" s="52"/>
      <c r="NUO178" s="52"/>
      <c r="NUP178" s="52"/>
      <c r="NUQ178" s="52"/>
      <c r="NUR178" s="52"/>
      <c r="NUS178" s="52"/>
      <c r="NUT178" s="52"/>
      <c r="NUU178" s="52"/>
      <c r="NUV178" s="52"/>
      <c r="NUW178" s="52"/>
      <c r="NUX178" s="52"/>
      <c r="NUY178" s="52"/>
      <c r="NUZ178" s="52"/>
      <c r="NVA178" s="52"/>
      <c r="NVB178" s="52"/>
      <c r="NVC178" s="52"/>
      <c r="NVD178" s="52"/>
      <c r="NVE178" s="52"/>
      <c r="NVF178" s="52"/>
      <c r="NVG178" s="52"/>
      <c r="NVH178" s="52"/>
      <c r="NVI178" s="52"/>
      <c r="NVJ178" s="52"/>
      <c r="NVK178" s="52"/>
      <c r="NVL178" s="52"/>
      <c r="NVM178" s="52"/>
      <c r="NVN178" s="52"/>
      <c r="NVO178" s="52"/>
      <c r="NVP178" s="52"/>
      <c r="NVQ178" s="52"/>
      <c r="NVR178" s="52"/>
      <c r="NVS178" s="52"/>
      <c r="NVT178" s="52"/>
      <c r="NVU178" s="52"/>
      <c r="NVV178" s="52"/>
      <c r="NVW178" s="52"/>
      <c r="NVX178" s="52"/>
      <c r="NVY178" s="52"/>
      <c r="NVZ178" s="52"/>
      <c r="NWA178" s="52"/>
      <c r="NWB178" s="52"/>
      <c r="NWC178" s="52"/>
      <c r="NWD178" s="52"/>
      <c r="NWE178" s="52"/>
      <c r="NWF178" s="52"/>
      <c r="NWG178" s="52"/>
      <c r="NWH178" s="52"/>
      <c r="NWI178" s="52"/>
      <c r="NWJ178" s="52"/>
      <c r="NWK178" s="52"/>
      <c r="NWL178" s="52"/>
      <c r="NWM178" s="52"/>
      <c r="NWN178" s="52"/>
      <c r="NWO178" s="52"/>
      <c r="NWP178" s="52"/>
      <c r="NWQ178" s="52"/>
      <c r="NWR178" s="52"/>
      <c r="NWS178" s="52"/>
      <c r="NWT178" s="52"/>
      <c r="NWU178" s="52"/>
      <c r="NWV178" s="52"/>
      <c r="NWW178" s="52"/>
      <c r="NWX178" s="52"/>
      <c r="NWY178" s="52"/>
      <c r="NWZ178" s="52"/>
      <c r="NXA178" s="52"/>
      <c r="NXB178" s="52"/>
      <c r="NXC178" s="52"/>
      <c r="NXD178" s="52"/>
      <c r="NXE178" s="52"/>
      <c r="NXF178" s="52"/>
      <c r="NXG178" s="52"/>
      <c r="NXH178" s="52"/>
      <c r="NXI178" s="52"/>
      <c r="NXJ178" s="52"/>
      <c r="NXK178" s="52"/>
      <c r="NXL178" s="52"/>
      <c r="NXM178" s="52"/>
      <c r="NXN178" s="52"/>
      <c r="NXO178" s="52"/>
      <c r="NXP178" s="52"/>
      <c r="NXQ178" s="52"/>
      <c r="NXR178" s="52"/>
      <c r="NXS178" s="52"/>
      <c r="NXT178" s="52"/>
      <c r="NXU178" s="52"/>
      <c r="NXV178" s="52"/>
      <c r="NXW178" s="52"/>
      <c r="NXX178" s="52"/>
      <c r="NXY178" s="52"/>
      <c r="NXZ178" s="52"/>
      <c r="NYA178" s="52"/>
      <c r="NYB178" s="52"/>
      <c r="NYC178" s="52"/>
      <c r="NYD178" s="52"/>
      <c r="NYE178" s="52"/>
      <c r="NYF178" s="52"/>
      <c r="NYG178" s="52"/>
      <c r="NYH178" s="52"/>
      <c r="NYI178" s="52"/>
      <c r="NYJ178" s="52"/>
      <c r="NYK178" s="52"/>
      <c r="NYL178" s="52"/>
      <c r="NYM178" s="52"/>
      <c r="NYN178" s="52"/>
      <c r="NYO178" s="52"/>
      <c r="NYP178" s="52"/>
      <c r="NYQ178" s="52"/>
      <c r="NYR178" s="52"/>
      <c r="NYS178" s="52"/>
      <c r="NYT178" s="52"/>
      <c r="NYU178" s="52"/>
      <c r="NYV178" s="52"/>
      <c r="NYW178" s="52"/>
      <c r="NYX178" s="52"/>
      <c r="NYY178" s="52"/>
      <c r="NYZ178" s="52"/>
      <c r="NZA178" s="52"/>
      <c r="NZB178" s="52"/>
      <c r="NZC178" s="52"/>
      <c r="NZD178" s="52"/>
      <c r="NZE178" s="52"/>
      <c r="NZF178" s="52"/>
      <c r="NZG178" s="52"/>
      <c r="NZH178" s="52"/>
      <c r="NZI178" s="52"/>
      <c r="NZJ178" s="52"/>
      <c r="NZK178" s="52"/>
      <c r="NZL178" s="52"/>
      <c r="NZM178" s="52"/>
      <c r="NZN178" s="52"/>
      <c r="NZO178" s="52"/>
      <c r="NZP178" s="52"/>
      <c r="NZQ178" s="52"/>
      <c r="NZR178" s="52"/>
      <c r="NZS178" s="52"/>
      <c r="NZT178" s="52"/>
      <c r="NZU178" s="52"/>
      <c r="NZV178" s="52"/>
      <c r="NZW178" s="52"/>
      <c r="NZX178" s="52"/>
      <c r="NZY178" s="52"/>
      <c r="NZZ178" s="52"/>
      <c r="OAA178" s="52"/>
      <c r="OAB178" s="52"/>
      <c r="OAC178" s="52"/>
      <c r="OAD178" s="52"/>
      <c r="OAE178" s="52"/>
      <c r="OAF178" s="52"/>
      <c r="OAG178" s="52"/>
      <c r="OAH178" s="52"/>
      <c r="OAI178" s="52"/>
      <c r="OAJ178" s="52"/>
      <c r="OAK178" s="52"/>
      <c r="OAL178" s="52"/>
      <c r="OAM178" s="52"/>
      <c r="OAN178" s="52"/>
      <c r="OAO178" s="52"/>
      <c r="OAP178" s="52"/>
      <c r="OAQ178" s="52"/>
      <c r="OAR178" s="52"/>
      <c r="OAS178" s="52"/>
      <c r="OAT178" s="52"/>
      <c r="OAU178" s="52"/>
      <c r="OAV178" s="52"/>
      <c r="OAW178" s="52"/>
      <c r="OAX178" s="52"/>
      <c r="OAY178" s="52"/>
      <c r="OAZ178" s="52"/>
      <c r="OBA178" s="52"/>
      <c r="OBB178" s="52"/>
      <c r="OBC178" s="52"/>
      <c r="OBD178" s="52"/>
      <c r="OBE178" s="52"/>
      <c r="OBF178" s="52"/>
      <c r="OBG178" s="52"/>
      <c r="OBH178" s="52"/>
      <c r="OBI178" s="52"/>
      <c r="OBJ178" s="52"/>
      <c r="OBK178" s="52"/>
      <c r="OBL178" s="52"/>
      <c r="OBM178" s="52"/>
      <c r="OBN178" s="52"/>
      <c r="OBO178" s="52"/>
      <c r="OBP178" s="52"/>
      <c r="OBQ178" s="52"/>
      <c r="OBR178" s="52"/>
      <c r="OBS178" s="52"/>
      <c r="OBT178" s="52"/>
      <c r="OBU178" s="52"/>
      <c r="OBV178" s="52"/>
      <c r="OBW178" s="52"/>
      <c r="OBX178" s="52"/>
      <c r="OBY178" s="52"/>
      <c r="OBZ178" s="52"/>
      <c r="OCA178" s="52"/>
      <c r="OCB178" s="52"/>
      <c r="OCC178" s="52"/>
      <c r="OCD178" s="52"/>
      <c r="OCE178" s="52"/>
      <c r="OCF178" s="52"/>
      <c r="OCG178" s="52"/>
      <c r="OCH178" s="52"/>
      <c r="OCI178" s="52"/>
      <c r="OCJ178" s="52"/>
      <c r="OCK178" s="52"/>
      <c r="OCL178" s="52"/>
      <c r="OCM178" s="52"/>
      <c r="OCN178" s="52"/>
      <c r="OCO178" s="52"/>
      <c r="OCP178" s="52"/>
      <c r="OCQ178" s="52"/>
      <c r="OCR178" s="52"/>
      <c r="OCS178" s="52"/>
      <c r="OCT178" s="52"/>
      <c r="OCU178" s="52"/>
      <c r="OCV178" s="52"/>
      <c r="OCW178" s="52"/>
      <c r="OCX178" s="52"/>
      <c r="OCY178" s="52"/>
      <c r="OCZ178" s="52"/>
      <c r="ODA178" s="52"/>
      <c r="ODB178" s="52"/>
      <c r="ODC178" s="52"/>
      <c r="ODD178" s="52"/>
      <c r="ODE178" s="52"/>
      <c r="ODF178" s="52"/>
      <c r="ODG178" s="52"/>
      <c r="ODH178" s="52"/>
      <c r="ODI178" s="52"/>
      <c r="ODJ178" s="52"/>
      <c r="ODK178" s="52"/>
      <c r="ODL178" s="52"/>
      <c r="ODM178" s="52"/>
      <c r="ODN178" s="52"/>
      <c r="ODO178" s="52"/>
      <c r="ODP178" s="52"/>
      <c r="ODQ178" s="52"/>
      <c r="ODR178" s="52"/>
      <c r="ODS178" s="52"/>
      <c r="ODT178" s="52"/>
      <c r="ODU178" s="52"/>
      <c r="ODV178" s="52"/>
      <c r="ODW178" s="52"/>
      <c r="ODX178" s="52"/>
      <c r="ODY178" s="52"/>
      <c r="ODZ178" s="52"/>
      <c r="OEA178" s="52"/>
      <c r="OEB178" s="52"/>
      <c r="OEC178" s="52"/>
      <c r="OED178" s="52"/>
      <c r="OEE178" s="52"/>
      <c r="OEF178" s="52"/>
      <c r="OEG178" s="52"/>
      <c r="OEH178" s="52"/>
      <c r="OEI178" s="52"/>
      <c r="OEJ178" s="52"/>
      <c r="OEK178" s="52"/>
      <c r="OEL178" s="52"/>
      <c r="OEM178" s="52"/>
      <c r="OEN178" s="52"/>
      <c r="OEO178" s="52"/>
      <c r="OEP178" s="52"/>
      <c r="OEQ178" s="52"/>
      <c r="OER178" s="52"/>
      <c r="OES178" s="52"/>
      <c r="OET178" s="52"/>
      <c r="OEU178" s="52"/>
      <c r="OEV178" s="52"/>
      <c r="OEW178" s="52"/>
      <c r="OEX178" s="52"/>
      <c r="OEY178" s="52"/>
      <c r="OEZ178" s="52"/>
      <c r="OFA178" s="52"/>
      <c r="OFB178" s="52"/>
      <c r="OFC178" s="52"/>
      <c r="OFD178" s="52"/>
      <c r="OFE178" s="52"/>
      <c r="OFF178" s="52"/>
      <c r="OFG178" s="52"/>
      <c r="OFH178" s="52"/>
      <c r="OFI178" s="52"/>
      <c r="OFJ178" s="52"/>
      <c r="OFK178" s="52"/>
      <c r="OFL178" s="52"/>
      <c r="OFM178" s="52"/>
      <c r="OFN178" s="52"/>
      <c r="OFO178" s="52"/>
      <c r="OFP178" s="52"/>
      <c r="OFQ178" s="52"/>
      <c r="OFR178" s="52"/>
      <c r="OFS178" s="52"/>
      <c r="OFT178" s="52"/>
      <c r="OFU178" s="52"/>
      <c r="OFV178" s="52"/>
      <c r="OFW178" s="52"/>
      <c r="OFX178" s="52"/>
      <c r="OFY178" s="52"/>
      <c r="OFZ178" s="52"/>
      <c r="OGA178" s="52"/>
      <c r="OGB178" s="52"/>
      <c r="OGC178" s="52"/>
      <c r="OGD178" s="52"/>
      <c r="OGE178" s="52"/>
      <c r="OGF178" s="52"/>
      <c r="OGG178" s="52"/>
      <c r="OGH178" s="52"/>
      <c r="OGI178" s="52"/>
      <c r="OGJ178" s="52"/>
      <c r="OGK178" s="52"/>
      <c r="OGL178" s="52"/>
      <c r="OGM178" s="52"/>
      <c r="OGN178" s="52"/>
      <c r="OGO178" s="52"/>
      <c r="OGP178" s="52"/>
      <c r="OGQ178" s="52"/>
      <c r="OGR178" s="52"/>
      <c r="OGS178" s="52"/>
      <c r="OGT178" s="52"/>
      <c r="OGU178" s="52"/>
      <c r="OGV178" s="52"/>
      <c r="OGW178" s="52"/>
      <c r="OGX178" s="52"/>
      <c r="OGY178" s="52"/>
      <c r="OGZ178" s="52"/>
      <c r="OHA178" s="52"/>
      <c r="OHB178" s="52"/>
      <c r="OHC178" s="52"/>
      <c r="OHD178" s="52"/>
      <c r="OHE178" s="52"/>
      <c r="OHF178" s="52"/>
      <c r="OHG178" s="52"/>
      <c r="OHH178" s="52"/>
      <c r="OHI178" s="52"/>
      <c r="OHJ178" s="52"/>
      <c r="OHK178" s="52"/>
      <c r="OHL178" s="52"/>
      <c r="OHM178" s="52"/>
      <c r="OHN178" s="52"/>
      <c r="OHO178" s="52"/>
      <c r="OHP178" s="52"/>
      <c r="OHQ178" s="52"/>
      <c r="OHR178" s="52"/>
      <c r="OHS178" s="52"/>
      <c r="OHT178" s="52"/>
      <c r="OHU178" s="52"/>
      <c r="OHV178" s="52"/>
      <c r="OHW178" s="52"/>
      <c r="OHX178" s="52"/>
      <c r="OHY178" s="52"/>
      <c r="OHZ178" s="52"/>
      <c r="OIA178" s="52"/>
      <c r="OIB178" s="52"/>
      <c r="OIC178" s="52"/>
      <c r="OID178" s="52"/>
      <c r="OIE178" s="52"/>
      <c r="OIF178" s="52"/>
      <c r="OIG178" s="52"/>
      <c r="OIH178" s="52"/>
      <c r="OII178" s="52"/>
      <c r="OIJ178" s="52"/>
      <c r="OIK178" s="52"/>
      <c r="OIL178" s="52"/>
      <c r="OIM178" s="52"/>
      <c r="OIN178" s="52"/>
      <c r="OIO178" s="52"/>
      <c r="OIP178" s="52"/>
      <c r="OIQ178" s="52"/>
      <c r="OIR178" s="52"/>
      <c r="OIS178" s="52"/>
      <c r="OIT178" s="52"/>
      <c r="OIU178" s="52"/>
      <c r="OIV178" s="52"/>
      <c r="OIW178" s="52"/>
      <c r="OIX178" s="52"/>
      <c r="OIY178" s="52"/>
      <c r="OIZ178" s="52"/>
      <c r="OJA178" s="52"/>
      <c r="OJB178" s="52"/>
      <c r="OJC178" s="52"/>
      <c r="OJD178" s="52"/>
      <c r="OJE178" s="52"/>
      <c r="OJF178" s="52"/>
      <c r="OJG178" s="52"/>
      <c r="OJH178" s="52"/>
      <c r="OJI178" s="52"/>
      <c r="OJJ178" s="52"/>
      <c r="OJK178" s="52"/>
      <c r="OJL178" s="52"/>
      <c r="OJM178" s="52"/>
      <c r="OJN178" s="52"/>
      <c r="OJO178" s="52"/>
      <c r="OJP178" s="52"/>
      <c r="OJQ178" s="52"/>
      <c r="OJR178" s="52"/>
      <c r="OJS178" s="52"/>
      <c r="OJT178" s="52"/>
      <c r="OJU178" s="52"/>
      <c r="OJV178" s="52"/>
      <c r="OJW178" s="52"/>
      <c r="OJX178" s="52"/>
      <c r="OJY178" s="52"/>
      <c r="OJZ178" s="52"/>
      <c r="OKA178" s="52"/>
      <c r="OKB178" s="52"/>
      <c r="OKC178" s="52"/>
      <c r="OKD178" s="52"/>
      <c r="OKE178" s="52"/>
      <c r="OKF178" s="52"/>
      <c r="OKG178" s="52"/>
      <c r="OKH178" s="52"/>
      <c r="OKI178" s="52"/>
      <c r="OKJ178" s="52"/>
      <c r="OKK178" s="52"/>
      <c r="OKL178" s="52"/>
      <c r="OKM178" s="52"/>
      <c r="OKN178" s="52"/>
      <c r="OKO178" s="52"/>
      <c r="OKP178" s="52"/>
      <c r="OKQ178" s="52"/>
      <c r="OKR178" s="52"/>
      <c r="OKS178" s="52"/>
      <c r="OKT178" s="52"/>
      <c r="OKU178" s="52"/>
      <c r="OKV178" s="52"/>
      <c r="OKW178" s="52"/>
      <c r="OKX178" s="52"/>
      <c r="OKY178" s="52"/>
      <c r="OKZ178" s="52"/>
      <c r="OLA178" s="52"/>
      <c r="OLB178" s="52"/>
      <c r="OLC178" s="52"/>
      <c r="OLD178" s="52"/>
      <c r="OLE178" s="52"/>
      <c r="OLF178" s="52"/>
      <c r="OLG178" s="52"/>
      <c r="OLH178" s="52"/>
      <c r="OLI178" s="52"/>
      <c r="OLJ178" s="52"/>
      <c r="OLK178" s="52"/>
      <c r="OLL178" s="52"/>
      <c r="OLM178" s="52"/>
      <c r="OLN178" s="52"/>
      <c r="OLO178" s="52"/>
      <c r="OLP178" s="52"/>
      <c r="OLQ178" s="52"/>
      <c r="OLR178" s="52"/>
      <c r="OLS178" s="52"/>
      <c r="OLT178" s="52"/>
      <c r="OLU178" s="52"/>
      <c r="OLV178" s="52"/>
      <c r="OLW178" s="52"/>
      <c r="OLX178" s="52"/>
      <c r="OLY178" s="52"/>
      <c r="OLZ178" s="52"/>
      <c r="OMA178" s="52"/>
      <c r="OMB178" s="52"/>
      <c r="OMC178" s="52"/>
      <c r="OMD178" s="52"/>
      <c r="OME178" s="52"/>
      <c r="OMF178" s="52"/>
      <c r="OMG178" s="52"/>
      <c r="OMH178" s="52"/>
      <c r="OMI178" s="52"/>
      <c r="OMJ178" s="52"/>
      <c r="OMK178" s="52"/>
      <c r="OML178" s="52"/>
      <c r="OMM178" s="52"/>
      <c r="OMN178" s="52"/>
      <c r="OMO178" s="52"/>
      <c r="OMP178" s="52"/>
      <c r="OMQ178" s="52"/>
      <c r="OMR178" s="52"/>
      <c r="OMS178" s="52"/>
      <c r="OMT178" s="52"/>
      <c r="OMU178" s="52"/>
      <c r="OMV178" s="52"/>
      <c r="OMW178" s="52"/>
      <c r="OMX178" s="52"/>
      <c r="OMY178" s="52"/>
      <c r="OMZ178" s="52"/>
      <c r="ONA178" s="52"/>
      <c r="ONB178" s="52"/>
      <c r="ONC178" s="52"/>
      <c r="OND178" s="52"/>
      <c r="ONE178" s="52"/>
      <c r="ONF178" s="52"/>
      <c r="ONG178" s="52"/>
      <c r="ONH178" s="52"/>
      <c r="ONI178" s="52"/>
      <c r="ONJ178" s="52"/>
      <c r="ONK178" s="52"/>
      <c r="ONL178" s="52"/>
      <c r="ONM178" s="52"/>
      <c r="ONN178" s="52"/>
      <c r="ONO178" s="52"/>
      <c r="ONP178" s="52"/>
      <c r="ONQ178" s="52"/>
      <c r="ONR178" s="52"/>
      <c r="ONS178" s="52"/>
      <c r="ONT178" s="52"/>
      <c r="ONU178" s="52"/>
      <c r="ONV178" s="52"/>
      <c r="ONW178" s="52"/>
      <c r="ONX178" s="52"/>
      <c r="ONY178" s="52"/>
      <c r="ONZ178" s="52"/>
      <c r="OOA178" s="52"/>
      <c r="OOB178" s="52"/>
      <c r="OOC178" s="52"/>
      <c r="OOD178" s="52"/>
      <c r="OOE178" s="52"/>
      <c r="OOF178" s="52"/>
      <c r="OOG178" s="52"/>
      <c r="OOH178" s="52"/>
      <c r="OOI178" s="52"/>
      <c r="OOJ178" s="52"/>
      <c r="OOK178" s="52"/>
      <c r="OOL178" s="52"/>
      <c r="OOM178" s="52"/>
      <c r="OON178" s="52"/>
      <c r="OOO178" s="52"/>
      <c r="OOP178" s="52"/>
      <c r="OOQ178" s="52"/>
      <c r="OOR178" s="52"/>
      <c r="OOS178" s="52"/>
      <c r="OOT178" s="52"/>
      <c r="OOU178" s="52"/>
      <c r="OOV178" s="52"/>
      <c r="OOW178" s="52"/>
      <c r="OOX178" s="52"/>
      <c r="OOY178" s="52"/>
      <c r="OOZ178" s="52"/>
      <c r="OPA178" s="52"/>
      <c r="OPB178" s="52"/>
      <c r="OPC178" s="52"/>
      <c r="OPD178" s="52"/>
      <c r="OPE178" s="52"/>
      <c r="OPF178" s="52"/>
      <c r="OPG178" s="52"/>
      <c r="OPH178" s="52"/>
      <c r="OPI178" s="52"/>
      <c r="OPJ178" s="52"/>
      <c r="OPK178" s="52"/>
      <c r="OPL178" s="52"/>
      <c r="OPM178" s="52"/>
      <c r="OPN178" s="52"/>
      <c r="OPO178" s="52"/>
      <c r="OPP178" s="52"/>
      <c r="OPQ178" s="52"/>
      <c r="OPR178" s="52"/>
      <c r="OPS178" s="52"/>
      <c r="OPT178" s="52"/>
      <c r="OPU178" s="52"/>
      <c r="OPV178" s="52"/>
      <c r="OPW178" s="52"/>
      <c r="OPX178" s="52"/>
      <c r="OPY178" s="52"/>
      <c r="OPZ178" s="52"/>
      <c r="OQA178" s="52"/>
      <c r="OQB178" s="52"/>
      <c r="OQC178" s="52"/>
      <c r="OQD178" s="52"/>
      <c r="OQE178" s="52"/>
      <c r="OQF178" s="52"/>
      <c r="OQG178" s="52"/>
      <c r="OQH178" s="52"/>
      <c r="OQI178" s="52"/>
      <c r="OQJ178" s="52"/>
      <c r="OQK178" s="52"/>
      <c r="OQL178" s="52"/>
      <c r="OQM178" s="52"/>
      <c r="OQN178" s="52"/>
      <c r="OQO178" s="52"/>
      <c r="OQP178" s="52"/>
      <c r="OQQ178" s="52"/>
      <c r="OQR178" s="52"/>
      <c r="OQS178" s="52"/>
      <c r="OQT178" s="52"/>
      <c r="OQU178" s="52"/>
      <c r="OQV178" s="52"/>
      <c r="OQW178" s="52"/>
      <c r="OQX178" s="52"/>
      <c r="OQY178" s="52"/>
      <c r="OQZ178" s="52"/>
      <c r="ORA178" s="52"/>
      <c r="ORB178" s="52"/>
      <c r="ORC178" s="52"/>
      <c r="ORD178" s="52"/>
      <c r="ORE178" s="52"/>
      <c r="ORF178" s="52"/>
      <c r="ORG178" s="52"/>
      <c r="ORH178" s="52"/>
      <c r="ORI178" s="52"/>
      <c r="ORJ178" s="52"/>
      <c r="ORK178" s="52"/>
      <c r="ORL178" s="52"/>
      <c r="ORM178" s="52"/>
      <c r="ORN178" s="52"/>
      <c r="ORO178" s="52"/>
      <c r="ORP178" s="52"/>
      <c r="ORQ178" s="52"/>
      <c r="ORR178" s="52"/>
      <c r="ORS178" s="52"/>
      <c r="ORT178" s="52"/>
      <c r="ORU178" s="52"/>
      <c r="ORV178" s="52"/>
      <c r="ORW178" s="52"/>
      <c r="ORX178" s="52"/>
      <c r="ORY178" s="52"/>
      <c r="ORZ178" s="52"/>
      <c r="OSA178" s="52"/>
      <c r="OSB178" s="52"/>
      <c r="OSC178" s="52"/>
      <c r="OSD178" s="52"/>
      <c r="OSE178" s="52"/>
      <c r="OSF178" s="52"/>
      <c r="OSG178" s="52"/>
      <c r="OSH178" s="52"/>
      <c r="OSI178" s="52"/>
      <c r="OSJ178" s="52"/>
      <c r="OSK178" s="52"/>
      <c r="OSL178" s="52"/>
      <c r="OSM178" s="52"/>
      <c r="OSN178" s="52"/>
      <c r="OSO178" s="52"/>
      <c r="OSP178" s="52"/>
      <c r="OSQ178" s="52"/>
      <c r="OSR178" s="52"/>
      <c r="OSS178" s="52"/>
      <c r="OST178" s="52"/>
      <c r="OSU178" s="52"/>
      <c r="OSV178" s="52"/>
      <c r="OSW178" s="52"/>
      <c r="OSX178" s="52"/>
      <c r="OSY178" s="52"/>
      <c r="OSZ178" s="52"/>
      <c r="OTA178" s="52"/>
      <c r="OTB178" s="52"/>
      <c r="OTC178" s="52"/>
      <c r="OTD178" s="52"/>
      <c r="OTE178" s="52"/>
      <c r="OTF178" s="52"/>
      <c r="OTG178" s="52"/>
      <c r="OTH178" s="52"/>
      <c r="OTI178" s="52"/>
      <c r="OTJ178" s="52"/>
      <c r="OTK178" s="52"/>
      <c r="OTL178" s="52"/>
      <c r="OTM178" s="52"/>
      <c r="OTN178" s="52"/>
      <c r="OTO178" s="52"/>
      <c r="OTP178" s="52"/>
      <c r="OTQ178" s="52"/>
      <c r="OTR178" s="52"/>
      <c r="OTS178" s="52"/>
      <c r="OTT178" s="52"/>
      <c r="OTU178" s="52"/>
      <c r="OTV178" s="52"/>
      <c r="OTW178" s="52"/>
      <c r="OTX178" s="52"/>
      <c r="OTY178" s="52"/>
      <c r="OTZ178" s="52"/>
      <c r="OUA178" s="52"/>
      <c r="OUB178" s="52"/>
      <c r="OUC178" s="52"/>
      <c r="OUD178" s="52"/>
      <c r="OUE178" s="52"/>
      <c r="OUF178" s="52"/>
      <c r="OUG178" s="52"/>
      <c r="OUH178" s="52"/>
      <c r="OUI178" s="52"/>
      <c r="OUJ178" s="52"/>
      <c r="OUK178" s="52"/>
      <c r="OUL178" s="52"/>
      <c r="OUM178" s="52"/>
      <c r="OUN178" s="52"/>
      <c r="OUO178" s="52"/>
      <c r="OUP178" s="52"/>
      <c r="OUQ178" s="52"/>
      <c r="OUR178" s="52"/>
      <c r="OUS178" s="52"/>
      <c r="OUT178" s="52"/>
      <c r="OUU178" s="52"/>
      <c r="OUV178" s="52"/>
      <c r="OUW178" s="52"/>
      <c r="OUX178" s="52"/>
      <c r="OUY178" s="52"/>
      <c r="OUZ178" s="52"/>
      <c r="OVA178" s="52"/>
      <c r="OVB178" s="52"/>
      <c r="OVC178" s="52"/>
      <c r="OVD178" s="52"/>
      <c r="OVE178" s="52"/>
      <c r="OVF178" s="52"/>
      <c r="OVG178" s="52"/>
      <c r="OVH178" s="52"/>
      <c r="OVI178" s="52"/>
      <c r="OVJ178" s="52"/>
      <c r="OVK178" s="52"/>
      <c r="OVL178" s="52"/>
      <c r="OVM178" s="52"/>
      <c r="OVN178" s="52"/>
      <c r="OVO178" s="52"/>
      <c r="OVP178" s="52"/>
      <c r="OVQ178" s="52"/>
      <c r="OVR178" s="52"/>
      <c r="OVS178" s="52"/>
      <c r="OVT178" s="52"/>
      <c r="OVU178" s="52"/>
      <c r="OVV178" s="52"/>
      <c r="OVW178" s="52"/>
      <c r="OVX178" s="52"/>
      <c r="OVY178" s="52"/>
      <c r="OVZ178" s="52"/>
      <c r="OWA178" s="52"/>
      <c r="OWB178" s="52"/>
      <c r="OWC178" s="52"/>
      <c r="OWD178" s="52"/>
      <c r="OWE178" s="52"/>
      <c r="OWF178" s="52"/>
      <c r="OWG178" s="52"/>
      <c r="OWH178" s="52"/>
      <c r="OWI178" s="52"/>
      <c r="OWJ178" s="52"/>
      <c r="OWK178" s="52"/>
      <c r="OWL178" s="52"/>
      <c r="OWM178" s="52"/>
      <c r="OWN178" s="52"/>
      <c r="OWO178" s="52"/>
      <c r="OWP178" s="52"/>
      <c r="OWQ178" s="52"/>
      <c r="OWR178" s="52"/>
      <c r="OWS178" s="52"/>
      <c r="OWT178" s="52"/>
      <c r="OWU178" s="52"/>
      <c r="OWV178" s="52"/>
      <c r="OWW178" s="52"/>
      <c r="OWX178" s="52"/>
      <c r="OWY178" s="52"/>
      <c r="OWZ178" s="52"/>
      <c r="OXA178" s="52"/>
      <c r="OXB178" s="52"/>
      <c r="OXC178" s="52"/>
      <c r="OXD178" s="52"/>
      <c r="OXE178" s="52"/>
      <c r="OXF178" s="52"/>
      <c r="OXG178" s="52"/>
      <c r="OXH178" s="52"/>
      <c r="OXI178" s="52"/>
      <c r="OXJ178" s="52"/>
      <c r="OXK178" s="52"/>
      <c r="OXL178" s="52"/>
      <c r="OXM178" s="52"/>
      <c r="OXN178" s="52"/>
      <c r="OXO178" s="52"/>
      <c r="OXP178" s="52"/>
      <c r="OXQ178" s="52"/>
      <c r="OXR178" s="52"/>
      <c r="OXS178" s="52"/>
      <c r="OXT178" s="52"/>
      <c r="OXU178" s="52"/>
      <c r="OXV178" s="52"/>
      <c r="OXW178" s="52"/>
      <c r="OXX178" s="52"/>
      <c r="OXY178" s="52"/>
      <c r="OXZ178" s="52"/>
      <c r="OYA178" s="52"/>
      <c r="OYB178" s="52"/>
      <c r="OYC178" s="52"/>
      <c r="OYD178" s="52"/>
      <c r="OYE178" s="52"/>
      <c r="OYF178" s="52"/>
      <c r="OYG178" s="52"/>
      <c r="OYH178" s="52"/>
      <c r="OYI178" s="52"/>
      <c r="OYJ178" s="52"/>
      <c r="OYK178" s="52"/>
      <c r="OYL178" s="52"/>
      <c r="OYM178" s="52"/>
      <c r="OYN178" s="52"/>
      <c r="OYO178" s="52"/>
      <c r="OYP178" s="52"/>
      <c r="OYQ178" s="52"/>
      <c r="OYR178" s="52"/>
      <c r="OYS178" s="52"/>
      <c r="OYT178" s="52"/>
      <c r="OYU178" s="52"/>
      <c r="OYV178" s="52"/>
      <c r="OYW178" s="52"/>
      <c r="OYX178" s="52"/>
      <c r="OYY178" s="52"/>
      <c r="OYZ178" s="52"/>
      <c r="OZA178" s="52"/>
      <c r="OZB178" s="52"/>
      <c r="OZC178" s="52"/>
      <c r="OZD178" s="52"/>
      <c r="OZE178" s="52"/>
      <c r="OZF178" s="52"/>
      <c r="OZG178" s="52"/>
      <c r="OZH178" s="52"/>
      <c r="OZI178" s="52"/>
      <c r="OZJ178" s="52"/>
      <c r="OZK178" s="52"/>
      <c r="OZL178" s="52"/>
      <c r="OZM178" s="52"/>
      <c r="OZN178" s="52"/>
      <c r="OZO178" s="52"/>
      <c r="OZP178" s="52"/>
      <c r="OZQ178" s="52"/>
      <c r="OZR178" s="52"/>
      <c r="OZS178" s="52"/>
      <c r="OZT178" s="52"/>
      <c r="OZU178" s="52"/>
      <c r="OZV178" s="52"/>
      <c r="OZW178" s="52"/>
      <c r="OZX178" s="52"/>
      <c r="OZY178" s="52"/>
      <c r="OZZ178" s="52"/>
      <c r="PAA178" s="52"/>
      <c r="PAB178" s="52"/>
      <c r="PAC178" s="52"/>
      <c r="PAD178" s="52"/>
      <c r="PAE178" s="52"/>
      <c r="PAF178" s="52"/>
      <c r="PAG178" s="52"/>
      <c r="PAH178" s="52"/>
      <c r="PAI178" s="52"/>
      <c r="PAJ178" s="52"/>
      <c r="PAK178" s="52"/>
      <c r="PAL178" s="52"/>
      <c r="PAM178" s="52"/>
      <c r="PAN178" s="52"/>
      <c r="PAO178" s="52"/>
      <c r="PAP178" s="52"/>
      <c r="PAQ178" s="52"/>
      <c r="PAR178" s="52"/>
      <c r="PAS178" s="52"/>
      <c r="PAT178" s="52"/>
      <c r="PAU178" s="52"/>
      <c r="PAV178" s="52"/>
      <c r="PAW178" s="52"/>
      <c r="PAX178" s="52"/>
      <c r="PAY178" s="52"/>
      <c r="PAZ178" s="52"/>
      <c r="PBA178" s="52"/>
      <c r="PBB178" s="52"/>
      <c r="PBC178" s="52"/>
      <c r="PBD178" s="52"/>
      <c r="PBE178" s="52"/>
      <c r="PBF178" s="52"/>
      <c r="PBG178" s="52"/>
      <c r="PBH178" s="52"/>
      <c r="PBI178" s="52"/>
      <c r="PBJ178" s="52"/>
      <c r="PBK178" s="52"/>
      <c r="PBL178" s="52"/>
      <c r="PBM178" s="52"/>
      <c r="PBN178" s="52"/>
      <c r="PBO178" s="52"/>
      <c r="PBP178" s="52"/>
      <c r="PBQ178" s="52"/>
      <c r="PBR178" s="52"/>
      <c r="PBS178" s="52"/>
      <c r="PBT178" s="52"/>
      <c r="PBU178" s="52"/>
      <c r="PBV178" s="52"/>
      <c r="PBW178" s="52"/>
      <c r="PBX178" s="52"/>
      <c r="PBY178" s="52"/>
      <c r="PBZ178" s="52"/>
      <c r="PCA178" s="52"/>
      <c r="PCB178" s="52"/>
      <c r="PCC178" s="52"/>
      <c r="PCD178" s="52"/>
      <c r="PCE178" s="52"/>
      <c r="PCF178" s="52"/>
      <c r="PCG178" s="52"/>
      <c r="PCH178" s="52"/>
      <c r="PCI178" s="52"/>
      <c r="PCJ178" s="52"/>
      <c r="PCK178" s="52"/>
      <c r="PCL178" s="52"/>
      <c r="PCM178" s="52"/>
      <c r="PCN178" s="52"/>
      <c r="PCO178" s="52"/>
      <c r="PCP178" s="52"/>
      <c r="PCQ178" s="52"/>
      <c r="PCR178" s="52"/>
      <c r="PCS178" s="52"/>
      <c r="PCT178" s="52"/>
      <c r="PCU178" s="52"/>
      <c r="PCV178" s="52"/>
      <c r="PCW178" s="52"/>
      <c r="PCX178" s="52"/>
      <c r="PCY178" s="52"/>
      <c r="PCZ178" s="52"/>
      <c r="PDA178" s="52"/>
      <c r="PDB178" s="52"/>
      <c r="PDC178" s="52"/>
      <c r="PDD178" s="52"/>
      <c r="PDE178" s="52"/>
      <c r="PDF178" s="52"/>
      <c r="PDG178" s="52"/>
      <c r="PDH178" s="52"/>
      <c r="PDI178" s="52"/>
      <c r="PDJ178" s="52"/>
      <c r="PDK178" s="52"/>
      <c r="PDL178" s="52"/>
      <c r="PDM178" s="52"/>
      <c r="PDN178" s="52"/>
      <c r="PDO178" s="52"/>
      <c r="PDP178" s="52"/>
      <c r="PDQ178" s="52"/>
      <c r="PDR178" s="52"/>
      <c r="PDS178" s="52"/>
      <c r="PDT178" s="52"/>
      <c r="PDU178" s="52"/>
      <c r="PDV178" s="52"/>
      <c r="PDW178" s="52"/>
      <c r="PDX178" s="52"/>
      <c r="PDY178" s="52"/>
      <c r="PDZ178" s="52"/>
      <c r="PEA178" s="52"/>
      <c r="PEB178" s="52"/>
      <c r="PEC178" s="52"/>
      <c r="PED178" s="52"/>
      <c r="PEE178" s="52"/>
      <c r="PEF178" s="52"/>
      <c r="PEG178" s="52"/>
      <c r="PEH178" s="52"/>
      <c r="PEI178" s="52"/>
      <c r="PEJ178" s="52"/>
      <c r="PEK178" s="52"/>
      <c r="PEL178" s="52"/>
      <c r="PEM178" s="52"/>
      <c r="PEN178" s="52"/>
      <c r="PEO178" s="52"/>
      <c r="PEP178" s="52"/>
      <c r="PEQ178" s="52"/>
      <c r="PER178" s="52"/>
      <c r="PES178" s="52"/>
      <c r="PET178" s="52"/>
      <c r="PEU178" s="52"/>
      <c r="PEV178" s="52"/>
      <c r="PEW178" s="52"/>
      <c r="PEX178" s="52"/>
      <c r="PEY178" s="52"/>
      <c r="PEZ178" s="52"/>
      <c r="PFA178" s="52"/>
      <c r="PFB178" s="52"/>
      <c r="PFC178" s="52"/>
      <c r="PFD178" s="52"/>
      <c r="PFE178" s="52"/>
      <c r="PFF178" s="52"/>
      <c r="PFG178" s="52"/>
      <c r="PFH178" s="52"/>
      <c r="PFI178" s="52"/>
      <c r="PFJ178" s="52"/>
      <c r="PFK178" s="52"/>
      <c r="PFL178" s="52"/>
      <c r="PFM178" s="52"/>
      <c r="PFN178" s="52"/>
      <c r="PFO178" s="52"/>
      <c r="PFP178" s="52"/>
      <c r="PFQ178" s="52"/>
      <c r="PFR178" s="52"/>
      <c r="PFS178" s="52"/>
      <c r="PFT178" s="52"/>
      <c r="PFU178" s="52"/>
      <c r="PFV178" s="52"/>
      <c r="PFW178" s="52"/>
      <c r="PFX178" s="52"/>
      <c r="PFY178" s="52"/>
      <c r="PFZ178" s="52"/>
      <c r="PGA178" s="52"/>
      <c r="PGB178" s="52"/>
      <c r="PGC178" s="52"/>
      <c r="PGD178" s="52"/>
      <c r="PGE178" s="52"/>
      <c r="PGF178" s="52"/>
      <c r="PGG178" s="52"/>
      <c r="PGH178" s="52"/>
      <c r="PGI178" s="52"/>
      <c r="PGJ178" s="52"/>
      <c r="PGK178" s="52"/>
      <c r="PGL178" s="52"/>
      <c r="PGM178" s="52"/>
      <c r="PGN178" s="52"/>
      <c r="PGO178" s="52"/>
      <c r="PGP178" s="52"/>
      <c r="PGQ178" s="52"/>
      <c r="PGR178" s="52"/>
      <c r="PGS178" s="52"/>
      <c r="PGT178" s="52"/>
      <c r="PGU178" s="52"/>
      <c r="PGV178" s="52"/>
      <c r="PGW178" s="52"/>
      <c r="PGX178" s="52"/>
      <c r="PGY178" s="52"/>
      <c r="PGZ178" s="52"/>
      <c r="PHA178" s="52"/>
      <c r="PHB178" s="52"/>
      <c r="PHC178" s="52"/>
      <c r="PHD178" s="52"/>
      <c r="PHE178" s="52"/>
      <c r="PHF178" s="52"/>
      <c r="PHG178" s="52"/>
      <c r="PHH178" s="52"/>
      <c r="PHI178" s="52"/>
      <c r="PHJ178" s="52"/>
      <c r="PHK178" s="52"/>
      <c r="PHL178" s="52"/>
      <c r="PHM178" s="52"/>
      <c r="PHN178" s="52"/>
      <c r="PHO178" s="52"/>
      <c r="PHP178" s="52"/>
      <c r="PHQ178" s="52"/>
      <c r="PHR178" s="52"/>
      <c r="PHS178" s="52"/>
      <c r="PHT178" s="52"/>
      <c r="PHU178" s="52"/>
      <c r="PHV178" s="52"/>
      <c r="PHW178" s="52"/>
      <c r="PHX178" s="52"/>
      <c r="PHY178" s="52"/>
      <c r="PHZ178" s="52"/>
      <c r="PIA178" s="52"/>
      <c r="PIB178" s="52"/>
      <c r="PIC178" s="52"/>
      <c r="PID178" s="52"/>
      <c r="PIE178" s="52"/>
      <c r="PIF178" s="52"/>
      <c r="PIG178" s="52"/>
      <c r="PIH178" s="52"/>
      <c r="PII178" s="52"/>
      <c r="PIJ178" s="52"/>
      <c r="PIK178" s="52"/>
      <c r="PIL178" s="52"/>
      <c r="PIM178" s="52"/>
      <c r="PIN178" s="52"/>
      <c r="PIO178" s="52"/>
      <c r="PIP178" s="52"/>
      <c r="PIQ178" s="52"/>
      <c r="PIR178" s="52"/>
      <c r="PIS178" s="52"/>
      <c r="PIT178" s="52"/>
      <c r="PIU178" s="52"/>
      <c r="PIV178" s="52"/>
      <c r="PIW178" s="52"/>
      <c r="PIX178" s="52"/>
      <c r="PIY178" s="52"/>
      <c r="PIZ178" s="52"/>
      <c r="PJA178" s="52"/>
      <c r="PJB178" s="52"/>
      <c r="PJC178" s="52"/>
      <c r="PJD178" s="52"/>
      <c r="PJE178" s="52"/>
      <c r="PJF178" s="52"/>
      <c r="PJG178" s="52"/>
      <c r="PJH178" s="52"/>
      <c r="PJI178" s="52"/>
      <c r="PJJ178" s="52"/>
      <c r="PJK178" s="52"/>
      <c r="PJL178" s="52"/>
      <c r="PJM178" s="52"/>
      <c r="PJN178" s="52"/>
      <c r="PJO178" s="52"/>
      <c r="PJP178" s="52"/>
      <c r="PJQ178" s="52"/>
      <c r="PJR178" s="52"/>
      <c r="PJS178" s="52"/>
      <c r="PJT178" s="52"/>
      <c r="PJU178" s="52"/>
      <c r="PJV178" s="52"/>
      <c r="PJW178" s="52"/>
      <c r="PJX178" s="52"/>
      <c r="PJY178" s="52"/>
      <c r="PJZ178" s="52"/>
      <c r="PKA178" s="52"/>
      <c r="PKB178" s="52"/>
      <c r="PKC178" s="52"/>
      <c r="PKD178" s="52"/>
      <c r="PKE178" s="52"/>
      <c r="PKF178" s="52"/>
      <c r="PKG178" s="52"/>
      <c r="PKH178" s="52"/>
      <c r="PKI178" s="52"/>
      <c r="PKJ178" s="52"/>
      <c r="PKK178" s="52"/>
      <c r="PKL178" s="52"/>
      <c r="PKM178" s="52"/>
      <c r="PKN178" s="52"/>
      <c r="PKO178" s="52"/>
      <c r="PKP178" s="52"/>
      <c r="PKQ178" s="52"/>
      <c r="PKR178" s="52"/>
      <c r="PKS178" s="52"/>
      <c r="PKT178" s="52"/>
      <c r="PKU178" s="52"/>
      <c r="PKV178" s="52"/>
      <c r="PKW178" s="52"/>
      <c r="PKX178" s="52"/>
      <c r="PKY178" s="52"/>
      <c r="PKZ178" s="52"/>
      <c r="PLA178" s="52"/>
      <c r="PLB178" s="52"/>
      <c r="PLC178" s="52"/>
      <c r="PLD178" s="52"/>
      <c r="PLE178" s="52"/>
      <c r="PLF178" s="52"/>
      <c r="PLG178" s="52"/>
      <c r="PLH178" s="52"/>
      <c r="PLI178" s="52"/>
      <c r="PLJ178" s="52"/>
      <c r="PLK178" s="52"/>
      <c r="PLL178" s="52"/>
      <c r="PLM178" s="52"/>
      <c r="PLN178" s="52"/>
      <c r="PLO178" s="52"/>
      <c r="PLP178" s="52"/>
      <c r="PLQ178" s="52"/>
      <c r="PLR178" s="52"/>
      <c r="PLS178" s="52"/>
      <c r="PLT178" s="52"/>
      <c r="PLU178" s="52"/>
      <c r="PLV178" s="52"/>
      <c r="PLW178" s="52"/>
      <c r="PLX178" s="52"/>
      <c r="PLY178" s="52"/>
      <c r="PLZ178" s="52"/>
      <c r="PMA178" s="52"/>
      <c r="PMB178" s="52"/>
      <c r="PMC178" s="52"/>
      <c r="PMD178" s="52"/>
      <c r="PME178" s="52"/>
      <c r="PMF178" s="52"/>
      <c r="PMG178" s="52"/>
      <c r="PMH178" s="52"/>
      <c r="PMI178" s="52"/>
      <c r="PMJ178" s="52"/>
      <c r="PMK178" s="52"/>
      <c r="PML178" s="52"/>
      <c r="PMM178" s="52"/>
      <c r="PMN178" s="52"/>
      <c r="PMO178" s="52"/>
      <c r="PMP178" s="52"/>
      <c r="PMQ178" s="52"/>
      <c r="PMR178" s="52"/>
      <c r="PMS178" s="52"/>
      <c r="PMT178" s="52"/>
      <c r="PMU178" s="52"/>
      <c r="PMV178" s="52"/>
      <c r="PMW178" s="52"/>
      <c r="PMX178" s="52"/>
      <c r="PMY178" s="52"/>
      <c r="PMZ178" s="52"/>
      <c r="PNA178" s="52"/>
      <c r="PNB178" s="52"/>
      <c r="PNC178" s="52"/>
      <c r="PND178" s="52"/>
      <c r="PNE178" s="52"/>
      <c r="PNF178" s="52"/>
      <c r="PNG178" s="52"/>
      <c r="PNH178" s="52"/>
      <c r="PNI178" s="52"/>
      <c r="PNJ178" s="52"/>
      <c r="PNK178" s="52"/>
      <c r="PNL178" s="52"/>
      <c r="PNM178" s="52"/>
      <c r="PNN178" s="52"/>
      <c r="PNO178" s="52"/>
      <c r="PNP178" s="52"/>
      <c r="PNQ178" s="52"/>
      <c r="PNR178" s="52"/>
      <c r="PNS178" s="52"/>
      <c r="PNT178" s="52"/>
      <c r="PNU178" s="52"/>
      <c r="PNV178" s="52"/>
      <c r="PNW178" s="52"/>
      <c r="PNX178" s="52"/>
      <c r="PNY178" s="52"/>
      <c r="PNZ178" s="52"/>
      <c r="POA178" s="52"/>
      <c r="POB178" s="52"/>
      <c r="POC178" s="52"/>
      <c r="POD178" s="52"/>
      <c r="POE178" s="52"/>
      <c r="POF178" s="52"/>
      <c r="POG178" s="52"/>
      <c r="POH178" s="52"/>
      <c r="POI178" s="52"/>
      <c r="POJ178" s="52"/>
      <c r="POK178" s="52"/>
      <c r="POL178" s="52"/>
      <c r="POM178" s="52"/>
      <c r="PON178" s="52"/>
      <c r="POO178" s="52"/>
      <c r="POP178" s="52"/>
      <c r="POQ178" s="52"/>
      <c r="POR178" s="52"/>
      <c r="POS178" s="52"/>
      <c r="POT178" s="52"/>
      <c r="POU178" s="52"/>
      <c r="POV178" s="52"/>
      <c r="POW178" s="52"/>
      <c r="POX178" s="52"/>
      <c r="POY178" s="52"/>
      <c r="POZ178" s="52"/>
      <c r="PPA178" s="52"/>
      <c r="PPB178" s="52"/>
      <c r="PPC178" s="52"/>
      <c r="PPD178" s="52"/>
      <c r="PPE178" s="52"/>
      <c r="PPF178" s="52"/>
      <c r="PPG178" s="52"/>
      <c r="PPH178" s="52"/>
      <c r="PPI178" s="52"/>
      <c r="PPJ178" s="52"/>
      <c r="PPK178" s="52"/>
      <c r="PPL178" s="52"/>
      <c r="PPM178" s="52"/>
      <c r="PPN178" s="52"/>
      <c r="PPO178" s="52"/>
      <c r="PPP178" s="52"/>
      <c r="PPQ178" s="52"/>
      <c r="PPR178" s="52"/>
      <c r="PPS178" s="52"/>
      <c r="PPT178" s="52"/>
      <c r="PPU178" s="52"/>
      <c r="PPV178" s="52"/>
      <c r="PPW178" s="52"/>
      <c r="PPX178" s="52"/>
      <c r="PPY178" s="52"/>
      <c r="PPZ178" s="52"/>
      <c r="PQA178" s="52"/>
      <c r="PQB178" s="52"/>
      <c r="PQC178" s="52"/>
      <c r="PQD178" s="52"/>
      <c r="PQE178" s="52"/>
      <c r="PQF178" s="52"/>
      <c r="PQG178" s="52"/>
      <c r="PQH178" s="52"/>
      <c r="PQI178" s="52"/>
      <c r="PQJ178" s="52"/>
      <c r="PQK178" s="52"/>
      <c r="PQL178" s="52"/>
      <c r="PQM178" s="52"/>
      <c r="PQN178" s="52"/>
      <c r="PQO178" s="52"/>
      <c r="PQP178" s="52"/>
      <c r="PQQ178" s="52"/>
      <c r="PQR178" s="52"/>
      <c r="PQS178" s="52"/>
      <c r="PQT178" s="52"/>
      <c r="PQU178" s="52"/>
      <c r="PQV178" s="52"/>
      <c r="PQW178" s="52"/>
      <c r="PQX178" s="52"/>
      <c r="PQY178" s="52"/>
      <c r="PQZ178" s="52"/>
      <c r="PRA178" s="52"/>
      <c r="PRB178" s="52"/>
      <c r="PRC178" s="52"/>
      <c r="PRD178" s="52"/>
      <c r="PRE178" s="52"/>
      <c r="PRF178" s="52"/>
      <c r="PRG178" s="52"/>
      <c r="PRH178" s="52"/>
      <c r="PRI178" s="52"/>
      <c r="PRJ178" s="52"/>
      <c r="PRK178" s="52"/>
      <c r="PRL178" s="52"/>
      <c r="PRM178" s="52"/>
      <c r="PRN178" s="52"/>
      <c r="PRO178" s="52"/>
      <c r="PRP178" s="52"/>
      <c r="PRQ178" s="52"/>
      <c r="PRR178" s="52"/>
      <c r="PRS178" s="52"/>
      <c r="PRT178" s="52"/>
      <c r="PRU178" s="52"/>
      <c r="PRV178" s="52"/>
      <c r="PRW178" s="52"/>
      <c r="PRX178" s="52"/>
      <c r="PRY178" s="52"/>
      <c r="PRZ178" s="52"/>
      <c r="PSA178" s="52"/>
      <c r="PSB178" s="52"/>
      <c r="PSC178" s="52"/>
      <c r="PSD178" s="52"/>
      <c r="PSE178" s="52"/>
      <c r="PSF178" s="52"/>
      <c r="PSG178" s="52"/>
      <c r="PSH178" s="52"/>
      <c r="PSI178" s="52"/>
      <c r="PSJ178" s="52"/>
      <c r="PSK178" s="52"/>
      <c r="PSL178" s="52"/>
      <c r="PSM178" s="52"/>
      <c r="PSN178" s="52"/>
      <c r="PSO178" s="52"/>
      <c r="PSP178" s="52"/>
      <c r="PSQ178" s="52"/>
      <c r="PSR178" s="52"/>
      <c r="PSS178" s="52"/>
      <c r="PST178" s="52"/>
      <c r="PSU178" s="52"/>
      <c r="PSV178" s="52"/>
      <c r="PSW178" s="52"/>
      <c r="PSX178" s="52"/>
      <c r="PSY178" s="52"/>
      <c r="PSZ178" s="52"/>
      <c r="PTA178" s="52"/>
      <c r="PTB178" s="52"/>
      <c r="PTC178" s="52"/>
      <c r="PTD178" s="52"/>
      <c r="PTE178" s="52"/>
      <c r="PTF178" s="52"/>
      <c r="PTG178" s="52"/>
      <c r="PTH178" s="52"/>
      <c r="PTI178" s="52"/>
      <c r="PTJ178" s="52"/>
      <c r="PTK178" s="52"/>
      <c r="PTL178" s="52"/>
      <c r="PTM178" s="52"/>
      <c r="PTN178" s="52"/>
      <c r="PTO178" s="52"/>
      <c r="PTP178" s="52"/>
      <c r="PTQ178" s="52"/>
      <c r="PTR178" s="52"/>
      <c r="PTS178" s="52"/>
      <c r="PTT178" s="52"/>
      <c r="PTU178" s="52"/>
      <c r="PTV178" s="52"/>
      <c r="PTW178" s="52"/>
      <c r="PTX178" s="52"/>
      <c r="PTY178" s="52"/>
      <c r="PTZ178" s="52"/>
      <c r="PUA178" s="52"/>
      <c r="PUB178" s="52"/>
      <c r="PUC178" s="52"/>
      <c r="PUD178" s="52"/>
      <c r="PUE178" s="52"/>
      <c r="PUF178" s="52"/>
      <c r="PUG178" s="52"/>
      <c r="PUH178" s="52"/>
      <c r="PUI178" s="52"/>
      <c r="PUJ178" s="52"/>
      <c r="PUK178" s="52"/>
      <c r="PUL178" s="52"/>
      <c r="PUM178" s="52"/>
      <c r="PUN178" s="52"/>
      <c r="PUO178" s="52"/>
      <c r="PUP178" s="52"/>
      <c r="PUQ178" s="52"/>
      <c r="PUR178" s="52"/>
      <c r="PUS178" s="52"/>
      <c r="PUT178" s="52"/>
      <c r="PUU178" s="52"/>
      <c r="PUV178" s="52"/>
      <c r="PUW178" s="52"/>
      <c r="PUX178" s="52"/>
      <c r="PUY178" s="52"/>
      <c r="PUZ178" s="52"/>
      <c r="PVA178" s="52"/>
      <c r="PVB178" s="52"/>
      <c r="PVC178" s="52"/>
      <c r="PVD178" s="52"/>
      <c r="PVE178" s="52"/>
      <c r="PVF178" s="52"/>
      <c r="PVG178" s="52"/>
      <c r="PVH178" s="52"/>
      <c r="PVI178" s="52"/>
      <c r="PVJ178" s="52"/>
      <c r="PVK178" s="52"/>
      <c r="PVL178" s="52"/>
      <c r="PVM178" s="52"/>
      <c r="PVN178" s="52"/>
      <c r="PVO178" s="52"/>
      <c r="PVP178" s="52"/>
      <c r="PVQ178" s="52"/>
      <c r="PVR178" s="52"/>
      <c r="PVS178" s="52"/>
      <c r="PVT178" s="52"/>
      <c r="PVU178" s="52"/>
      <c r="PVV178" s="52"/>
      <c r="PVW178" s="52"/>
      <c r="PVX178" s="52"/>
      <c r="PVY178" s="52"/>
      <c r="PVZ178" s="52"/>
      <c r="PWA178" s="52"/>
      <c r="PWB178" s="52"/>
      <c r="PWC178" s="52"/>
      <c r="PWD178" s="52"/>
      <c r="PWE178" s="52"/>
      <c r="PWF178" s="52"/>
      <c r="PWG178" s="52"/>
      <c r="PWH178" s="52"/>
      <c r="PWI178" s="52"/>
      <c r="PWJ178" s="52"/>
      <c r="PWK178" s="52"/>
      <c r="PWL178" s="52"/>
      <c r="PWM178" s="52"/>
      <c r="PWN178" s="52"/>
      <c r="PWO178" s="52"/>
      <c r="PWP178" s="52"/>
      <c r="PWQ178" s="52"/>
      <c r="PWR178" s="52"/>
      <c r="PWS178" s="52"/>
      <c r="PWT178" s="52"/>
      <c r="PWU178" s="52"/>
      <c r="PWV178" s="52"/>
      <c r="PWW178" s="52"/>
      <c r="PWX178" s="52"/>
      <c r="PWY178" s="52"/>
      <c r="PWZ178" s="52"/>
      <c r="PXA178" s="52"/>
      <c r="PXB178" s="52"/>
      <c r="PXC178" s="52"/>
      <c r="PXD178" s="52"/>
      <c r="PXE178" s="52"/>
      <c r="PXF178" s="52"/>
      <c r="PXG178" s="52"/>
      <c r="PXH178" s="52"/>
      <c r="PXI178" s="52"/>
      <c r="PXJ178" s="52"/>
      <c r="PXK178" s="52"/>
      <c r="PXL178" s="52"/>
      <c r="PXM178" s="52"/>
      <c r="PXN178" s="52"/>
      <c r="PXO178" s="52"/>
      <c r="PXP178" s="52"/>
      <c r="PXQ178" s="52"/>
      <c r="PXR178" s="52"/>
      <c r="PXS178" s="52"/>
      <c r="PXT178" s="52"/>
      <c r="PXU178" s="52"/>
      <c r="PXV178" s="52"/>
      <c r="PXW178" s="52"/>
      <c r="PXX178" s="52"/>
      <c r="PXY178" s="52"/>
      <c r="PXZ178" s="52"/>
      <c r="PYA178" s="52"/>
      <c r="PYB178" s="52"/>
      <c r="PYC178" s="52"/>
      <c r="PYD178" s="52"/>
      <c r="PYE178" s="52"/>
      <c r="PYF178" s="52"/>
      <c r="PYG178" s="52"/>
      <c r="PYH178" s="52"/>
      <c r="PYI178" s="52"/>
      <c r="PYJ178" s="52"/>
      <c r="PYK178" s="52"/>
      <c r="PYL178" s="52"/>
      <c r="PYM178" s="52"/>
      <c r="PYN178" s="52"/>
      <c r="PYO178" s="52"/>
      <c r="PYP178" s="52"/>
      <c r="PYQ178" s="52"/>
      <c r="PYR178" s="52"/>
      <c r="PYS178" s="52"/>
      <c r="PYT178" s="52"/>
      <c r="PYU178" s="52"/>
      <c r="PYV178" s="52"/>
      <c r="PYW178" s="52"/>
      <c r="PYX178" s="52"/>
      <c r="PYY178" s="52"/>
      <c r="PYZ178" s="52"/>
      <c r="PZA178" s="52"/>
      <c r="PZB178" s="52"/>
      <c r="PZC178" s="52"/>
      <c r="PZD178" s="52"/>
      <c r="PZE178" s="52"/>
      <c r="PZF178" s="52"/>
      <c r="PZG178" s="52"/>
      <c r="PZH178" s="52"/>
      <c r="PZI178" s="52"/>
      <c r="PZJ178" s="52"/>
      <c r="PZK178" s="52"/>
      <c r="PZL178" s="52"/>
      <c r="PZM178" s="52"/>
      <c r="PZN178" s="52"/>
      <c r="PZO178" s="52"/>
      <c r="PZP178" s="52"/>
      <c r="PZQ178" s="52"/>
      <c r="PZR178" s="52"/>
      <c r="PZS178" s="52"/>
      <c r="PZT178" s="52"/>
      <c r="PZU178" s="52"/>
      <c r="PZV178" s="52"/>
      <c r="PZW178" s="52"/>
      <c r="PZX178" s="52"/>
      <c r="PZY178" s="52"/>
      <c r="PZZ178" s="52"/>
      <c r="QAA178" s="52"/>
      <c r="QAB178" s="52"/>
      <c r="QAC178" s="52"/>
      <c r="QAD178" s="52"/>
      <c r="QAE178" s="52"/>
      <c r="QAF178" s="52"/>
      <c r="QAG178" s="52"/>
      <c r="QAH178" s="52"/>
      <c r="QAI178" s="52"/>
      <c r="QAJ178" s="52"/>
      <c r="QAK178" s="52"/>
      <c r="QAL178" s="52"/>
      <c r="QAM178" s="52"/>
      <c r="QAN178" s="52"/>
      <c r="QAO178" s="52"/>
      <c r="QAP178" s="52"/>
      <c r="QAQ178" s="52"/>
      <c r="QAR178" s="52"/>
      <c r="QAS178" s="52"/>
      <c r="QAT178" s="52"/>
      <c r="QAU178" s="52"/>
      <c r="QAV178" s="52"/>
      <c r="QAW178" s="52"/>
      <c r="QAX178" s="52"/>
      <c r="QAY178" s="52"/>
      <c r="QAZ178" s="52"/>
      <c r="QBA178" s="52"/>
      <c r="QBB178" s="52"/>
      <c r="QBC178" s="52"/>
      <c r="QBD178" s="52"/>
      <c r="QBE178" s="52"/>
      <c r="QBF178" s="52"/>
      <c r="QBG178" s="52"/>
      <c r="QBH178" s="52"/>
      <c r="QBI178" s="52"/>
      <c r="QBJ178" s="52"/>
      <c r="QBK178" s="52"/>
      <c r="QBL178" s="52"/>
      <c r="QBM178" s="52"/>
      <c r="QBN178" s="52"/>
      <c r="QBO178" s="52"/>
      <c r="QBP178" s="52"/>
      <c r="QBQ178" s="52"/>
      <c r="QBR178" s="52"/>
      <c r="QBS178" s="52"/>
      <c r="QBT178" s="52"/>
      <c r="QBU178" s="52"/>
      <c r="QBV178" s="52"/>
      <c r="QBW178" s="52"/>
      <c r="QBX178" s="52"/>
      <c r="QBY178" s="52"/>
      <c r="QBZ178" s="52"/>
      <c r="QCA178" s="52"/>
      <c r="QCB178" s="52"/>
      <c r="QCC178" s="52"/>
      <c r="QCD178" s="52"/>
      <c r="QCE178" s="52"/>
      <c r="QCF178" s="52"/>
      <c r="QCG178" s="52"/>
      <c r="QCH178" s="52"/>
      <c r="QCI178" s="52"/>
      <c r="QCJ178" s="52"/>
      <c r="QCK178" s="52"/>
      <c r="QCL178" s="52"/>
      <c r="QCM178" s="52"/>
      <c r="QCN178" s="52"/>
      <c r="QCO178" s="52"/>
      <c r="QCP178" s="52"/>
      <c r="QCQ178" s="52"/>
      <c r="QCR178" s="52"/>
      <c r="QCS178" s="52"/>
      <c r="QCT178" s="52"/>
      <c r="QCU178" s="52"/>
      <c r="QCV178" s="52"/>
      <c r="QCW178" s="52"/>
      <c r="QCX178" s="52"/>
      <c r="QCY178" s="52"/>
      <c r="QCZ178" s="52"/>
      <c r="QDA178" s="52"/>
      <c r="QDB178" s="52"/>
      <c r="QDC178" s="52"/>
      <c r="QDD178" s="52"/>
      <c r="QDE178" s="52"/>
      <c r="QDF178" s="52"/>
      <c r="QDG178" s="52"/>
      <c r="QDH178" s="52"/>
      <c r="QDI178" s="52"/>
      <c r="QDJ178" s="52"/>
      <c r="QDK178" s="52"/>
      <c r="QDL178" s="52"/>
      <c r="QDM178" s="52"/>
      <c r="QDN178" s="52"/>
      <c r="QDO178" s="52"/>
      <c r="QDP178" s="52"/>
      <c r="QDQ178" s="52"/>
      <c r="QDR178" s="52"/>
      <c r="QDS178" s="52"/>
      <c r="QDT178" s="52"/>
      <c r="QDU178" s="52"/>
      <c r="QDV178" s="52"/>
      <c r="QDW178" s="52"/>
      <c r="QDX178" s="52"/>
      <c r="QDY178" s="52"/>
      <c r="QDZ178" s="52"/>
      <c r="QEA178" s="52"/>
      <c r="QEB178" s="52"/>
      <c r="QEC178" s="52"/>
      <c r="QED178" s="52"/>
      <c r="QEE178" s="52"/>
      <c r="QEF178" s="52"/>
      <c r="QEG178" s="52"/>
      <c r="QEH178" s="52"/>
      <c r="QEI178" s="52"/>
      <c r="QEJ178" s="52"/>
      <c r="QEK178" s="52"/>
      <c r="QEL178" s="52"/>
      <c r="QEM178" s="52"/>
      <c r="QEN178" s="52"/>
      <c r="QEO178" s="52"/>
      <c r="QEP178" s="52"/>
      <c r="QEQ178" s="52"/>
      <c r="QER178" s="52"/>
      <c r="QES178" s="52"/>
      <c r="QET178" s="52"/>
      <c r="QEU178" s="52"/>
      <c r="QEV178" s="52"/>
      <c r="QEW178" s="52"/>
      <c r="QEX178" s="52"/>
      <c r="QEY178" s="52"/>
      <c r="QEZ178" s="52"/>
      <c r="QFA178" s="52"/>
      <c r="QFB178" s="52"/>
      <c r="QFC178" s="52"/>
      <c r="QFD178" s="52"/>
      <c r="QFE178" s="52"/>
      <c r="QFF178" s="52"/>
      <c r="QFG178" s="52"/>
      <c r="QFH178" s="52"/>
      <c r="QFI178" s="52"/>
      <c r="QFJ178" s="52"/>
      <c r="QFK178" s="52"/>
      <c r="QFL178" s="52"/>
      <c r="QFM178" s="52"/>
      <c r="QFN178" s="52"/>
      <c r="QFO178" s="52"/>
      <c r="QFP178" s="52"/>
      <c r="QFQ178" s="52"/>
      <c r="QFR178" s="52"/>
      <c r="QFS178" s="52"/>
      <c r="QFT178" s="52"/>
      <c r="QFU178" s="52"/>
      <c r="QFV178" s="52"/>
      <c r="QFW178" s="52"/>
      <c r="QFX178" s="52"/>
      <c r="QFY178" s="52"/>
      <c r="QFZ178" s="52"/>
      <c r="QGA178" s="52"/>
      <c r="QGB178" s="52"/>
      <c r="QGC178" s="52"/>
      <c r="QGD178" s="52"/>
      <c r="QGE178" s="52"/>
      <c r="QGF178" s="52"/>
      <c r="QGG178" s="52"/>
      <c r="QGH178" s="52"/>
      <c r="QGI178" s="52"/>
      <c r="QGJ178" s="52"/>
      <c r="QGK178" s="52"/>
      <c r="QGL178" s="52"/>
      <c r="QGM178" s="52"/>
      <c r="QGN178" s="52"/>
      <c r="QGO178" s="52"/>
      <c r="QGP178" s="52"/>
      <c r="QGQ178" s="52"/>
      <c r="QGR178" s="52"/>
      <c r="QGS178" s="52"/>
      <c r="QGT178" s="52"/>
      <c r="QGU178" s="52"/>
      <c r="QGV178" s="52"/>
      <c r="QGW178" s="52"/>
      <c r="QGX178" s="52"/>
      <c r="QGY178" s="52"/>
      <c r="QGZ178" s="52"/>
      <c r="QHA178" s="52"/>
      <c r="QHB178" s="52"/>
      <c r="QHC178" s="52"/>
      <c r="QHD178" s="52"/>
      <c r="QHE178" s="52"/>
      <c r="QHF178" s="52"/>
      <c r="QHG178" s="52"/>
      <c r="QHH178" s="52"/>
      <c r="QHI178" s="52"/>
      <c r="QHJ178" s="52"/>
      <c r="QHK178" s="52"/>
      <c r="QHL178" s="52"/>
      <c r="QHM178" s="52"/>
      <c r="QHN178" s="52"/>
      <c r="QHO178" s="52"/>
      <c r="QHP178" s="52"/>
      <c r="QHQ178" s="52"/>
      <c r="QHR178" s="52"/>
      <c r="QHS178" s="52"/>
      <c r="QHT178" s="52"/>
      <c r="QHU178" s="52"/>
      <c r="QHV178" s="52"/>
      <c r="QHW178" s="52"/>
      <c r="QHX178" s="52"/>
      <c r="QHY178" s="52"/>
      <c r="QHZ178" s="52"/>
      <c r="QIA178" s="52"/>
      <c r="QIB178" s="52"/>
      <c r="QIC178" s="52"/>
      <c r="QID178" s="52"/>
      <c r="QIE178" s="52"/>
      <c r="QIF178" s="52"/>
      <c r="QIG178" s="52"/>
      <c r="QIH178" s="52"/>
      <c r="QII178" s="52"/>
      <c r="QIJ178" s="52"/>
      <c r="QIK178" s="52"/>
      <c r="QIL178" s="52"/>
      <c r="QIM178" s="52"/>
      <c r="QIN178" s="52"/>
      <c r="QIO178" s="52"/>
      <c r="QIP178" s="52"/>
      <c r="QIQ178" s="52"/>
      <c r="QIR178" s="52"/>
      <c r="QIS178" s="52"/>
      <c r="QIT178" s="52"/>
      <c r="QIU178" s="52"/>
      <c r="QIV178" s="52"/>
      <c r="QIW178" s="52"/>
      <c r="QIX178" s="52"/>
      <c r="QIY178" s="52"/>
      <c r="QIZ178" s="52"/>
      <c r="QJA178" s="52"/>
      <c r="QJB178" s="52"/>
      <c r="QJC178" s="52"/>
      <c r="QJD178" s="52"/>
      <c r="QJE178" s="52"/>
      <c r="QJF178" s="52"/>
      <c r="QJG178" s="52"/>
      <c r="QJH178" s="52"/>
      <c r="QJI178" s="52"/>
      <c r="QJJ178" s="52"/>
      <c r="QJK178" s="52"/>
      <c r="QJL178" s="52"/>
      <c r="QJM178" s="52"/>
      <c r="QJN178" s="52"/>
      <c r="QJO178" s="52"/>
      <c r="QJP178" s="52"/>
      <c r="QJQ178" s="52"/>
      <c r="QJR178" s="52"/>
      <c r="QJS178" s="52"/>
      <c r="QJT178" s="52"/>
      <c r="QJU178" s="52"/>
      <c r="QJV178" s="52"/>
      <c r="QJW178" s="52"/>
      <c r="QJX178" s="52"/>
      <c r="QJY178" s="52"/>
      <c r="QJZ178" s="52"/>
      <c r="QKA178" s="52"/>
      <c r="QKB178" s="52"/>
      <c r="QKC178" s="52"/>
      <c r="QKD178" s="52"/>
      <c r="QKE178" s="52"/>
      <c r="QKF178" s="52"/>
      <c r="QKG178" s="52"/>
      <c r="QKH178" s="52"/>
      <c r="QKI178" s="52"/>
      <c r="QKJ178" s="52"/>
      <c r="QKK178" s="52"/>
      <c r="QKL178" s="52"/>
      <c r="QKM178" s="52"/>
      <c r="QKN178" s="52"/>
      <c r="QKO178" s="52"/>
      <c r="QKP178" s="52"/>
      <c r="QKQ178" s="52"/>
      <c r="QKR178" s="52"/>
      <c r="QKS178" s="52"/>
      <c r="QKT178" s="52"/>
      <c r="QKU178" s="52"/>
      <c r="QKV178" s="52"/>
      <c r="QKW178" s="52"/>
      <c r="QKX178" s="52"/>
      <c r="QKY178" s="52"/>
      <c r="QKZ178" s="52"/>
      <c r="QLA178" s="52"/>
      <c r="QLB178" s="52"/>
      <c r="QLC178" s="52"/>
      <c r="QLD178" s="52"/>
      <c r="QLE178" s="52"/>
      <c r="QLF178" s="52"/>
      <c r="QLG178" s="52"/>
      <c r="QLH178" s="52"/>
      <c r="QLI178" s="52"/>
      <c r="QLJ178" s="52"/>
      <c r="QLK178" s="52"/>
      <c r="QLL178" s="52"/>
      <c r="QLM178" s="52"/>
      <c r="QLN178" s="52"/>
      <c r="QLO178" s="52"/>
      <c r="QLP178" s="52"/>
      <c r="QLQ178" s="52"/>
      <c r="QLR178" s="52"/>
      <c r="QLS178" s="52"/>
      <c r="QLT178" s="52"/>
      <c r="QLU178" s="52"/>
      <c r="QLV178" s="52"/>
      <c r="QLW178" s="52"/>
      <c r="QLX178" s="52"/>
      <c r="QLY178" s="52"/>
      <c r="QLZ178" s="52"/>
      <c r="QMA178" s="52"/>
      <c r="QMB178" s="52"/>
      <c r="QMC178" s="52"/>
      <c r="QMD178" s="52"/>
      <c r="QME178" s="52"/>
      <c r="QMF178" s="52"/>
      <c r="QMG178" s="52"/>
      <c r="QMH178" s="52"/>
      <c r="QMI178" s="52"/>
      <c r="QMJ178" s="52"/>
      <c r="QMK178" s="52"/>
      <c r="QML178" s="52"/>
      <c r="QMM178" s="52"/>
      <c r="QMN178" s="52"/>
      <c r="QMO178" s="52"/>
      <c r="QMP178" s="52"/>
      <c r="QMQ178" s="52"/>
      <c r="QMR178" s="52"/>
      <c r="QMS178" s="52"/>
      <c r="QMT178" s="52"/>
      <c r="QMU178" s="52"/>
      <c r="QMV178" s="52"/>
      <c r="QMW178" s="52"/>
      <c r="QMX178" s="52"/>
      <c r="QMY178" s="52"/>
      <c r="QMZ178" s="52"/>
      <c r="QNA178" s="52"/>
      <c r="QNB178" s="52"/>
      <c r="QNC178" s="52"/>
      <c r="QND178" s="52"/>
      <c r="QNE178" s="52"/>
      <c r="QNF178" s="52"/>
      <c r="QNG178" s="52"/>
      <c r="QNH178" s="52"/>
      <c r="QNI178" s="52"/>
      <c r="QNJ178" s="52"/>
      <c r="QNK178" s="52"/>
      <c r="QNL178" s="52"/>
      <c r="QNM178" s="52"/>
      <c r="QNN178" s="52"/>
      <c r="QNO178" s="52"/>
      <c r="QNP178" s="52"/>
      <c r="QNQ178" s="52"/>
      <c r="QNR178" s="52"/>
      <c r="QNS178" s="52"/>
      <c r="QNT178" s="52"/>
      <c r="QNU178" s="52"/>
      <c r="QNV178" s="52"/>
      <c r="QNW178" s="52"/>
      <c r="QNX178" s="52"/>
      <c r="QNY178" s="52"/>
      <c r="QNZ178" s="52"/>
      <c r="QOA178" s="52"/>
      <c r="QOB178" s="52"/>
      <c r="QOC178" s="52"/>
      <c r="QOD178" s="52"/>
      <c r="QOE178" s="52"/>
      <c r="QOF178" s="52"/>
      <c r="QOG178" s="52"/>
      <c r="QOH178" s="52"/>
      <c r="QOI178" s="52"/>
      <c r="QOJ178" s="52"/>
      <c r="QOK178" s="52"/>
      <c r="QOL178" s="52"/>
      <c r="QOM178" s="52"/>
      <c r="QON178" s="52"/>
      <c r="QOO178" s="52"/>
      <c r="QOP178" s="52"/>
      <c r="QOQ178" s="52"/>
      <c r="QOR178" s="52"/>
      <c r="QOS178" s="52"/>
      <c r="QOT178" s="52"/>
      <c r="QOU178" s="52"/>
      <c r="QOV178" s="52"/>
      <c r="QOW178" s="52"/>
      <c r="QOX178" s="52"/>
      <c r="QOY178" s="52"/>
      <c r="QOZ178" s="52"/>
      <c r="QPA178" s="52"/>
      <c r="QPB178" s="52"/>
      <c r="QPC178" s="52"/>
      <c r="QPD178" s="52"/>
      <c r="QPE178" s="52"/>
      <c r="QPF178" s="52"/>
      <c r="QPG178" s="52"/>
      <c r="QPH178" s="52"/>
      <c r="QPI178" s="52"/>
      <c r="QPJ178" s="52"/>
      <c r="QPK178" s="52"/>
      <c r="QPL178" s="52"/>
      <c r="QPM178" s="52"/>
      <c r="QPN178" s="52"/>
      <c r="QPO178" s="52"/>
      <c r="QPP178" s="52"/>
      <c r="QPQ178" s="52"/>
      <c r="QPR178" s="52"/>
      <c r="QPS178" s="52"/>
      <c r="QPT178" s="52"/>
      <c r="QPU178" s="52"/>
      <c r="QPV178" s="52"/>
      <c r="QPW178" s="52"/>
      <c r="QPX178" s="52"/>
      <c r="QPY178" s="52"/>
      <c r="QPZ178" s="52"/>
      <c r="QQA178" s="52"/>
      <c r="QQB178" s="52"/>
      <c r="QQC178" s="52"/>
      <c r="QQD178" s="52"/>
      <c r="QQE178" s="52"/>
      <c r="QQF178" s="52"/>
      <c r="QQG178" s="52"/>
      <c r="QQH178" s="52"/>
      <c r="QQI178" s="52"/>
      <c r="QQJ178" s="52"/>
      <c r="QQK178" s="52"/>
      <c r="QQL178" s="52"/>
      <c r="QQM178" s="52"/>
      <c r="QQN178" s="52"/>
      <c r="QQO178" s="52"/>
      <c r="QQP178" s="52"/>
      <c r="QQQ178" s="52"/>
      <c r="QQR178" s="52"/>
      <c r="QQS178" s="52"/>
      <c r="QQT178" s="52"/>
      <c r="QQU178" s="52"/>
      <c r="QQV178" s="52"/>
      <c r="QQW178" s="52"/>
      <c r="QQX178" s="52"/>
      <c r="QQY178" s="52"/>
      <c r="QQZ178" s="52"/>
      <c r="QRA178" s="52"/>
      <c r="QRB178" s="52"/>
      <c r="QRC178" s="52"/>
      <c r="QRD178" s="52"/>
      <c r="QRE178" s="52"/>
      <c r="QRF178" s="52"/>
      <c r="QRG178" s="52"/>
      <c r="QRH178" s="52"/>
      <c r="QRI178" s="52"/>
      <c r="QRJ178" s="52"/>
      <c r="QRK178" s="52"/>
      <c r="QRL178" s="52"/>
      <c r="QRM178" s="52"/>
      <c r="QRN178" s="52"/>
      <c r="QRO178" s="52"/>
      <c r="QRP178" s="52"/>
      <c r="QRQ178" s="52"/>
      <c r="QRR178" s="52"/>
      <c r="QRS178" s="52"/>
      <c r="QRT178" s="52"/>
      <c r="QRU178" s="52"/>
      <c r="QRV178" s="52"/>
      <c r="QRW178" s="52"/>
      <c r="QRX178" s="52"/>
      <c r="QRY178" s="52"/>
      <c r="QRZ178" s="52"/>
      <c r="QSA178" s="52"/>
      <c r="QSB178" s="52"/>
      <c r="QSC178" s="52"/>
      <c r="QSD178" s="52"/>
      <c r="QSE178" s="52"/>
      <c r="QSF178" s="52"/>
      <c r="QSG178" s="52"/>
      <c r="QSH178" s="52"/>
      <c r="QSI178" s="52"/>
      <c r="QSJ178" s="52"/>
      <c r="QSK178" s="52"/>
      <c r="QSL178" s="52"/>
      <c r="QSM178" s="52"/>
      <c r="QSN178" s="52"/>
      <c r="QSO178" s="52"/>
      <c r="QSP178" s="52"/>
      <c r="QSQ178" s="52"/>
      <c r="QSR178" s="52"/>
      <c r="QSS178" s="52"/>
      <c r="QST178" s="52"/>
      <c r="QSU178" s="52"/>
      <c r="QSV178" s="52"/>
      <c r="QSW178" s="52"/>
      <c r="QSX178" s="52"/>
      <c r="QSY178" s="52"/>
      <c r="QSZ178" s="52"/>
      <c r="QTA178" s="52"/>
      <c r="QTB178" s="52"/>
      <c r="QTC178" s="52"/>
      <c r="QTD178" s="52"/>
      <c r="QTE178" s="52"/>
      <c r="QTF178" s="52"/>
      <c r="QTG178" s="52"/>
      <c r="QTH178" s="52"/>
      <c r="QTI178" s="52"/>
      <c r="QTJ178" s="52"/>
      <c r="QTK178" s="52"/>
      <c r="QTL178" s="52"/>
      <c r="QTM178" s="52"/>
      <c r="QTN178" s="52"/>
      <c r="QTO178" s="52"/>
      <c r="QTP178" s="52"/>
      <c r="QTQ178" s="52"/>
      <c r="QTR178" s="52"/>
      <c r="QTS178" s="52"/>
      <c r="QTT178" s="52"/>
      <c r="QTU178" s="52"/>
      <c r="QTV178" s="52"/>
      <c r="QTW178" s="52"/>
      <c r="QTX178" s="52"/>
      <c r="QTY178" s="52"/>
      <c r="QTZ178" s="52"/>
      <c r="QUA178" s="52"/>
      <c r="QUB178" s="52"/>
      <c r="QUC178" s="52"/>
      <c r="QUD178" s="52"/>
      <c r="QUE178" s="52"/>
      <c r="QUF178" s="52"/>
      <c r="QUG178" s="52"/>
      <c r="QUH178" s="52"/>
      <c r="QUI178" s="52"/>
      <c r="QUJ178" s="52"/>
      <c r="QUK178" s="52"/>
      <c r="QUL178" s="52"/>
      <c r="QUM178" s="52"/>
      <c r="QUN178" s="52"/>
      <c r="QUO178" s="52"/>
      <c r="QUP178" s="52"/>
      <c r="QUQ178" s="52"/>
      <c r="QUR178" s="52"/>
      <c r="QUS178" s="52"/>
      <c r="QUT178" s="52"/>
      <c r="QUU178" s="52"/>
      <c r="QUV178" s="52"/>
      <c r="QUW178" s="52"/>
      <c r="QUX178" s="52"/>
      <c r="QUY178" s="52"/>
      <c r="QUZ178" s="52"/>
      <c r="QVA178" s="52"/>
      <c r="QVB178" s="52"/>
      <c r="QVC178" s="52"/>
      <c r="QVD178" s="52"/>
      <c r="QVE178" s="52"/>
      <c r="QVF178" s="52"/>
      <c r="QVG178" s="52"/>
      <c r="QVH178" s="52"/>
      <c r="QVI178" s="52"/>
      <c r="QVJ178" s="52"/>
      <c r="QVK178" s="52"/>
      <c r="QVL178" s="52"/>
      <c r="QVM178" s="52"/>
      <c r="QVN178" s="52"/>
      <c r="QVO178" s="52"/>
      <c r="QVP178" s="52"/>
      <c r="QVQ178" s="52"/>
      <c r="QVR178" s="52"/>
      <c r="QVS178" s="52"/>
      <c r="QVT178" s="52"/>
      <c r="QVU178" s="52"/>
      <c r="QVV178" s="52"/>
      <c r="QVW178" s="52"/>
      <c r="QVX178" s="52"/>
      <c r="QVY178" s="52"/>
      <c r="QVZ178" s="52"/>
      <c r="QWA178" s="52"/>
      <c r="QWB178" s="52"/>
      <c r="QWC178" s="52"/>
      <c r="QWD178" s="52"/>
      <c r="QWE178" s="52"/>
      <c r="QWF178" s="52"/>
      <c r="QWG178" s="52"/>
      <c r="QWH178" s="52"/>
      <c r="QWI178" s="52"/>
      <c r="QWJ178" s="52"/>
      <c r="QWK178" s="52"/>
      <c r="QWL178" s="52"/>
      <c r="QWM178" s="52"/>
      <c r="QWN178" s="52"/>
      <c r="QWO178" s="52"/>
      <c r="QWP178" s="52"/>
      <c r="QWQ178" s="52"/>
      <c r="QWR178" s="52"/>
      <c r="QWS178" s="52"/>
      <c r="QWT178" s="52"/>
      <c r="QWU178" s="52"/>
      <c r="QWV178" s="52"/>
      <c r="QWW178" s="52"/>
      <c r="QWX178" s="52"/>
      <c r="QWY178" s="52"/>
      <c r="QWZ178" s="52"/>
      <c r="QXA178" s="52"/>
      <c r="QXB178" s="52"/>
      <c r="QXC178" s="52"/>
      <c r="QXD178" s="52"/>
      <c r="QXE178" s="52"/>
      <c r="QXF178" s="52"/>
      <c r="QXG178" s="52"/>
      <c r="QXH178" s="52"/>
      <c r="QXI178" s="52"/>
      <c r="QXJ178" s="52"/>
      <c r="QXK178" s="52"/>
      <c r="QXL178" s="52"/>
      <c r="QXM178" s="52"/>
      <c r="QXN178" s="52"/>
      <c r="QXO178" s="52"/>
      <c r="QXP178" s="52"/>
      <c r="QXQ178" s="52"/>
      <c r="QXR178" s="52"/>
      <c r="QXS178" s="52"/>
      <c r="QXT178" s="52"/>
      <c r="QXU178" s="52"/>
      <c r="QXV178" s="52"/>
      <c r="QXW178" s="52"/>
      <c r="QXX178" s="52"/>
      <c r="QXY178" s="52"/>
      <c r="QXZ178" s="52"/>
      <c r="QYA178" s="52"/>
      <c r="QYB178" s="52"/>
      <c r="QYC178" s="52"/>
      <c r="QYD178" s="52"/>
      <c r="QYE178" s="52"/>
      <c r="QYF178" s="52"/>
      <c r="QYG178" s="52"/>
      <c r="QYH178" s="52"/>
      <c r="QYI178" s="52"/>
      <c r="QYJ178" s="52"/>
      <c r="QYK178" s="52"/>
      <c r="QYL178" s="52"/>
      <c r="QYM178" s="52"/>
      <c r="QYN178" s="52"/>
      <c r="QYO178" s="52"/>
      <c r="QYP178" s="52"/>
      <c r="QYQ178" s="52"/>
      <c r="QYR178" s="52"/>
      <c r="QYS178" s="52"/>
      <c r="QYT178" s="52"/>
      <c r="QYU178" s="52"/>
      <c r="QYV178" s="52"/>
      <c r="QYW178" s="52"/>
      <c r="QYX178" s="52"/>
      <c r="QYY178" s="52"/>
      <c r="QYZ178" s="52"/>
      <c r="QZA178" s="52"/>
      <c r="QZB178" s="52"/>
      <c r="QZC178" s="52"/>
      <c r="QZD178" s="52"/>
      <c r="QZE178" s="52"/>
      <c r="QZF178" s="52"/>
      <c r="QZG178" s="52"/>
      <c r="QZH178" s="52"/>
      <c r="QZI178" s="52"/>
      <c r="QZJ178" s="52"/>
      <c r="QZK178" s="52"/>
      <c r="QZL178" s="52"/>
      <c r="QZM178" s="52"/>
      <c r="QZN178" s="52"/>
      <c r="QZO178" s="52"/>
      <c r="QZP178" s="52"/>
      <c r="QZQ178" s="52"/>
      <c r="QZR178" s="52"/>
      <c r="QZS178" s="52"/>
      <c r="QZT178" s="52"/>
      <c r="QZU178" s="52"/>
      <c r="QZV178" s="52"/>
      <c r="QZW178" s="52"/>
      <c r="QZX178" s="52"/>
      <c r="QZY178" s="52"/>
      <c r="QZZ178" s="52"/>
      <c r="RAA178" s="52"/>
      <c r="RAB178" s="52"/>
      <c r="RAC178" s="52"/>
      <c r="RAD178" s="52"/>
      <c r="RAE178" s="52"/>
      <c r="RAF178" s="52"/>
      <c r="RAG178" s="52"/>
      <c r="RAH178" s="52"/>
      <c r="RAI178" s="52"/>
      <c r="RAJ178" s="52"/>
      <c r="RAK178" s="52"/>
      <c r="RAL178" s="52"/>
      <c r="RAM178" s="52"/>
      <c r="RAN178" s="52"/>
      <c r="RAO178" s="52"/>
      <c r="RAP178" s="52"/>
      <c r="RAQ178" s="52"/>
      <c r="RAR178" s="52"/>
      <c r="RAS178" s="52"/>
      <c r="RAT178" s="52"/>
      <c r="RAU178" s="52"/>
      <c r="RAV178" s="52"/>
      <c r="RAW178" s="52"/>
      <c r="RAX178" s="52"/>
      <c r="RAY178" s="52"/>
      <c r="RAZ178" s="52"/>
      <c r="RBA178" s="52"/>
      <c r="RBB178" s="52"/>
      <c r="RBC178" s="52"/>
      <c r="RBD178" s="52"/>
      <c r="RBE178" s="52"/>
      <c r="RBF178" s="52"/>
      <c r="RBG178" s="52"/>
      <c r="RBH178" s="52"/>
      <c r="RBI178" s="52"/>
      <c r="RBJ178" s="52"/>
      <c r="RBK178" s="52"/>
      <c r="RBL178" s="52"/>
      <c r="RBM178" s="52"/>
      <c r="RBN178" s="52"/>
      <c r="RBO178" s="52"/>
      <c r="RBP178" s="52"/>
      <c r="RBQ178" s="52"/>
      <c r="RBR178" s="52"/>
      <c r="RBS178" s="52"/>
      <c r="RBT178" s="52"/>
      <c r="RBU178" s="52"/>
      <c r="RBV178" s="52"/>
      <c r="RBW178" s="52"/>
      <c r="RBX178" s="52"/>
      <c r="RBY178" s="52"/>
      <c r="RBZ178" s="52"/>
      <c r="RCA178" s="52"/>
      <c r="RCB178" s="52"/>
      <c r="RCC178" s="52"/>
      <c r="RCD178" s="52"/>
      <c r="RCE178" s="52"/>
      <c r="RCF178" s="52"/>
      <c r="RCG178" s="52"/>
      <c r="RCH178" s="52"/>
      <c r="RCI178" s="52"/>
      <c r="RCJ178" s="52"/>
      <c r="RCK178" s="52"/>
      <c r="RCL178" s="52"/>
      <c r="RCM178" s="52"/>
      <c r="RCN178" s="52"/>
      <c r="RCO178" s="52"/>
      <c r="RCP178" s="52"/>
      <c r="RCQ178" s="52"/>
      <c r="RCR178" s="52"/>
      <c r="RCS178" s="52"/>
      <c r="RCT178" s="52"/>
      <c r="RCU178" s="52"/>
      <c r="RCV178" s="52"/>
      <c r="RCW178" s="52"/>
      <c r="RCX178" s="52"/>
      <c r="RCY178" s="52"/>
      <c r="RCZ178" s="52"/>
      <c r="RDA178" s="52"/>
      <c r="RDB178" s="52"/>
      <c r="RDC178" s="52"/>
      <c r="RDD178" s="52"/>
      <c r="RDE178" s="52"/>
      <c r="RDF178" s="52"/>
      <c r="RDG178" s="52"/>
      <c r="RDH178" s="52"/>
      <c r="RDI178" s="52"/>
      <c r="RDJ178" s="52"/>
      <c r="RDK178" s="52"/>
      <c r="RDL178" s="52"/>
      <c r="RDM178" s="52"/>
      <c r="RDN178" s="52"/>
      <c r="RDO178" s="52"/>
      <c r="RDP178" s="52"/>
      <c r="RDQ178" s="52"/>
      <c r="RDR178" s="52"/>
      <c r="RDS178" s="52"/>
      <c r="RDT178" s="52"/>
      <c r="RDU178" s="52"/>
      <c r="RDV178" s="52"/>
      <c r="RDW178" s="52"/>
      <c r="RDX178" s="52"/>
      <c r="RDY178" s="52"/>
      <c r="RDZ178" s="52"/>
      <c r="REA178" s="52"/>
      <c r="REB178" s="52"/>
      <c r="REC178" s="52"/>
      <c r="RED178" s="52"/>
      <c r="REE178" s="52"/>
      <c r="REF178" s="52"/>
      <c r="REG178" s="52"/>
      <c r="REH178" s="52"/>
      <c r="REI178" s="52"/>
      <c r="REJ178" s="52"/>
      <c r="REK178" s="52"/>
      <c r="REL178" s="52"/>
      <c r="REM178" s="52"/>
      <c r="REN178" s="52"/>
      <c r="REO178" s="52"/>
      <c r="REP178" s="52"/>
      <c r="REQ178" s="52"/>
      <c r="RER178" s="52"/>
      <c r="RES178" s="52"/>
      <c r="RET178" s="52"/>
      <c r="REU178" s="52"/>
      <c r="REV178" s="52"/>
      <c r="REW178" s="52"/>
      <c r="REX178" s="52"/>
      <c r="REY178" s="52"/>
      <c r="REZ178" s="52"/>
      <c r="RFA178" s="52"/>
      <c r="RFB178" s="52"/>
      <c r="RFC178" s="52"/>
      <c r="RFD178" s="52"/>
      <c r="RFE178" s="52"/>
      <c r="RFF178" s="52"/>
      <c r="RFG178" s="52"/>
      <c r="RFH178" s="52"/>
      <c r="RFI178" s="52"/>
      <c r="RFJ178" s="52"/>
      <c r="RFK178" s="52"/>
      <c r="RFL178" s="52"/>
      <c r="RFM178" s="52"/>
      <c r="RFN178" s="52"/>
      <c r="RFO178" s="52"/>
      <c r="RFP178" s="52"/>
      <c r="RFQ178" s="52"/>
      <c r="RFR178" s="52"/>
      <c r="RFS178" s="52"/>
      <c r="RFT178" s="52"/>
      <c r="RFU178" s="52"/>
      <c r="RFV178" s="52"/>
      <c r="RFW178" s="52"/>
      <c r="RFX178" s="52"/>
      <c r="RFY178" s="52"/>
      <c r="RFZ178" s="52"/>
      <c r="RGA178" s="52"/>
      <c r="RGB178" s="52"/>
      <c r="RGC178" s="52"/>
      <c r="RGD178" s="52"/>
      <c r="RGE178" s="52"/>
      <c r="RGF178" s="52"/>
      <c r="RGG178" s="52"/>
      <c r="RGH178" s="52"/>
      <c r="RGI178" s="52"/>
      <c r="RGJ178" s="52"/>
      <c r="RGK178" s="52"/>
      <c r="RGL178" s="52"/>
      <c r="RGM178" s="52"/>
      <c r="RGN178" s="52"/>
      <c r="RGO178" s="52"/>
      <c r="RGP178" s="52"/>
      <c r="RGQ178" s="52"/>
      <c r="RGR178" s="52"/>
      <c r="RGS178" s="52"/>
      <c r="RGT178" s="52"/>
      <c r="RGU178" s="52"/>
      <c r="RGV178" s="52"/>
      <c r="RGW178" s="52"/>
      <c r="RGX178" s="52"/>
      <c r="RGY178" s="52"/>
      <c r="RGZ178" s="52"/>
      <c r="RHA178" s="52"/>
      <c r="RHB178" s="52"/>
      <c r="RHC178" s="52"/>
      <c r="RHD178" s="52"/>
      <c r="RHE178" s="52"/>
      <c r="RHF178" s="52"/>
      <c r="RHG178" s="52"/>
      <c r="RHH178" s="52"/>
      <c r="RHI178" s="52"/>
      <c r="RHJ178" s="52"/>
      <c r="RHK178" s="52"/>
      <c r="RHL178" s="52"/>
      <c r="RHM178" s="52"/>
      <c r="RHN178" s="52"/>
      <c r="RHO178" s="52"/>
      <c r="RHP178" s="52"/>
      <c r="RHQ178" s="52"/>
      <c r="RHR178" s="52"/>
      <c r="RHS178" s="52"/>
      <c r="RHT178" s="52"/>
      <c r="RHU178" s="52"/>
      <c r="RHV178" s="52"/>
      <c r="RHW178" s="52"/>
      <c r="RHX178" s="52"/>
      <c r="RHY178" s="52"/>
      <c r="RHZ178" s="52"/>
      <c r="RIA178" s="52"/>
      <c r="RIB178" s="52"/>
      <c r="RIC178" s="52"/>
      <c r="RID178" s="52"/>
      <c r="RIE178" s="52"/>
      <c r="RIF178" s="52"/>
      <c r="RIG178" s="52"/>
      <c r="RIH178" s="52"/>
      <c r="RII178" s="52"/>
      <c r="RIJ178" s="52"/>
      <c r="RIK178" s="52"/>
      <c r="RIL178" s="52"/>
      <c r="RIM178" s="52"/>
      <c r="RIN178" s="52"/>
      <c r="RIO178" s="52"/>
      <c r="RIP178" s="52"/>
      <c r="RIQ178" s="52"/>
      <c r="RIR178" s="52"/>
      <c r="RIS178" s="52"/>
      <c r="RIT178" s="52"/>
      <c r="RIU178" s="52"/>
      <c r="RIV178" s="52"/>
      <c r="RIW178" s="52"/>
      <c r="RIX178" s="52"/>
      <c r="RIY178" s="52"/>
      <c r="RIZ178" s="52"/>
      <c r="RJA178" s="52"/>
      <c r="RJB178" s="52"/>
      <c r="RJC178" s="52"/>
      <c r="RJD178" s="52"/>
      <c r="RJE178" s="52"/>
      <c r="RJF178" s="52"/>
      <c r="RJG178" s="52"/>
      <c r="RJH178" s="52"/>
      <c r="RJI178" s="52"/>
      <c r="RJJ178" s="52"/>
      <c r="RJK178" s="52"/>
      <c r="RJL178" s="52"/>
      <c r="RJM178" s="52"/>
      <c r="RJN178" s="52"/>
      <c r="RJO178" s="52"/>
      <c r="RJP178" s="52"/>
      <c r="RJQ178" s="52"/>
      <c r="RJR178" s="52"/>
      <c r="RJS178" s="52"/>
      <c r="RJT178" s="52"/>
      <c r="RJU178" s="52"/>
      <c r="RJV178" s="52"/>
      <c r="RJW178" s="52"/>
      <c r="RJX178" s="52"/>
      <c r="RJY178" s="52"/>
      <c r="RJZ178" s="52"/>
      <c r="RKA178" s="52"/>
      <c r="RKB178" s="52"/>
      <c r="RKC178" s="52"/>
      <c r="RKD178" s="52"/>
      <c r="RKE178" s="52"/>
      <c r="RKF178" s="52"/>
      <c r="RKG178" s="52"/>
      <c r="RKH178" s="52"/>
      <c r="RKI178" s="52"/>
      <c r="RKJ178" s="52"/>
      <c r="RKK178" s="52"/>
      <c r="RKL178" s="52"/>
      <c r="RKM178" s="52"/>
      <c r="RKN178" s="52"/>
      <c r="RKO178" s="52"/>
      <c r="RKP178" s="52"/>
      <c r="RKQ178" s="52"/>
      <c r="RKR178" s="52"/>
      <c r="RKS178" s="52"/>
      <c r="RKT178" s="52"/>
      <c r="RKU178" s="52"/>
      <c r="RKV178" s="52"/>
      <c r="RKW178" s="52"/>
      <c r="RKX178" s="52"/>
      <c r="RKY178" s="52"/>
      <c r="RKZ178" s="52"/>
      <c r="RLA178" s="52"/>
      <c r="RLB178" s="52"/>
      <c r="RLC178" s="52"/>
      <c r="RLD178" s="52"/>
      <c r="RLE178" s="52"/>
      <c r="RLF178" s="52"/>
      <c r="RLG178" s="52"/>
      <c r="RLH178" s="52"/>
      <c r="RLI178" s="52"/>
      <c r="RLJ178" s="52"/>
      <c r="RLK178" s="52"/>
      <c r="RLL178" s="52"/>
      <c r="RLM178" s="52"/>
      <c r="RLN178" s="52"/>
      <c r="RLO178" s="52"/>
      <c r="RLP178" s="52"/>
      <c r="RLQ178" s="52"/>
      <c r="RLR178" s="52"/>
      <c r="RLS178" s="52"/>
      <c r="RLT178" s="52"/>
      <c r="RLU178" s="52"/>
      <c r="RLV178" s="52"/>
      <c r="RLW178" s="52"/>
      <c r="RLX178" s="52"/>
      <c r="RLY178" s="52"/>
      <c r="RLZ178" s="52"/>
      <c r="RMA178" s="52"/>
      <c r="RMB178" s="52"/>
      <c r="RMC178" s="52"/>
      <c r="RMD178" s="52"/>
      <c r="RME178" s="52"/>
      <c r="RMF178" s="52"/>
      <c r="RMG178" s="52"/>
      <c r="RMH178" s="52"/>
      <c r="RMI178" s="52"/>
      <c r="RMJ178" s="52"/>
      <c r="RMK178" s="52"/>
      <c r="RML178" s="52"/>
      <c r="RMM178" s="52"/>
      <c r="RMN178" s="52"/>
      <c r="RMO178" s="52"/>
      <c r="RMP178" s="52"/>
      <c r="RMQ178" s="52"/>
      <c r="RMR178" s="52"/>
      <c r="RMS178" s="52"/>
      <c r="RMT178" s="52"/>
      <c r="RMU178" s="52"/>
      <c r="RMV178" s="52"/>
      <c r="RMW178" s="52"/>
      <c r="RMX178" s="52"/>
      <c r="RMY178" s="52"/>
      <c r="RMZ178" s="52"/>
      <c r="RNA178" s="52"/>
      <c r="RNB178" s="52"/>
      <c r="RNC178" s="52"/>
      <c r="RND178" s="52"/>
      <c r="RNE178" s="52"/>
      <c r="RNF178" s="52"/>
      <c r="RNG178" s="52"/>
      <c r="RNH178" s="52"/>
      <c r="RNI178" s="52"/>
      <c r="RNJ178" s="52"/>
      <c r="RNK178" s="52"/>
      <c r="RNL178" s="52"/>
      <c r="RNM178" s="52"/>
      <c r="RNN178" s="52"/>
      <c r="RNO178" s="52"/>
      <c r="RNP178" s="52"/>
      <c r="RNQ178" s="52"/>
      <c r="RNR178" s="52"/>
      <c r="RNS178" s="52"/>
      <c r="RNT178" s="52"/>
      <c r="RNU178" s="52"/>
      <c r="RNV178" s="52"/>
      <c r="RNW178" s="52"/>
      <c r="RNX178" s="52"/>
      <c r="RNY178" s="52"/>
      <c r="RNZ178" s="52"/>
      <c r="ROA178" s="52"/>
      <c r="ROB178" s="52"/>
      <c r="ROC178" s="52"/>
      <c r="ROD178" s="52"/>
      <c r="ROE178" s="52"/>
      <c r="ROF178" s="52"/>
      <c r="ROG178" s="52"/>
      <c r="ROH178" s="52"/>
      <c r="ROI178" s="52"/>
      <c r="ROJ178" s="52"/>
      <c r="ROK178" s="52"/>
      <c r="ROL178" s="52"/>
      <c r="ROM178" s="52"/>
      <c r="RON178" s="52"/>
      <c r="ROO178" s="52"/>
      <c r="ROP178" s="52"/>
      <c r="ROQ178" s="52"/>
      <c r="ROR178" s="52"/>
      <c r="ROS178" s="52"/>
      <c r="ROT178" s="52"/>
      <c r="ROU178" s="52"/>
      <c r="ROV178" s="52"/>
      <c r="ROW178" s="52"/>
      <c r="ROX178" s="52"/>
      <c r="ROY178" s="52"/>
      <c r="ROZ178" s="52"/>
      <c r="RPA178" s="52"/>
      <c r="RPB178" s="52"/>
      <c r="RPC178" s="52"/>
      <c r="RPD178" s="52"/>
      <c r="RPE178" s="52"/>
      <c r="RPF178" s="52"/>
      <c r="RPG178" s="52"/>
      <c r="RPH178" s="52"/>
      <c r="RPI178" s="52"/>
      <c r="RPJ178" s="52"/>
      <c r="RPK178" s="52"/>
      <c r="RPL178" s="52"/>
      <c r="RPM178" s="52"/>
      <c r="RPN178" s="52"/>
      <c r="RPO178" s="52"/>
      <c r="RPP178" s="52"/>
      <c r="RPQ178" s="52"/>
      <c r="RPR178" s="52"/>
      <c r="RPS178" s="52"/>
      <c r="RPT178" s="52"/>
      <c r="RPU178" s="52"/>
      <c r="RPV178" s="52"/>
      <c r="RPW178" s="52"/>
      <c r="RPX178" s="52"/>
      <c r="RPY178" s="52"/>
      <c r="RPZ178" s="52"/>
      <c r="RQA178" s="52"/>
      <c r="RQB178" s="52"/>
      <c r="RQC178" s="52"/>
      <c r="RQD178" s="52"/>
      <c r="RQE178" s="52"/>
      <c r="RQF178" s="52"/>
      <c r="RQG178" s="52"/>
      <c r="RQH178" s="52"/>
      <c r="RQI178" s="52"/>
      <c r="RQJ178" s="52"/>
      <c r="RQK178" s="52"/>
      <c r="RQL178" s="52"/>
      <c r="RQM178" s="52"/>
      <c r="RQN178" s="52"/>
      <c r="RQO178" s="52"/>
      <c r="RQP178" s="52"/>
      <c r="RQQ178" s="52"/>
      <c r="RQR178" s="52"/>
      <c r="RQS178" s="52"/>
      <c r="RQT178" s="52"/>
      <c r="RQU178" s="52"/>
      <c r="RQV178" s="52"/>
      <c r="RQW178" s="52"/>
      <c r="RQX178" s="52"/>
      <c r="RQY178" s="52"/>
      <c r="RQZ178" s="52"/>
      <c r="RRA178" s="52"/>
      <c r="RRB178" s="52"/>
      <c r="RRC178" s="52"/>
      <c r="RRD178" s="52"/>
      <c r="RRE178" s="52"/>
      <c r="RRF178" s="52"/>
      <c r="RRG178" s="52"/>
      <c r="RRH178" s="52"/>
      <c r="RRI178" s="52"/>
      <c r="RRJ178" s="52"/>
      <c r="RRK178" s="52"/>
      <c r="RRL178" s="52"/>
      <c r="RRM178" s="52"/>
      <c r="RRN178" s="52"/>
      <c r="RRO178" s="52"/>
      <c r="RRP178" s="52"/>
      <c r="RRQ178" s="52"/>
      <c r="RRR178" s="52"/>
      <c r="RRS178" s="52"/>
      <c r="RRT178" s="52"/>
      <c r="RRU178" s="52"/>
      <c r="RRV178" s="52"/>
      <c r="RRW178" s="52"/>
      <c r="RRX178" s="52"/>
      <c r="RRY178" s="52"/>
      <c r="RRZ178" s="52"/>
      <c r="RSA178" s="52"/>
      <c r="RSB178" s="52"/>
      <c r="RSC178" s="52"/>
      <c r="RSD178" s="52"/>
      <c r="RSE178" s="52"/>
      <c r="RSF178" s="52"/>
      <c r="RSG178" s="52"/>
      <c r="RSH178" s="52"/>
      <c r="RSI178" s="52"/>
      <c r="RSJ178" s="52"/>
      <c r="RSK178" s="52"/>
      <c r="RSL178" s="52"/>
      <c r="RSM178" s="52"/>
      <c r="RSN178" s="52"/>
      <c r="RSO178" s="52"/>
      <c r="RSP178" s="52"/>
      <c r="RSQ178" s="52"/>
      <c r="RSR178" s="52"/>
      <c r="RSS178" s="52"/>
      <c r="RST178" s="52"/>
      <c r="RSU178" s="52"/>
      <c r="RSV178" s="52"/>
      <c r="RSW178" s="52"/>
      <c r="RSX178" s="52"/>
      <c r="RSY178" s="52"/>
      <c r="RSZ178" s="52"/>
      <c r="RTA178" s="52"/>
      <c r="RTB178" s="52"/>
      <c r="RTC178" s="52"/>
      <c r="RTD178" s="52"/>
      <c r="RTE178" s="52"/>
      <c r="RTF178" s="52"/>
      <c r="RTG178" s="52"/>
      <c r="RTH178" s="52"/>
      <c r="RTI178" s="52"/>
      <c r="RTJ178" s="52"/>
      <c r="RTK178" s="52"/>
      <c r="RTL178" s="52"/>
      <c r="RTM178" s="52"/>
      <c r="RTN178" s="52"/>
      <c r="RTO178" s="52"/>
      <c r="RTP178" s="52"/>
      <c r="RTQ178" s="52"/>
      <c r="RTR178" s="52"/>
      <c r="RTS178" s="52"/>
      <c r="RTT178" s="52"/>
      <c r="RTU178" s="52"/>
      <c r="RTV178" s="52"/>
      <c r="RTW178" s="52"/>
      <c r="RTX178" s="52"/>
      <c r="RTY178" s="52"/>
      <c r="RTZ178" s="52"/>
      <c r="RUA178" s="52"/>
      <c r="RUB178" s="52"/>
      <c r="RUC178" s="52"/>
      <c r="RUD178" s="52"/>
      <c r="RUE178" s="52"/>
      <c r="RUF178" s="52"/>
      <c r="RUG178" s="52"/>
      <c r="RUH178" s="52"/>
      <c r="RUI178" s="52"/>
      <c r="RUJ178" s="52"/>
      <c r="RUK178" s="52"/>
      <c r="RUL178" s="52"/>
      <c r="RUM178" s="52"/>
      <c r="RUN178" s="52"/>
      <c r="RUO178" s="52"/>
      <c r="RUP178" s="52"/>
      <c r="RUQ178" s="52"/>
      <c r="RUR178" s="52"/>
      <c r="RUS178" s="52"/>
      <c r="RUT178" s="52"/>
      <c r="RUU178" s="52"/>
      <c r="RUV178" s="52"/>
      <c r="RUW178" s="52"/>
      <c r="RUX178" s="52"/>
      <c r="RUY178" s="52"/>
      <c r="RUZ178" s="52"/>
      <c r="RVA178" s="52"/>
      <c r="RVB178" s="52"/>
      <c r="RVC178" s="52"/>
      <c r="RVD178" s="52"/>
      <c r="RVE178" s="52"/>
      <c r="RVF178" s="52"/>
      <c r="RVG178" s="52"/>
      <c r="RVH178" s="52"/>
      <c r="RVI178" s="52"/>
      <c r="RVJ178" s="52"/>
      <c r="RVK178" s="52"/>
      <c r="RVL178" s="52"/>
      <c r="RVM178" s="52"/>
      <c r="RVN178" s="52"/>
      <c r="RVO178" s="52"/>
      <c r="RVP178" s="52"/>
      <c r="RVQ178" s="52"/>
      <c r="RVR178" s="52"/>
      <c r="RVS178" s="52"/>
      <c r="RVT178" s="52"/>
      <c r="RVU178" s="52"/>
      <c r="RVV178" s="52"/>
      <c r="RVW178" s="52"/>
      <c r="RVX178" s="52"/>
      <c r="RVY178" s="52"/>
      <c r="RVZ178" s="52"/>
      <c r="RWA178" s="52"/>
      <c r="RWB178" s="52"/>
      <c r="RWC178" s="52"/>
      <c r="RWD178" s="52"/>
      <c r="RWE178" s="52"/>
      <c r="RWF178" s="52"/>
      <c r="RWG178" s="52"/>
      <c r="RWH178" s="52"/>
      <c r="RWI178" s="52"/>
      <c r="RWJ178" s="52"/>
      <c r="RWK178" s="52"/>
      <c r="RWL178" s="52"/>
      <c r="RWM178" s="52"/>
      <c r="RWN178" s="52"/>
      <c r="RWO178" s="52"/>
      <c r="RWP178" s="52"/>
      <c r="RWQ178" s="52"/>
      <c r="RWR178" s="52"/>
      <c r="RWS178" s="52"/>
      <c r="RWT178" s="52"/>
      <c r="RWU178" s="52"/>
      <c r="RWV178" s="52"/>
      <c r="RWW178" s="52"/>
      <c r="RWX178" s="52"/>
      <c r="RWY178" s="52"/>
      <c r="RWZ178" s="52"/>
      <c r="RXA178" s="52"/>
      <c r="RXB178" s="52"/>
      <c r="RXC178" s="52"/>
      <c r="RXD178" s="52"/>
      <c r="RXE178" s="52"/>
      <c r="RXF178" s="52"/>
      <c r="RXG178" s="52"/>
      <c r="RXH178" s="52"/>
      <c r="RXI178" s="52"/>
      <c r="RXJ178" s="52"/>
      <c r="RXK178" s="52"/>
      <c r="RXL178" s="52"/>
      <c r="RXM178" s="52"/>
      <c r="RXN178" s="52"/>
      <c r="RXO178" s="52"/>
      <c r="RXP178" s="52"/>
      <c r="RXQ178" s="52"/>
      <c r="RXR178" s="52"/>
      <c r="RXS178" s="52"/>
      <c r="RXT178" s="52"/>
      <c r="RXU178" s="52"/>
      <c r="RXV178" s="52"/>
      <c r="RXW178" s="52"/>
      <c r="RXX178" s="52"/>
      <c r="RXY178" s="52"/>
      <c r="RXZ178" s="52"/>
      <c r="RYA178" s="52"/>
      <c r="RYB178" s="52"/>
      <c r="RYC178" s="52"/>
      <c r="RYD178" s="52"/>
      <c r="RYE178" s="52"/>
      <c r="RYF178" s="52"/>
      <c r="RYG178" s="52"/>
      <c r="RYH178" s="52"/>
      <c r="RYI178" s="52"/>
      <c r="RYJ178" s="52"/>
      <c r="RYK178" s="52"/>
      <c r="RYL178" s="52"/>
      <c r="RYM178" s="52"/>
      <c r="RYN178" s="52"/>
      <c r="RYO178" s="52"/>
      <c r="RYP178" s="52"/>
      <c r="RYQ178" s="52"/>
      <c r="RYR178" s="52"/>
      <c r="RYS178" s="52"/>
      <c r="RYT178" s="52"/>
      <c r="RYU178" s="52"/>
      <c r="RYV178" s="52"/>
      <c r="RYW178" s="52"/>
      <c r="RYX178" s="52"/>
      <c r="RYY178" s="52"/>
      <c r="RYZ178" s="52"/>
      <c r="RZA178" s="52"/>
      <c r="RZB178" s="52"/>
      <c r="RZC178" s="52"/>
      <c r="RZD178" s="52"/>
      <c r="RZE178" s="52"/>
      <c r="RZF178" s="52"/>
      <c r="RZG178" s="52"/>
      <c r="RZH178" s="52"/>
      <c r="RZI178" s="52"/>
      <c r="RZJ178" s="52"/>
      <c r="RZK178" s="52"/>
      <c r="RZL178" s="52"/>
      <c r="RZM178" s="52"/>
      <c r="RZN178" s="52"/>
      <c r="RZO178" s="52"/>
      <c r="RZP178" s="52"/>
      <c r="RZQ178" s="52"/>
      <c r="RZR178" s="52"/>
      <c r="RZS178" s="52"/>
      <c r="RZT178" s="52"/>
      <c r="RZU178" s="52"/>
      <c r="RZV178" s="52"/>
      <c r="RZW178" s="52"/>
      <c r="RZX178" s="52"/>
      <c r="RZY178" s="52"/>
      <c r="RZZ178" s="52"/>
      <c r="SAA178" s="52"/>
      <c r="SAB178" s="52"/>
      <c r="SAC178" s="52"/>
      <c r="SAD178" s="52"/>
      <c r="SAE178" s="52"/>
      <c r="SAF178" s="52"/>
      <c r="SAG178" s="52"/>
      <c r="SAH178" s="52"/>
      <c r="SAI178" s="52"/>
      <c r="SAJ178" s="52"/>
      <c r="SAK178" s="52"/>
      <c r="SAL178" s="52"/>
      <c r="SAM178" s="52"/>
      <c r="SAN178" s="52"/>
      <c r="SAO178" s="52"/>
      <c r="SAP178" s="52"/>
      <c r="SAQ178" s="52"/>
      <c r="SAR178" s="52"/>
      <c r="SAS178" s="52"/>
      <c r="SAT178" s="52"/>
      <c r="SAU178" s="52"/>
      <c r="SAV178" s="52"/>
      <c r="SAW178" s="52"/>
      <c r="SAX178" s="52"/>
      <c r="SAY178" s="52"/>
      <c r="SAZ178" s="52"/>
      <c r="SBA178" s="52"/>
      <c r="SBB178" s="52"/>
      <c r="SBC178" s="52"/>
      <c r="SBD178" s="52"/>
      <c r="SBE178" s="52"/>
      <c r="SBF178" s="52"/>
      <c r="SBG178" s="52"/>
      <c r="SBH178" s="52"/>
      <c r="SBI178" s="52"/>
      <c r="SBJ178" s="52"/>
      <c r="SBK178" s="52"/>
      <c r="SBL178" s="52"/>
      <c r="SBM178" s="52"/>
      <c r="SBN178" s="52"/>
      <c r="SBO178" s="52"/>
      <c r="SBP178" s="52"/>
      <c r="SBQ178" s="52"/>
      <c r="SBR178" s="52"/>
      <c r="SBS178" s="52"/>
      <c r="SBT178" s="52"/>
      <c r="SBU178" s="52"/>
      <c r="SBV178" s="52"/>
      <c r="SBW178" s="52"/>
      <c r="SBX178" s="52"/>
      <c r="SBY178" s="52"/>
      <c r="SBZ178" s="52"/>
      <c r="SCA178" s="52"/>
      <c r="SCB178" s="52"/>
      <c r="SCC178" s="52"/>
      <c r="SCD178" s="52"/>
      <c r="SCE178" s="52"/>
      <c r="SCF178" s="52"/>
      <c r="SCG178" s="52"/>
      <c r="SCH178" s="52"/>
      <c r="SCI178" s="52"/>
      <c r="SCJ178" s="52"/>
      <c r="SCK178" s="52"/>
      <c r="SCL178" s="52"/>
      <c r="SCM178" s="52"/>
      <c r="SCN178" s="52"/>
      <c r="SCO178" s="52"/>
      <c r="SCP178" s="52"/>
      <c r="SCQ178" s="52"/>
      <c r="SCR178" s="52"/>
      <c r="SCS178" s="52"/>
      <c r="SCT178" s="52"/>
      <c r="SCU178" s="52"/>
      <c r="SCV178" s="52"/>
      <c r="SCW178" s="52"/>
      <c r="SCX178" s="52"/>
      <c r="SCY178" s="52"/>
      <c r="SCZ178" s="52"/>
      <c r="SDA178" s="52"/>
      <c r="SDB178" s="52"/>
      <c r="SDC178" s="52"/>
      <c r="SDD178" s="52"/>
      <c r="SDE178" s="52"/>
      <c r="SDF178" s="52"/>
      <c r="SDG178" s="52"/>
      <c r="SDH178" s="52"/>
      <c r="SDI178" s="52"/>
      <c r="SDJ178" s="52"/>
      <c r="SDK178" s="52"/>
      <c r="SDL178" s="52"/>
      <c r="SDM178" s="52"/>
      <c r="SDN178" s="52"/>
      <c r="SDO178" s="52"/>
      <c r="SDP178" s="52"/>
      <c r="SDQ178" s="52"/>
      <c r="SDR178" s="52"/>
      <c r="SDS178" s="52"/>
      <c r="SDT178" s="52"/>
      <c r="SDU178" s="52"/>
      <c r="SDV178" s="52"/>
      <c r="SDW178" s="52"/>
      <c r="SDX178" s="52"/>
      <c r="SDY178" s="52"/>
      <c r="SDZ178" s="52"/>
      <c r="SEA178" s="52"/>
      <c r="SEB178" s="52"/>
      <c r="SEC178" s="52"/>
      <c r="SED178" s="52"/>
      <c r="SEE178" s="52"/>
      <c r="SEF178" s="52"/>
      <c r="SEG178" s="52"/>
      <c r="SEH178" s="52"/>
      <c r="SEI178" s="52"/>
      <c r="SEJ178" s="52"/>
      <c r="SEK178" s="52"/>
      <c r="SEL178" s="52"/>
      <c r="SEM178" s="52"/>
      <c r="SEN178" s="52"/>
      <c r="SEO178" s="52"/>
      <c r="SEP178" s="52"/>
      <c r="SEQ178" s="52"/>
      <c r="SER178" s="52"/>
      <c r="SES178" s="52"/>
      <c r="SET178" s="52"/>
      <c r="SEU178" s="52"/>
      <c r="SEV178" s="52"/>
      <c r="SEW178" s="52"/>
      <c r="SEX178" s="52"/>
      <c r="SEY178" s="52"/>
      <c r="SEZ178" s="52"/>
      <c r="SFA178" s="52"/>
      <c r="SFB178" s="52"/>
      <c r="SFC178" s="52"/>
      <c r="SFD178" s="52"/>
      <c r="SFE178" s="52"/>
      <c r="SFF178" s="52"/>
      <c r="SFG178" s="52"/>
      <c r="SFH178" s="52"/>
      <c r="SFI178" s="52"/>
      <c r="SFJ178" s="52"/>
      <c r="SFK178" s="52"/>
      <c r="SFL178" s="52"/>
      <c r="SFM178" s="52"/>
      <c r="SFN178" s="52"/>
      <c r="SFO178" s="52"/>
      <c r="SFP178" s="52"/>
      <c r="SFQ178" s="52"/>
      <c r="SFR178" s="52"/>
      <c r="SFS178" s="52"/>
      <c r="SFT178" s="52"/>
      <c r="SFU178" s="52"/>
      <c r="SFV178" s="52"/>
      <c r="SFW178" s="52"/>
      <c r="SFX178" s="52"/>
      <c r="SFY178" s="52"/>
      <c r="SFZ178" s="52"/>
      <c r="SGA178" s="52"/>
      <c r="SGB178" s="52"/>
      <c r="SGC178" s="52"/>
      <c r="SGD178" s="52"/>
      <c r="SGE178" s="52"/>
      <c r="SGF178" s="52"/>
      <c r="SGG178" s="52"/>
      <c r="SGH178" s="52"/>
      <c r="SGI178" s="52"/>
      <c r="SGJ178" s="52"/>
      <c r="SGK178" s="52"/>
      <c r="SGL178" s="52"/>
      <c r="SGM178" s="52"/>
      <c r="SGN178" s="52"/>
      <c r="SGO178" s="52"/>
      <c r="SGP178" s="52"/>
      <c r="SGQ178" s="52"/>
      <c r="SGR178" s="52"/>
      <c r="SGS178" s="52"/>
      <c r="SGT178" s="52"/>
      <c r="SGU178" s="52"/>
      <c r="SGV178" s="52"/>
      <c r="SGW178" s="52"/>
      <c r="SGX178" s="52"/>
      <c r="SGY178" s="52"/>
      <c r="SGZ178" s="52"/>
      <c r="SHA178" s="52"/>
      <c r="SHB178" s="52"/>
      <c r="SHC178" s="52"/>
      <c r="SHD178" s="52"/>
      <c r="SHE178" s="52"/>
      <c r="SHF178" s="52"/>
      <c r="SHG178" s="52"/>
      <c r="SHH178" s="52"/>
      <c r="SHI178" s="52"/>
      <c r="SHJ178" s="52"/>
      <c r="SHK178" s="52"/>
      <c r="SHL178" s="52"/>
      <c r="SHM178" s="52"/>
      <c r="SHN178" s="52"/>
      <c r="SHO178" s="52"/>
      <c r="SHP178" s="52"/>
      <c r="SHQ178" s="52"/>
      <c r="SHR178" s="52"/>
      <c r="SHS178" s="52"/>
      <c r="SHT178" s="52"/>
      <c r="SHU178" s="52"/>
      <c r="SHV178" s="52"/>
      <c r="SHW178" s="52"/>
      <c r="SHX178" s="52"/>
      <c r="SHY178" s="52"/>
      <c r="SHZ178" s="52"/>
      <c r="SIA178" s="52"/>
      <c r="SIB178" s="52"/>
      <c r="SIC178" s="52"/>
      <c r="SID178" s="52"/>
      <c r="SIE178" s="52"/>
      <c r="SIF178" s="52"/>
      <c r="SIG178" s="52"/>
      <c r="SIH178" s="52"/>
      <c r="SII178" s="52"/>
      <c r="SIJ178" s="52"/>
      <c r="SIK178" s="52"/>
      <c r="SIL178" s="52"/>
      <c r="SIM178" s="52"/>
      <c r="SIN178" s="52"/>
      <c r="SIO178" s="52"/>
      <c r="SIP178" s="52"/>
      <c r="SIQ178" s="52"/>
      <c r="SIR178" s="52"/>
      <c r="SIS178" s="52"/>
      <c r="SIT178" s="52"/>
      <c r="SIU178" s="52"/>
      <c r="SIV178" s="52"/>
      <c r="SIW178" s="52"/>
      <c r="SIX178" s="52"/>
      <c r="SIY178" s="52"/>
      <c r="SIZ178" s="52"/>
      <c r="SJA178" s="52"/>
      <c r="SJB178" s="52"/>
      <c r="SJC178" s="52"/>
      <c r="SJD178" s="52"/>
      <c r="SJE178" s="52"/>
      <c r="SJF178" s="52"/>
      <c r="SJG178" s="52"/>
      <c r="SJH178" s="52"/>
      <c r="SJI178" s="52"/>
      <c r="SJJ178" s="52"/>
      <c r="SJK178" s="52"/>
      <c r="SJL178" s="52"/>
      <c r="SJM178" s="52"/>
      <c r="SJN178" s="52"/>
      <c r="SJO178" s="52"/>
      <c r="SJP178" s="52"/>
      <c r="SJQ178" s="52"/>
      <c r="SJR178" s="52"/>
      <c r="SJS178" s="52"/>
      <c r="SJT178" s="52"/>
      <c r="SJU178" s="52"/>
      <c r="SJV178" s="52"/>
      <c r="SJW178" s="52"/>
      <c r="SJX178" s="52"/>
      <c r="SJY178" s="52"/>
      <c r="SJZ178" s="52"/>
      <c r="SKA178" s="52"/>
      <c r="SKB178" s="52"/>
      <c r="SKC178" s="52"/>
      <c r="SKD178" s="52"/>
      <c r="SKE178" s="52"/>
      <c r="SKF178" s="52"/>
      <c r="SKG178" s="52"/>
      <c r="SKH178" s="52"/>
      <c r="SKI178" s="52"/>
      <c r="SKJ178" s="52"/>
      <c r="SKK178" s="52"/>
      <c r="SKL178" s="52"/>
      <c r="SKM178" s="52"/>
      <c r="SKN178" s="52"/>
      <c r="SKO178" s="52"/>
      <c r="SKP178" s="52"/>
      <c r="SKQ178" s="52"/>
      <c r="SKR178" s="52"/>
      <c r="SKS178" s="52"/>
      <c r="SKT178" s="52"/>
      <c r="SKU178" s="52"/>
      <c r="SKV178" s="52"/>
      <c r="SKW178" s="52"/>
      <c r="SKX178" s="52"/>
      <c r="SKY178" s="52"/>
      <c r="SKZ178" s="52"/>
      <c r="SLA178" s="52"/>
      <c r="SLB178" s="52"/>
      <c r="SLC178" s="52"/>
      <c r="SLD178" s="52"/>
      <c r="SLE178" s="52"/>
      <c r="SLF178" s="52"/>
      <c r="SLG178" s="52"/>
      <c r="SLH178" s="52"/>
      <c r="SLI178" s="52"/>
      <c r="SLJ178" s="52"/>
      <c r="SLK178" s="52"/>
      <c r="SLL178" s="52"/>
      <c r="SLM178" s="52"/>
      <c r="SLN178" s="52"/>
      <c r="SLO178" s="52"/>
      <c r="SLP178" s="52"/>
      <c r="SLQ178" s="52"/>
      <c r="SLR178" s="52"/>
      <c r="SLS178" s="52"/>
      <c r="SLT178" s="52"/>
      <c r="SLU178" s="52"/>
      <c r="SLV178" s="52"/>
      <c r="SLW178" s="52"/>
      <c r="SLX178" s="52"/>
      <c r="SLY178" s="52"/>
      <c r="SLZ178" s="52"/>
      <c r="SMA178" s="52"/>
      <c r="SMB178" s="52"/>
      <c r="SMC178" s="52"/>
      <c r="SMD178" s="52"/>
      <c r="SME178" s="52"/>
      <c r="SMF178" s="52"/>
      <c r="SMG178" s="52"/>
      <c r="SMH178" s="52"/>
      <c r="SMI178" s="52"/>
      <c r="SMJ178" s="52"/>
      <c r="SMK178" s="52"/>
      <c r="SML178" s="52"/>
      <c r="SMM178" s="52"/>
      <c r="SMN178" s="52"/>
      <c r="SMO178" s="52"/>
      <c r="SMP178" s="52"/>
      <c r="SMQ178" s="52"/>
      <c r="SMR178" s="52"/>
      <c r="SMS178" s="52"/>
      <c r="SMT178" s="52"/>
      <c r="SMU178" s="52"/>
      <c r="SMV178" s="52"/>
      <c r="SMW178" s="52"/>
      <c r="SMX178" s="52"/>
      <c r="SMY178" s="52"/>
      <c r="SMZ178" s="52"/>
      <c r="SNA178" s="52"/>
      <c r="SNB178" s="52"/>
      <c r="SNC178" s="52"/>
      <c r="SND178" s="52"/>
      <c r="SNE178" s="52"/>
      <c r="SNF178" s="52"/>
      <c r="SNG178" s="52"/>
      <c r="SNH178" s="52"/>
      <c r="SNI178" s="52"/>
      <c r="SNJ178" s="52"/>
      <c r="SNK178" s="52"/>
      <c r="SNL178" s="52"/>
      <c r="SNM178" s="52"/>
      <c r="SNN178" s="52"/>
      <c r="SNO178" s="52"/>
      <c r="SNP178" s="52"/>
      <c r="SNQ178" s="52"/>
      <c r="SNR178" s="52"/>
      <c r="SNS178" s="52"/>
      <c r="SNT178" s="52"/>
      <c r="SNU178" s="52"/>
      <c r="SNV178" s="52"/>
      <c r="SNW178" s="52"/>
      <c r="SNX178" s="52"/>
      <c r="SNY178" s="52"/>
      <c r="SNZ178" s="52"/>
      <c r="SOA178" s="52"/>
      <c r="SOB178" s="52"/>
      <c r="SOC178" s="52"/>
      <c r="SOD178" s="52"/>
      <c r="SOE178" s="52"/>
      <c r="SOF178" s="52"/>
      <c r="SOG178" s="52"/>
      <c r="SOH178" s="52"/>
      <c r="SOI178" s="52"/>
      <c r="SOJ178" s="52"/>
      <c r="SOK178" s="52"/>
      <c r="SOL178" s="52"/>
      <c r="SOM178" s="52"/>
      <c r="SON178" s="52"/>
      <c r="SOO178" s="52"/>
      <c r="SOP178" s="52"/>
      <c r="SOQ178" s="52"/>
      <c r="SOR178" s="52"/>
      <c r="SOS178" s="52"/>
      <c r="SOT178" s="52"/>
      <c r="SOU178" s="52"/>
      <c r="SOV178" s="52"/>
      <c r="SOW178" s="52"/>
      <c r="SOX178" s="52"/>
      <c r="SOY178" s="52"/>
      <c r="SOZ178" s="52"/>
      <c r="SPA178" s="52"/>
      <c r="SPB178" s="52"/>
      <c r="SPC178" s="52"/>
      <c r="SPD178" s="52"/>
      <c r="SPE178" s="52"/>
      <c r="SPF178" s="52"/>
      <c r="SPG178" s="52"/>
      <c r="SPH178" s="52"/>
      <c r="SPI178" s="52"/>
      <c r="SPJ178" s="52"/>
      <c r="SPK178" s="52"/>
      <c r="SPL178" s="52"/>
      <c r="SPM178" s="52"/>
      <c r="SPN178" s="52"/>
      <c r="SPO178" s="52"/>
      <c r="SPP178" s="52"/>
      <c r="SPQ178" s="52"/>
      <c r="SPR178" s="52"/>
      <c r="SPS178" s="52"/>
      <c r="SPT178" s="52"/>
      <c r="SPU178" s="52"/>
      <c r="SPV178" s="52"/>
      <c r="SPW178" s="52"/>
      <c r="SPX178" s="52"/>
      <c r="SPY178" s="52"/>
      <c r="SPZ178" s="52"/>
      <c r="SQA178" s="52"/>
      <c r="SQB178" s="52"/>
      <c r="SQC178" s="52"/>
      <c r="SQD178" s="52"/>
      <c r="SQE178" s="52"/>
      <c r="SQF178" s="52"/>
      <c r="SQG178" s="52"/>
      <c r="SQH178" s="52"/>
      <c r="SQI178" s="52"/>
      <c r="SQJ178" s="52"/>
      <c r="SQK178" s="52"/>
      <c r="SQL178" s="52"/>
      <c r="SQM178" s="52"/>
      <c r="SQN178" s="52"/>
      <c r="SQO178" s="52"/>
      <c r="SQP178" s="52"/>
      <c r="SQQ178" s="52"/>
      <c r="SQR178" s="52"/>
      <c r="SQS178" s="52"/>
      <c r="SQT178" s="52"/>
      <c r="SQU178" s="52"/>
      <c r="SQV178" s="52"/>
      <c r="SQW178" s="52"/>
      <c r="SQX178" s="52"/>
      <c r="SQY178" s="52"/>
      <c r="SQZ178" s="52"/>
      <c r="SRA178" s="52"/>
      <c r="SRB178" s="52"/>
      <c r="SRC178" s="52"/>
      <c r="SRD178" s="52"/>
      <c r="SRE178" s="52"/>
      <c r="SRF178" s="52"/>
      <c r="SRG178" s="52"/>
      <c r="SRH178" s="52"/>
      <c r="SRI178" s="52"/>
      <c r="SRJ178" s="52"/>
      <c r="SRK178" s="52"/>
      <c r="SRL178" s="52"/>
      <c r="SRM178" s="52"/>
      <c r="SRN178" s="52"/>
      <c r="SRO178" s="52"/>
      <c r="SRP178" s="52"/>
      <c r="SRQ178" s="52"/>
      <c r="SRR178" s="52"/>
      <c r="SRS178" s="52"/>
      <c r="SRT178" s="52"/>
      <c r="SRU178" s="52"/>
      <c r="SRV178" s="52"/>
      <c r="SRW178" s="52"/>
      <c r="SRX178" s="52"/>
      <c r="SRY178" s="52"/>
      <c r="SRZ178" s="52"/>
      <c r="SSA178" s="52"/>
      <c r="SSB178" s="52"/>
      <c r="SSC178" s="52"/>
      <c r="SSD178" s="52"/>
      <c r="SSE178" s="52"/>
      <c r="SSF178" s="52"/>
      <c r="SSG178" s="52"/>
      <c r="SSH178" s="52"/>
      <c r="SSI178" s="52"/>
      <c r="SSJ178" s="52"/>
      <c r="SSK178" s="52"/>
      <c r="SSL178" s="52"/>
      <c r="SSM178" s="52"/>
      <c r="SSN178" s="52"/>
      <c r="SSO178" s="52"/>
      <c r="SSP178" s="52"/>
      <c r="SSQ178" s="52"/>
      <c r="SSR178" s="52"/>
      <c r="SSS178" s="52"/>
      <c r="SST178" s="52"/>
      <c r="SSU178" s="52"/>
      <c r="SSV178" s="52"/>
      <c r="SSW178" s="52"/>
      <c r="SSX178" s="52"/>
      <c r="SSY178" s="52"/>
      <c r="SSZ178" s="52"/>
      <c r="STA178" s="52"/>
      <c r="STB178" s="52"/>
      <c r="STC178" s="52"/>
      <c r="STD178" s="52"/>
      <c r="STE178" s="52"/>
      <c r="STF178" s="52"/>
      <c r="STG178" s="52"/>
      <c r="STH178" s="52"/>
      <c r="STI178" s="52"/>
      <c r="STJ178" s="52"/>
      <c r="STK178" s="52"/>
      <c r="STL178" s="52"/>
      <c r="STM178" s="52"/>
      <c r="STN178" s="52"/>
      <c r="STO178" s="52"/>
      <c r="STP178" s="52"/>
      <c r="STQ178" s="52"/>
      <c r="STR178" s="52"/>
      <c r="STS178" s="52"/>
      <c r="STT178" s="52"/>
      <c r="STU178" s="52"/>
      <c r="STV178" s="52"/>
      <c r="STW178" s="52"/>
      <c r="STX178" s="52"/>
      <c r="STY178" s="52"/>
      <c r="STZ178" s="52"/>
      <c r="SUA178" s="52"/>
      <c r="SUB178" s="52"/>
      <c r="SUC178" s="52"/>
      <c r="SUD178" s="52"/>
      <c r="SUE178" s="52"/>
      <c r="SUF178" s="52"/>
      <c r="SUG178" s="52"/>
      <c r="SUH178" s="52"/>
      <c r="SUI178" s="52"/>
      <c r="SUJ178" s="52"/>
      <c r="SUK178" s="52"/>
      <c r="SUL178" s="52"/>
      <c r="SUM178" s="52"/>
      <c r="SUN178" s="52"/>
      <c r="SUO178" s="52"/>
      <c r="SUP178" s="52"/>
      <c r="SUQ178" s="52"/>
      <c r="SUR178" s="52"/>
      <c r="SUS178" s="52"/>
      <c r="SUT178" s="52"/>
      <c r="SUU178" s="52"/>
      <c r="SUV178" s="52"/>
      <c r="SUW178" s="52"/>
      <c r="SUX178" s="52"/>
      <c r="SUY178" s="52"/>
      <c r="SUZ178" s="52"/>
      <c r="SVA178" s="52"/>
      <c r="SVB178" s="52"/>
      <c r="SVC178" s="52"/>
      <c r="SVD178" s="52"/>
      <c r="SVE178" s="52"/>
      <c r="SVF178" s="52"/>
      <c r="SVG178" s="52"/>
      <c r="SVH178" s="52"/>
      <c r="SVI178" s="52"/>
      <c r="SVJ178" s="52"/>
      <c r="SVK178" s="52"/>
      <c r="SVL178" s="52"/>
      <c r="SVM178" s="52"/>
      <c r="SVN178" s="52"/>
      <c r="SVO178" s="52"/>
      <c r="SVP178" s="52"/>
      <c r="SVQ178" s="52"/>
      <c r="SVR178" s="52"/>
      <c r="SVS178" s="52"/>
      <c r="SVT178" s="52"/>
      <c r="SVU178" s="52"/>
      <c r="SVV178" s="52"/>
      <c r="SVW178" s="52"/>
      <c r="SVX178" s="52"/>
      <c r="SVY178" s="52"/>
      <c r="SVZ178" s="52"/>
      <c r="SWA178" s="52"/>
      <c r="SWB178" s="52"/>
      <c r="SWC178" s="52"/>
      <c r="SWD178" s="52"/>
      <c r="SWE178" s="52"/>
      <c r="SWF178" s="52"/>
      <c r="SWG178" s="52"/>
      <c r="SWH178" s="52"/>
      <c r="SWI178" s="52"/>
      <c r="SWJ178" s="52"/>
      <c r="SWK178" s="52"/>
      <c r="SWL178" s="52"/>
      <c r="SWM178" s="52"/>
      <c r="SWN178" s="52"/>
      <c r="SWO178" s="52"/>
      <c r="SWP178" s="52"/>
      <c r="SWQ178" s="52"/>
      <c r="SWR178" s="52"/>
      <c r="SWS178" s="52"/>
      <c r="SWT178" s="52"/>
      <c r="SWU178" s="52"/>
      <c r="SWV178" s="52"/>
      <c r="SWW178" s="52"/>
      <c r="SWX178" s="52"/>
      <c r="SWY178" s="52"/>
      <c r="SWZ178" s="52"/>
      <c r="SXA178" s="52"/>
      <c r="SXB178" s="52"/>
      <c r="SXC178" s="52"/>
      <c r="SXD178" s="52"/>
      <c r="SXE178" s="52"/>
      <c r="SXF178" s="52"/>
      <c r="SXG178" s="52"/>
      <c r="SXH178" s="52"/>
      <c r="SXI178" s="52"/>
      <c r="SXJ178" s="52"/>
      <c r="SXK178" s="52"/>
      <c r="SXL178" s="52"/>
      <c r="SXM178" s="52"/>
      <c r="SXN178" s="52"/>
      <c r="SXO178" s="52"/>
      <c r="SXP178" s="52"/>
      <c r="SXQ178" s="52"/>
      <c r="SXR178" s="52"/>
      <c r="SXS178" s="52"/>
      <c r="SXT178" s="52"/>
      <c r="SXU178" s="52"/>
      <c r="SXV178" s="52"/>
      <c r="SXW178" s="52"/>
      <c r="SXX178" s="52"/>
      <c r="SXY178" s="52"/>
      <c r="SXZ178" s="52"/>
      <c r="SYA178" s="52"/>
      <c r="SYB178" s="52"/>
      <c r="SYC178" s="52"/>
      <c r="SYD178" s="52"/>
      <c r="SYE178" s="52"/>
      <c r="SYF178" s="52"/>
      <c r="SYG178" s="52"/>
      <c r="SYH178" s="52"/>
      <c r="SYI178" s="52"/>
      <c r="SYJ178" s="52"/>
      <c r="SYK178" s="52"/>
      <c r="SYL178" s="52"/>
      <c r="SYM178" s="52"/>
      <c r="SYN178" s="52"/>
      <c r="SYO178" s="52"/>
      <c r="SYP178" s="52"/>
      <c r="SYQ178" s="52"/>
      <c r="SYR178" s="52"/>
      <c r="SYS178" s="52"/>
      <c r="SYT178" s="52"/>
      <c r="SYU178" s="52"/>
      <c r="SYV178" s="52"/>
      <c r="SYW178" s="52"/>
      <c r="SYX178" s="52"/>
      <c r="SYY178" s="52"/>
      <c r="SYZ178" s="52"/>
      <c r="SZA178" s="52"/>
      <c r="SZB178" s="52"/>
      <c r="SZC178" s="52"/>
      <c r="SZD178" s="52"/>
      <c r="SZE178" s="52"/>
      <c r="SZF178" s="52"/>
      <c r="SZG178" s="52"/>
      <c r="SZH178" s="52"/>
      <c r="SZI178" s="52"/>
      <c r="SZJ178" s="52"/>
      <c r="SZK178" s="52"/>
      <c r="SZL178" s="52"/>
      <c r="SZM178" s="52"/>
      <c r="SZN178" s="52"/>
      <c r="SZO178" s="52"/>
      <c r="SZP178" s="52"/>
      <c r="SZQ178" s="52"/>
      <c r="SZR178" s="52"/>
      <c r="SZS178" s="52"/>
      <c r="SZT178" s="52"/>
      <c r="SZU178" s="52"/>
      <c r="SZV178" s="52"/>
      <c r="SZW178" s="52"/>
      <c r="SZX178" s="52"/>
      <c r="SZY178" s="52"/>
      <c r="SZZ178" s="52"/>
      <c r="TAA178" s="52"/>
      <c r="TAB178" s="52"/>
      <c r="TAC178" s="52"/>
      <c r="TAD178" s="52"/>
      <c r="TAE178" s="52"/>
      <c r="TAF178" s="52"/>
      <c r="TAG178" s="52"/>
      <c r="TAH178" s="52"/>
      <c r="TAI178" s="52"/>
      <c r="TAJ178" s="52"/>
      <c r="TAK178" s="52"/>
      <c r="TAL178" s="52"/>
      <c r="TAM178" s="52"/>
      <c r="TAN178" s="52"/>
      <c r="TAO178" s="52"/>
      <c r="TAP178" s="52"/>
      <c r="TAQ178" s="52"/>
      <c r="TAR178" s="52"/>
      <c r="TAS178" s="52"/>
      <c r="TAT178" s="52"/>
      <c r="TAU178" s="52"/>
      <c r="TAV178" s="52"/>
      <c r="TAW178" s="52"/>
      <c r="TAX178" s="52"/>
      <c r="TAY178" s="52"/>
      <c r="TAZ178" s="52"/>
      <c r="TBA178" s="52"/>
      <c r="TBB178" s="52"/>
      <c r="TBC178" s="52"/>
      <c r="TBD178" s="52"/>
      <c r="TBE178" s="52"/>
      <c r="TBF178" s="52"/>
      <c r="TBG178" s="52"/>
      <c r="TBH178" s="52"/>
      <c r="TBI178" s="52"/>
      <c r="TBJ178" s="52"/>
      <c r="TBK178" s="52"/>
      <c r="TBL178" s="52"/>
      <c r="TBM178" s="52"/>
      <c r="TBN178" s="52"/>
      <c r="TBO178" s="52"/>
      <c r="TBP178" s="52"/>
      <c r="TBQ178" s="52"/>
      <c r="TBR178" s="52"/>
      <c r="TBS178" s="52"/>
      <c r="TBT178" s="52"/>
      <c r="TBU178" s="52"/>
      <c r="TBV178" s="52"/>
      <c r="TBW178" s="52"/>
      <c r="TBX178" s="52"/>
      <c r="TBY178" s="52"/>
      <c r="TBZ178" s="52"/>
      <c r="TCA178" s="52"/>
      <c r="TCB178" s="52"/>
      <c r="TCC178" s="52"/>
      <c r="TCD178" s="52"/>
      <c r="TCE178" s="52"/>
      <c r="TCF178" s="52"/>
      <c r="TCG178" s="52"/>
      <c r="TCH178" s="52"/>
      <c r="TCI178" s="52"/>
      <c r="TCJ178" s="52"/>
      <c r="TCK178" s="52"/>
      <c r="TCL178" s="52"/>
      <c r="TCM178" s="52"/>
      <c r="TCN178" s="52"/>
      <c r="TCO178" s="52"/>
      <c r="TCP178" s="52"/>
      <c r="TCQ178" s="52"/>
      <c r="TCR178" s="52"/>
      <c r="TCS178" s="52"/>
      <c r="TCT178" s="52"/>
      <c r="TCU178" s="52"/>
      <c r="TCV178" s="52"/>
      <c r="TCW178" s="52"/>
      <c r="TCX178" s="52"/>
      <c r="TCY178" s="52"/>
      <c r="TCZ178" s="52"/>
      <c r="TDA178" s="52"/>
      <c r="TDB178" s="52"/>
      <c r="TDC178" s="52"/>
      <c r="TDD178" s="52"/>
      <c r="TDE178" s="52"/>
      <c r="TDF178" s="52"/>
      <c r="TDG178" s="52"/>
      <c r="TDH178" s="52"/>
      <c r="TDI178" s="52"/>
      <c r="TDJ178" s="52"/>
      <c r="TDK178" s="52"/>
      <c r="TDL178" s="52"/>
      <c r="TDM178" s="52"/>
      <c r="TDN178" s="52"/>
      <c r="TDO178" s="52"/>
      <c r="TDP178" s="52"/>
      <c r="TDQ178" s="52"/>
      <c r="TDR178" s="52"/>
      <c r="TDS178" s="52"/>
      <c r="TDT178" s="52"/>
      <c r="TDU178" s="52"/>
      <c r="TDV178" s="52"/>
      <c r="TDW178" s="52"/>
      <c r="TDX178" s="52"/>
      <c r="TDY178" s="52"/>
      <c r="TDZ178" s="52"/>
      <c r="TEA178" s="52"/>
      <c r="TEB178" s="52"/>
      <c r="TEC178" s="52"/>
      <c r="TED178" s="52"/>
      <c r="TEE178" s="52"/>
      <c r="TEF178" s="52"/>
      <c r="TEG178" s="52"/>
      <c r="TEH178" s="52"/>
      <c r="TEI178" s="52"/>
      <c r="TEJ178" s="52"/>
      <c r="TEK178" s="52"/>
      <c r="TEL178" s="52"/>
      <c r="TEM178" s="52"/>
      <c r="TEN178" s="52"/>
      <c r="TEO178" s="52"/>
      <c r="TEP178" s="52"/>
      <c r="TEQ178" s="52"/>
      <c r="TER178" s="52"/>
      <c r="TES178" s="52"/>
      <c r="TET178" s="52"/>
      <c r="TEU178" s="52"/>
      <c r="TEV178" s="52"/>
      <c r="TEW178" s="52"/>
      <c r="TEX178" s="52"/>
      <c r="TEY178" s="52"/>
      <c r="TEZ178" s="52"/>
      <c r="TFA178" s="52"/>
      <c r="TFB178" s="52"/>
      <c r="TFC178" s="52"/>
      <c r="TFD178" s="52"/>
      <c r="TFE178" s="52"/>
      <c r="TFF178" s="52"/>
      <c r="TFG178" s="52"/>
      <c r="TFH178" s="52"/>
      <c r="TFI178" s="52"/>
      <c r="TFJ178" s="52"/>
      <c r="TFK178" s="52"/>
      <c r="TFL178" s="52"/>
      <c r="TFM178" s="52"/>
      <c r="TFN178" s="52"/>
      <c r="TFO178" s="52"/>
      <c r="TFP178" s="52"/>
      <c r="TFQ178" s="52"/>
      <c r="TFR178" s="52"/>
      <c r="TFS178" s="52"/>
      <c r="TFT178" s="52"/>
      <c r="TFU178" s="52"/>
      <c r="TFV178" s="52"/>
      <c r="TFW178" s="52"/>
      <c r="TFX178" s="52"/>
      <c r="TFY178" s="52"/>
      <c r="TFZ178" s="52"/>
      <c r="TGA178" s="52"/>
      <c r="TGB178" s="52"/>
      <c r="TGC178" s="52"/>
      <c r="TGD178" s="52"/>
      <c r="TGE178" s="52"/>
      <c r="TGF178" s="52"/>
      <c r="TGG178" s="52"/>
      <c r="TGH178" s="52"/>
      <c r="TGI178" s="52"/>
      <c r="TGJ178" s="52"/>
      <c r="TGK178" s="52"/>
      <c r="TGL178" s="52"/>
      <c r="TGM178" s="52"/>
      <c r="TGN178" s="52"/>
      <c r="TGO178" s="52"/>
      <c r="TGP178" s="52"/>
      <c r="TGQ178" s="52"/>
      <c r="TGR178" s="52"/>
      <c r="TGS178" s="52"/>
      <c r="TGT178" s="52"/>
      <c r="TGU178" s="52"/>
      <c r="TGV178" s="52"/>
      <c r="TGW178" s="52"/>
      <c r="TGX178" s="52"/>
      <c r="TGY178" s="52"/>
      <c r="TGZ178" s="52"/>
      <c r="THA178" s="52"/>
      <c r="THB178" s="52"/>
      <c r="THC178" s="52"/>
      <c r="THD178" s="52"/>
      <c r="THE178" s="52"/>
      <c r="THF178" s="52"/>
      <c r="THG178" s="52"/>
      <c r="THH178" s="52"/>
      <c r="THI178" s="52"/>
      <c r="THJ178" s="52"/>
      <c r="THK178" s="52"/>
      <c r="THL178" s="52"/>
      <c r="THM178" s="52"/>
      <c r="THN178" s="52"/>
      <c r="THO178" s="52"/>
      <c r="THP178" s="52"/>
      <c r="THQ178" s="52"/>
      <c r="THR178" s="52"/>
      <c r="THS178" s="52"/>
      <c r="THT178" s="52"/>
      <c r="THU178" s="52"/>
      <c r="THV178" s="52"/>
      <c r="THW178" s="52"/>
      <c r="THX178" s="52"/>
      <c r="THY178" s="52"/>
      <c r="THZ178" s="52"/>
      <c r="TIA178" s="52"/>
      <c r="TIB178" s="52"/>
      <c r="TIC178" s="52"/>
      <c r="TID178" s="52"/>
      <c r="TIE178" s="52"/>
      <c r="TIF178" s="52"/>
      <c r="TIG178" s="52"/>
      <c r="TIH178" s="52"/>
      <c r="TII178" s="52"/>
      <c r="TIJ178" s="52"/>
      <c r="TIK178" s="52"/>
      <c r="TIL178" s="52"/>
      <c r="TIM178" s="52"/>
      <c r="TIN178" s="52"/>
      <c r="TIO178" s="52"/>
      <c r="TIP178" s="52"/>
      <c r="TIQ178" s="52"/>
      <c r="TIR178" s="52"/>
      <c r="TIS178" s="52"/>
      <c r="TIT178" s="52"/>
      <c r="TIU178" s="52"/>
      <c r="TIV178" s="52"/>
      <c r="TIW178" s="52"/>
      <c r="TIX178" s="52"/>
      <c r="TIY178" s="52"/>
      <c r="TIZ178" s="52"/>
      <c r="TJA178" s="52"/>
      <c r="TJB178" s="52"/>
      <c r="TJC178" s="52"/>
      <c r="TJD178" s="52"/>
      <c r="TJE178" s="52"/>
      <c r="TJF178" s="52"/>
      <c r="TJG178" s="52"/>
      <c r="TJH178" s="52"/>
      <c r="TJI178" s="52"/>
      <c r="TJJ178" s="52"/>
      <c r="TJK178" s="52"/>
      <c r="TJL178" s="52"/>
      <c r="TJM178" s="52"/>
      <c r="TJN178" s="52"/>
      <c r="TJO178" s="52"/>
      <c r="TJP178" s="52"/>
      <c r="TJQ178" s="52"/>
      <c r="TJR178" s="52"/>
      <c r="TJS178" s="52"/>
      <c r="TJT178" s="52"/>
      <c r="TJU178" s="52"/>
      <c r="TJV178" s="52"/>
      <c r="TJW178" s="52"/>
      <c r="TJX178" s="52"/>
      <c r="TJY178" s="52"/>
      <c r="TJZ178" s="52"/>
      <c r="TKA178" s="52"/>
      <c r="TKB178" s="52"/>
      <c r="TKC178" s="52"/>
      <c r="TKD178" s="52"/>
      <c r="TKE178" s="52"/>
      <c r="TKF178" s="52"/>
      <c r="TKG178" s="52"/>
      <c r="TKH178" s="52"/>
      <c r="TKI178" s="52"/>
      <c r="TKJ178" s="52"/>
      <c r="TKK178" s="52"/>
      <c r="TKL178" s="52"/>
      <c r="TKM178" s="52"/>
      <c r="TKN178" s="52"/>
      <c r="TKO178" s="52"/>
      <c r="TKP178" s="52"/>
      <c r="TKQ178" s="52"/>
      <c r="TKR178" s="52"/>
      <c r="TKS178" s="52"/>
      <c r="TKT178" s="52"/>
      <c r="TKU178" s="52"/>
      <c r="TKV178" s="52"/>
      <c r="TKW178" s="52"/>
      <c r="TKX178" s="52"/>
      <c r="TKY178" s="52"/>
      <c r="TKZ178" s="52"/>
      <c r="TLA178" s="52"/>
      <c r="TLB178" s="52"/>
      <c r="TLC178" s="52"/>
      <c r="TLD178" s="52"/>
      <c r="TLE178" s="52"/>
      <c r="TLF178" s="52"/>
      <c r="TLG178" s="52"/>
      <c r="TLH178" s="52"/>
      <c r="TLI178" s="52"/>
      <c r="TLJ178" s="52"/>
      <c r="TLK178" s="52"/>
      <c r="TLL178" s="52"/>
      <c r="TLM178" s="52"/>
      <c r="TLN178" s="52"/>
      <c r="TLO178" s="52"/>
      <c r="TLP178" s="52"/>
      <c r="TLQ178" s="52"/>
      <c r="TLR178" s="52"/>
      <c r="TLS178" s="52"/>
      <c r="TLT178" s="52"/>
      <c r="TLU178" s="52"/>
      <c r="TLV178" s="52"/>
      <c r="TLW178" s="52"/>
      <c r="TLX178" s="52"/>
      <c r="TLY178" s="52"/>
      <c r="TLZ178" s="52"/>
      <c r="TMA178" s="52"/>
      <c r="TMB178" s="52"/>
      <c r="TMC178" s="52"/>
      <c r="TMD178" s="52"/>
      <c r="TME178" s="52"/>
      <c r="TMF178" s="52"/>
      <c r="TMG178" s="52"/>
      <c r="TMH178" s="52"/>
      <c r="TMI178" s="52"/>
      <c r="TMJ178" s="52"/>
      <c r="TMK178" s="52"/>
      <c r="TML178" s="52"/>
      <c r="TMM178" s="52"/>
      <c r="TMN178" s="52"/>
      <c r="TMO178" s="52"/>
      <c r="TMP178" s="52"/>
      <c r="TMQ178" s="52"/>
      <c r="TMR178" s="52"/>
      <c r="TMS178" s="52"/>
      <c r="TMT178" s="52"/>
      <c r="TMU178" s="52"/>
      <c r="TMV178" s="52"/>
      <c r="TMW178" s="52"/>
      <c r="TMX178" s="52"/>
      <c r="TMY178" s="52"/>
      <c r="TMZ178" s="52"/>
      <c r="TNA178" s="52"/>
      <c r="TNB178" s="52"/>
      <c r="TNC178" s="52"/>
      <c r="TND178" s="52"/>
      <c r="TNE178" s="52"/>
      <c r="TNF178" s="52"/>
      <c r="TNG178" s="52"/>
      <c r="TNH178" s="52"/>
      <c r="TNI178" s="52"/>
      <c r="TNJ178" s="52"/>
      <c r="TNK178" s="52"/>
      <c r="TNL178" s="52"/>
      <c r="TNM178" s="52"/>
      <c r="TNN178" s="52"/>
      <c r="TNO178" s="52"/>
      <c r="TNP178" s="52"/>
      <c r="TNQ178" s="52"/>
      <c r="TNR178" s="52"/>
      <c r="TNS178" s="52"/>
      <c r="TNT178" s="52"/>
      <c r="TNU178" s="52"/>
      <c r="TNV178" s="52"/>
      <c r="TNW178" s="52"/>
      <c r="TNX178" s="52"/>
      <c r="TNY178" s="52"/>
      <c r="TNZ178" s="52"/>
      <c r="TOA178" s="52"/>
      <c r="TOB178" s="52"/>
      <c r="TOC178" s="52"/>
      <c r="TOD178" s="52"/>
      <c r="TOE178" s="52"/>
      <c r="TOF178" s="52"/>
      <c r="TOG178" s="52"/>
      <c r="TOH178" s="52"/>
      <c r="TOI178" s="52"/>
      <c r="TOJ178" s="52"/>
      <c r="TOK178" s="52"/>
      <c r="TOL178" s="52"/>
      <c r="TOM178" s="52"/>
      <c r="TON178" s="52"/>
      <c r="TOO178" s="52"/>
      <c r="TOP178" s="52"/>
      <c r="TOQ178" s="52"/>
      <c r="TOR178" s="52"/>
      <c r="TOS178" s="52"/>
      <c r="TOT178" s="52"/>
      <c r="TOU178" s="52"/>
      <c r="TOV178" s="52"/>
      <c r="TOW178" s="52"/>
      <c r="TOX178" s="52"/>
      <c r="TOY178" s="52"/>
      <c r="TOZ178" s="52"/>
      <c r="TPA178" s="52"/>
      <c r="TPB178" s="52"/>
      <c r="TPC178" s="52"/>
      <c r="TPD178" s="52"/>
      <c r="TPE178" s="52"/>
      <c r="TPF178" s="52"/>
      <c r="TPG178" s="52"/>
      <c r="TPH178" s="52"/>
      <c r="TPI178" s="52"/>
      <c r="TPJ178" s="52"/>
      <c r="TPK178" s="52"/>
      <c r="TPL178" s="52"/>
      <c r="TPM178" s="52"/>
      <c r="TPN178" s="52"/>
      <c r="TPO178" s="52"/>
      <c r="TPP178" s="52"/>
      <c r="TPQ178" s="52"/>
      <c r="TPR178" s="52"/>
      <c r="TPS178" s="52"/>
      <c r="TPT178" s="52"/>
      <c r="TPU178" s="52"/>
      <c r="TPV178" s="52"/>
      <c r="TPW178" s="52"/>
      <c r="TPX178" s="52"/>
      <c r="TPY178" s="52"/>
      <c r="TPZ178" s="52"/>
      <c r="TQA178" s="52"/>
      <c r="TQB178" s="52"/>
      <c r="TQC178" s="52"/>
      <c r="TQD178" s="52"/>
      <c r="TQE178" s="52"/>
      <c r="TQF178" s="52"/>
      <c r="TQG178" s="52"/>
      <c r="TQH178" s="52"/>
      <c r="TQI178" s="52"/>
      <c r="TQJ178" s="52"/>
      <c r="TQK178" s="52"/>
      <c r="TQL178" s="52"/>
      <c r="TQM178" s="52"/>
      <c r="TQN178" s="52"/>
      <c r="TQO178" s="52"/>
      <c r="TQP178" s="52"/>
      <c r="TQQ178" s="52"/>
      <c r="TQR178" s="52"/>
      <c r="TQS178" s="52"/>
      <c r="TQT178" s="52"/>
      <c r="TQU178" s="52"/>
      <c r="TQV178" s="52"/>
      <c r="TQW178" s="52"/>
      <c r="TQX178" s="52"/>
      <c r="TQY178" s="52"/>
      <c r="TQZ178" s="52"/>
      <c r="TRA178" s="52"/>
      <c r="TRB178" s="52"/>
      <c r="TRC178" s="52"/>
      <c r="TRD178" s="52"/>
      <c r="TRE178" s="52"/>
      <c r="TRF178" s="52"/>
      <c r="TRG178" s="52"/>
      <c r="TRH178" s="52"/>
      <c r="TRI178" s="52"/>
      <c r="TRJ178" s="52"/>
      <c r="TRK178" s="52"/>
      <c r="TRL178" s="52"/>
      <c r="TRM178" s="52"/>
      <c r="TRN178" s="52"/>
      <c r="TRO178" s="52"/>
      <c r="TRP178" s="52"/>
      <c r="TRQ178" s="52"/>
      <c r="TRR178" s="52"/>
      <c r="TRS178" s="52"/>
      <c r="TRT178" s="52"/>
      <c r="TRU178" s="52"/>
      <c r="TRV178" s="52"/>
      <c r="TRW178" s="52"/>
      <c r="TRX178" s="52"/>
      <c r="TRY178" s="52"/>
      <c r="TRZ178" s="52"/>
      <c r="TSA178" s="52"/>
      <c r="TSB178" s="52"/>
      <c r="TSC178" s="52"/>
      <c r="TSD178" s="52"/>
      <c r="TSE178" s="52"/>
      <c r="TSF178" s="52"/>
      <c r="TSG178" s="52"/>
      <c r="TSH178" s="52"/>
      <c r="TSI178" s="52"/>
      <c r="TSJ178" s="52"/>
      <c r="TSK178" s="52"/>
      <c r="TSL178" s="52"/>
      <c r="TSM178" s="52"/>
      <c r="TSN178" s="52"/>
      <c r="TSO178" s="52"/>
      <c r="TSP178" s="52"/>
      <c r="TSQ178" s="52"/>
      <c r="TSR178" s="52"/>
      <c r="TSS178" s="52"/>
      <c r="TST178" s="52"/>
      <c r="TSU178" s="52"/>
      <c r="TSV178" s="52"/>
      <c r="TSW178" s="52"/>
      <c r="TSX178" s="52"/>
      <c r="TSY178" s="52"/>
      <c r="TSZ178" s="52"/>
      <c r="TTA178" s="52"/>
      <c r="TTB178" s="52"/>
      <c r="TTC178" s="52"/>
      <c r="TTD178" s="52"/>
      <c r="TTE178" s="52"/>
      <c r="TTF178" s="52"/>
      <c r="TTG178" s="52"/>
      <c r="TTH178" s="52"/>
      <c r="TTI178" s="52"/>
      <c r="TTJ178" s="52"/>
      <c r="TTK178" s="52"/>
      <c r="TTL178" s="52"/>
      <c r="TTM178" s="52"/>
      <c r="TTN178" s="52"/>
      <c r="TTO178" s="52"/>
      <c r="TTP178" s="52"/>
      <c r="TTQ178" s="52"/>
      <c r="TTR178" s="52"/>
      <c r="TTS178" s="52"/>
      <c r="TTT178" s="52"/>
      <c r="TTU178" s="52"/>
      <c r="TTV178" s="52"/>
      <c r="TTW178" s="52"/>
      <c r="TTX178" s="52"/>
      <c r="TTY178" s="52"/>
      <c r="TTZ178" s="52"/>
      <c r="TUA178" s="52"/>
      <c r="TUB178" s="52"/>
      <c r="TUC178" s="52"/>
      <c r="TUD178" s="52"/>
      <c r="TUE178" s="52"/>
      <c r="TUF178" s="52"/>
      <c r="TUG178" s="52"/>
      <c r="TUH178" s="52"/>
      <c r="TUI178" s="52"/>
      <c r="TUJ178" s="52"/>
      <c r="TUK178" s="52"/>
      <c r="TUL178" s="52"/>
      <c r="TUM178" s="52"/>
      <c r="TUN178" s="52"/>
      <c r="TUO178" s="52"/>
      <c r="TUP178" s="52"/>
      <c r="TUQ178" s="52"/>
      <c r="TUR178" s="52"/>
      <c r="TUS178" s="52"/>
      <c r="TUT178" s="52"/>
      <c r="TUU178" s="52"/>
      <c r="TUV178" s="52"/>
      <c r="TUW178" s="52"/>
      <c r="TUX178" s="52"/>
      <c r="TUY178" s="52"/>
      <c r="TUZ178" s="52"/>
      <c r="TVA178" s="52"/>
      <c r="TVB178" s="52"/>
      <c r="TVC178" s="52"/>
      <c r="TVD178" s="52"/>
      <c r="TVE178" s="52"/>
      <c r="TVF178" s="52"/>
      <c r="TVG178" s="52"/>
      <c r="TVH178" s="52"/>
      <c r="TVI178" s="52"/>
      <c r="TVJ178" s="52"/>
      <c r="TVK178" s="52"/>
      <c r="TVL178" s="52"/>
      <c r="TVM178" s="52"/>
      <c r="TVN178" s="52"/>
      <c r="TVO178" s="52"/>
      <c r="TVP178" s="52"/>
      <c r="TVQ178" s="52"/>
      <c r="TVR178" s="52"/>
      <c r="TVS178" s="52"/>
      <c r="TVT178" s="52"/>
      <c r="TVU178" s="52"/>
      <c r="TVV178" s="52"/>
      <c r="TVW178" s="52"/>
      <c r="TVX178" s="52"/>
      <c r="TVY178" s="52"/>
      <c r="TVZ178" s="52"/>
      <c r="TWA178" s="52"/>
      <c r="TWB178" s="52"/>
      <c r="TWC178" s="52"/>
      <c r="TWD178" s="52"/>
      <c r="TWE178" s="52"/>
      <c r="TWF178" s="52"/>
      <c r="TWG178" s="52"/>
      <c r="TWH178" s="52"/>
      <c r="TWI178" s="52"/>
      <c r="TWJ178" s="52"/>
      <c r="TWK178" s="52"/>
      <c r="TWL178" s="52"/>
      <c r="TWM178" s="52"/>
      <c r="TWN178" s="52"/>
      <c r="TWO178" s="52"/>
      <c r="TWP178" s="52"/>
      <c r="TWQ178" s="52"/>
      <c r="TWR178" s="52"/>
      <c r="TWS178" s="52"/>
      <c r="TWT178" s="52"/>
      <c r="TWU178" s="52"/>
      <c r="TWV178" s="52"/>
      <c r="TWW178" s="52"/>
      <c r="TWX178" s="52"/>
      <c r="TWY178" s="52"/>
      <c r="TWZ178" s="52"/>
      <c r="TXA178" s="52"/>
      <c r="TXB178" s="52"/>
      <c r="TXC178" s="52"/>
      <c r="TXD178" s="52"/>
      <c r="TXE178" s="52"/>
      <c r="TXF178" s="52"/>
      <c r="TXG178" s="52"/>
      <c r="TXH178" s="52"/>
      <c r="TXI178" s="52"/>
      <c r="TXJ178" s="52"/>
      <c r="TXK178" s="52"/>
      <c r="TXL178" s="52"/>
      <c r="TXM178" s="52"/>
      <c r="TXN178" s="52"/>
      <c r="TXO178" s="52"/>
      <c r="TXP178" s="52"/>
      <c r="TXQ178" s="52"/>
      <c r="TXR178" s="52"/>
      <c r="TXS178" s="52"/>
      <c r="TXT178" s="52"/>
      <c r="TXU178" s="52"/>
      <c r="TXV178" s="52"/>
      <c r="TXW178" s="52"/>
      <c r="TXX178" s="52"/>
      <c r="TXY178" s="52"/>
      <c r="TXZ178" s="52"/>
      <c r="TYA178" s="52"/>
      <c r="TYB178" s="52"/>
      <c r="TYC178" s="52"/>
      <c r="TYD178" s="52"/>
      <c r="TYE178" s="52"/>
      <c r="TYF178" s="52"/>
      <c r="TYG178" s="52"/>
      <c r="TYH178" s="52"/>
      <c r="TYI178" s="52"/>
      <c r="TYJ178" s="52"/>
      <c r="TYK178" s="52"/>
      <c r="TYL178" s="52"/>
      <c r="TYM178" s="52"/>
      <c r="TYN178" s="52"/>
      <c r="TYO178" s="52"/>
      <c r="TYP178" s="52"/>
      <c r="TYQ178" s="52"/>
      <c r="TYR178" s="52"/>
      <c r="TYS178" s="52"/>
      <c r="TYT178" s="52"/>
      <c r="TYU178" s="52"/>
      <c r="TYV178" s="52"/>
      <c r="TYW178" s="52"/>
      <c r="TYX178" s="52"/>
      <c r="TYY178" s="52"/>
      <c r="TYZ178" s="52"/>
      <c r="TZA178" s="52"/>
      <c r="TZB178" s="52"/>
      <c r="TZC178" s="52"/>
      <c r="TZD178" s="52"/>
      <c r="TZE178" s="52"/>
      <c r="TZF178" s="52"/>
      <c r="TZG178" s="52"/>
      <c r="TZH178" s="52"/>
      <c r="TZI178" s="52"/>
      <c r="TZJ178" s="52"/>
      <c r="TZK178" s="52"/>
      <c r="TZL178" s="52"/>
      <c r="TZM178" s="52"/>
      <c r="TZN178" s="52"/>
      <c r="TZO178" s="52"/>
      <c r="TZP178" s="52"/>
      <c r="TZQ178" s="52"/>
      <c r="TZR178" s="52"/>
      <c r="TZS178" s="52"/>
      <c r="TZT178" s="52"/>
      <c r="TZU178" s="52"/>
      <c r="TZV178" s="52"/>
      <c r="TZW178" s="52"/>
      <c r="TZX178" s="52"/>
      <c r="TZY178" s="52"/>
      <c r="TZZ178" s="52"/>
      <c r="UAA178" s="52"/>
      <c r="UAB178" s="52"/>
      <c r="UAC178" s="52"/>
      <c r="UAD178" s="52"/>
      <c r="UAE178" s="52"/>
      <c r="UAF178" s="52"/>
      <c r="UAG178" s="52"/>
      <c r="UAH178" s="52"/>
      <c r="UAI178" s="52"/>
      <c r="UAJ178" s="52"/>
      <c r="UAK178" s="52"/>
      <c r="UAL178" s="52"/>
      <c r="UAM178" s="52"/>
      <c r="UAN178" s="52"/>
      <c r="UAO178" s="52"/>
      <c r="UAP178" s="52"/>
      <c r="UAQ178" s="52"/>
      <c r="UAR178" s="52"/>
      <c r="UAS178" s="52"/>
      <c r="UAT178" s="52"/>
      <c r="UAU178" s="52"/>
      <c r="UAV178" s="52"/>
      <c r="UAW178" s="52"/>
      <c r="UAX178" s="52"/>
      <c r="UAY178" s="52"/>
      <c r="UAZ178" s="52"/>
      <c r="UBA178" s="52"/>
      <c r="UBB178" s="52"/>
      <c r="UBC178" s="52"/>
      <c r="UBD178" s="52"/>
      <c r="UBE178" s="52"/>
      <c r="UBF178" s="52"/>
      <c r="UBG178" s="52"/>
      <c r="UBH178" s="52"/>
      <c r="UBI178" s="52"/>
      <c r="UBJ178" s="52"/>
      <c r="UBK178" s="52"/>
      <c r="UBL178" s="52"/>
      <c r="UBM178" s="52"/>
      <c r="UBN178" s="52"/>
      <c r="UBO178" s="52"/>
      <c r="UBP178" s="52"/>
      <c r="UBQ178" s="52"/>
      <c r="UBR178" s="52"/>
      <c r="UBS178" s="52"/>
      <c r="UBT178" s="52"/>
      <c r="UBU178" s="52"/>
      <c r="UBV178" s="52"/>
      <c r="UBW178" s="52"/>
      <c r="UBX178" s="52"/>
      <c r="UBY178" s="52"/>
      <c r="UBZ178" s="52"/>
      <c r="UCA178" s="52"/>
      <c r="UCB178" s="52"/>
      <c r="UCC178" s="52"/>
      <c r="UCD178" s="52"/>
      <c r="UCE178" s="52"/>
      <c r="UCF178" s="52"/>
      <c r="UCG178" s="52"/>
      <c r="UCH178" s="52"/>
      <c r="UCI178" s="52"/>
      <c r="UCJ178" s="52"/>
      <c r="UCK178" s="52"/>
      <c r="UCL178" s="52"/>
      <c r="UCM178" s="52"/>
      <c r="UCN178" s="52"/>
      <c r="UCO178" s="52"/>
      <c r="UCP178" s="52"/>
      <c r="UCQ178" s="52"/>
      <c r="UCR178" s="52"/>
      <c r="UCS178" s="52"/>
      <c r="UCT178" s="52"/>
      <c r="UCU178" s="52"/>
      <c r="UCV178" s="52"/>
      <c r="UCW178" s="52"/>
      <c r="UCX178" s="52"/>
      <c r="UCY178" s="52"/>
      <c r="UCZ178" s="52"/>
      <c r="UDA178" s="52"/>
      <c r="UDB178" s="52"/>
      <c r="UDC178" s="52"/>
      <c r="UDD178" s="52"/>
      <c r="UDE178" s="52"/>
      <c r="UDF178" s="52"/>
      <c r="UDG178" s="52"/>
      <c r="UDH178" s="52"/>
      <c r="UDI178" s="52"/>
      <c r="UDJ178" s="52"/>
      <c r="UDK178" s="52"/>
      <c r="UDL178" s="52"/>
      <c r="UDM178" s="52"/>
      <c r="UDN178" s="52"/>
      <c r="UDO178" s="52"/>
      <c r="UDP178" s="52"/>
      <c r="UDQ178" s="52"/>
      <c r="UDR178" s="52"/>
      <c r="UDS178" s="52"/>
      <c r="UDT178" s="52"/>
      <c r="UDU178" s="52"/>
      <c r="UDV178" s="52"/>
      <c r="UDW178" s="52"/>
      <c r="UDX178" s="52"/>
      <c r="UDY178" s="52"/>
      <c r="UDZ178" s="52"/>
      <c r="UEA178" s="52"/>
      <c r="UEB178" s="52"/>
      <c r="UEC178" s="52"/>
      <c r="UED178" s="52"/>
      <c r="UEE178" s="52"/>
      <c r="UEF178" s="52"/>
      <c r="UEG178" s="52"/>
      <c r="UEH178" s="52"/>
      <c r="UEI178" s="52"/>
      <c r="UEJ178" s="52"/>
      <c r="UEK178" s="52"/>
      <c r="UEL178" s="52"/>
      <c r="UEM178" s="52"/>
      <c r="UEN178" s="52"/>
      <c r="UEO178" s="52"/>
      <c r="UEP178" s="52"/>
      <c r="UEQ178" s="52"/>
      <c r="UER178" s="52"/>
      <c r="UES178" s="52"/>
      <c r="UET178" s="52"/>
      <c r="UEU178" s="52"/>
      <c r="UEV178" s="52"/>
      <c r="UEW178" s="52"/>
      <c r="UEX178" s="52"/>
      <c r="UEY178" s="52"/>
      <c r="UEZ178" s="52"/>
      <c r="UFA178" s="52"/>
      <c r="UFB178" s="52"/>
      <c r="UFC178" s="52"/>
      <c r="UFD178" s="52"/>
      <c r="UFE178" s="52"/>
      <c r="UFF178" s="52"/>
      <c r="UFG178" s="52"/>
      <c r="UFH178" s="52"/>
      <c r="UFI178" s="52"/>
      <c r="UFJ178" s="52"/>
      <c r="UFK178" s="52"/>
      <c r="UFL178" s="52"/>
      <c r="UFM178" s="52"/>
      <c r="UFN178" s="52"/>
      <c r="UFO178" s="52"/>
      <c r="UFP178" s="52"/>
      <c r="UFQ178" s="52"/>
      <c r="UFR178" s="52"/>
      <c r="UFS178" s="52"/>
      <c r="UFT178" s="52"/>
      <c r="UFU178" s="52"/>
      <c r="UFV178" s="52"/>
      <c r="UFW178" s="52"/>
      <c r="UFX178" s="52"/>
      <c r="UFY178" s="52"/>
      <c r="UFZ178" s="52"/>
      <c r="UGA178" s="52"/>
      <c r="UGB178" s="52"/>
      <c r="UGC178" s="52"/>
      <c r="UGD178" s="52"/>
      <c r="UGE178" s="52"/>
      <c r="UGF178" s="52"/>
      <c r="UGG178" s="52"/>
      <c r="UGH178" s="52"/>
      <c r="UGI178" s="52"/>
      <c r="UGJ178" s="52"/>
      <c r="UGK178" s="52"/>
      <c r="UGL178" s="52"/>
      <c r="UGM178" s="52"/>
      <c r="UGN178" s="52"/>
      <c r="UGO178" s="52"/>
      <c r="UGP178" s="52"/>
      <c r="UGQ178" s="52"/>
      <c r="UGR178" s="52"/>
      <c r="UGS178" s="52"/>
      <c r="UGT178" s="52"/>
      <c r="UGU178" s="52"/>
      <c r="UGV178" s="52"/>
      <c r="UGW178" s="52"/>
      <c r="UGX178" s="52"/>
      <c r="UGY178" s="52"/>
      <c r="UGZ178" s="52"/>
      <c r="UHA178" s="52"/>
      <c r="UHB178" s="52"/>
      <c r="UHC178" s="52"/>
      <c r="UHD178" s="52"/>
      <c r="UHE178" s="52"/>
      <c r="UHF178" s="52"/>
      <c r="UHG178" s="52"/>
      <c r="UHH178" s="52"/>
      <c r="UHI178" s="52"/>
      <c r="UHJ178" s="52"/>
      <c r="UHK178" s="52"/>
      <c r="UHL178" s="52"/>
      <c r="UHM178" s="52"/>
      <c r="UHN178" s="52"/>
      <c r="UHO178" s="52"/>
      <c r="UHP178" s="52"/>
      <c r="UHQ178" s="52"/>
      <c r="UHR178" s="52"/>
      <c r="UHS178" s="52"/>
      <c r="UHT178" s="52"/>
      <c r="UHU178" s="52"/>
      <c r="UHV178" s="52"/>
      <c r="UHW178" s="52"/>
      <c r="UHX178" s="52"/>
      <c r="UHY178" s="52"/>
      <c r="UHZ178" s="52"/>
      <c r="UIA178" s="52"/>
      <c r="UIB178" s="52"/>
      <c r="UIC178" s="52"/>
      <c r="UID178" s="52"/>
      <c r="UIE178" s="52"/>
      <c r="UIF178" s="52"/>
      <c r="UIG178" s="52"/>
      <c r="UIH178" s="52"/>
      <c r="UII178" s="52"/>
      <c r="UIJ178" s="52"/>
      <c r="UIK178" s="52"/>
      <c r="UIL178" s="52"/>
      <c r="UIM178" s="52"/>
      <c r="UIN178" s="52"/>
      <c r="UIO178" s="52"/>
      <c r="UIP178" s="52"/>
      <c r="UIQ178" s="52"/>
      <c r="UIR178" s="52"/>
      <c r="UIS178" s="52"/>
      <c r="UIT178" s="52"/>
      <c r="UIU178" s="52"/>
      <c r="UIV178" s="52"/>
      <c r="UIW178" s="52"/>
      <c r="UIX178" s="52"/>
      <c r="UIY178" s="52"/>
      <c r="UIZ178" s="52"/>
      <c r="UJA178" s="52"/>
      <c r="UJB178" s="52"/>
      <c r="UJC178" s="52"/>
      <c r="UJD178" s="52"/>
      <c r="UJE178" s="52"/>
      <c r="UJF178" s="52"/>
      <c r="UJG178" s="52"/>
      <c r="UJH178" s="52"/>
      <c r="UJI178" s="52"/>
      <c r="UJJ178" s="52"/>
      <c r="UJK178" s="52"/>
      <c r="UJL178" s="52"/>
      <c r="UJM178" s="52"/>
      <c r="UJN178" s="52"/>
      <c r="UJO178" s="52"/>
      <c r="UJP178" s="52"/>
      <c r="UJQ178" s="52"/>
      <c r="UJR178" s="52"/>
      <c r="UJS178" s="52"/>
      <c r="UJT178" s="52"/>
      <c r="UJU178" s="52"/>
      <c r="UJV178" s="52"/>
      <c r="UJW178" s="52"/>
      <c r="UJX178" s="52"/>
      <c r="UJY178" s="52"/>
      <c r="UJZ178" s="52"/>
      <c r="UKA178" s="52"/>
      <c r="UKB178" s="52"/>
      <c r="UKC178" s="52"/>
      <c r="UKD178" s="52"/>
      <c r="UKE178" s="52"/>
      <c r="UKF178" s="52"/>
      <c r="UKG178" s="52"/>
      <c r="UKH178" s="52"/>
      <c r="UKI178" s="52"/>
      <c r="UKJ178" s="52"/>
      <c r="UKK178" s="52"/>
      <c r="UKL178" s="52"/>
      <c r="UKM178" s="52"/>
      <c r="UKN178" s="52"/>
      <c r="UKO178" s="52"/>
      <c r="UKP178" s="52"/>
      <c r="UKQ178" s="52"/>
      <c r="UKR178" s="52"/>
      <c r="UKS178" s="52"/>
      <c r="UKT178" s="52"/>
      <c r="UKU178" s="52"/>
      <c r="UKV178" s="52"/>
      <c r="UKW178" s="52"/>
      <c r="UKX178" s="52"/>
      <c r="UKY178" s="52"/>
      <c r="UKZ178" s="52"/>
      <c r="ULA178" s="52"/>
      <c r="ULB178" s="52"/>
      <c r="ULC178" s="52"/>
      <c r="ULD178" s="52"/>
      <c r="ULE178" s="52"/>
      <c r="ULF178" s="52"/>
      <c r="ULG178" s="52"/>
      <c r="ULH178" s="52"/>
      <c r="ULI178" s="52"/>
      <c r="ULJ178" s="52"/>
      <c r="ULK178" s="52"/>
      <c r="ULL178" s="52"/>
      <c r="ULM178" s="52"/>
      <c r="ULN178" s="52"/>
      <c r="ULO178" s="52"/>
      <c r="ULP178" s="52"/>
      <c r="ULQ178" s="52"/>
      <c r="ULR178" s="52"/>
      <c r="ULS178" s="52"/>
      <c r="ULT178" s="52"/>
      <c r="ULU178" s="52"/>
      <c r="ULV178" s="52"/>
      <c r="ULW178" s="52"/>
      <c r="ULX178" s="52"/>
      <c r="ULY178" s="52"/>
      <c r="ULZ178" s="52"/>
      <c r="UMA178" s="52"/>
      <c r="UMB178" s="52"/>
      <c r="UMC178" s="52"/>
      <c r="UMD178" s="52"/>
      <c r="UME178" s="52"/>
      <c r="UMF178" s="52"/>
      <c r="UMG178" s="52"/>
      <c r="UMH178" s="52"/>
      <c r="UMI178" s="52"/>
      <c r="UMJ178" s="52"/>
      <c r="UMK178" s="52"/>
      <c r="UML178" s="52"/>
      <c r="UMM178" s="52"/>
      <c r="UMN178" s="52"/>
      <c r="UMO178" s="52"/>
      <c r="UMP178" s="52"/>
      <c r="UMQ178" s="52"/>
      <c r="UMR178" s="52"/>
      <c r="UMS178" s="52"/>
      <c r="UMT178" s="52"/>
      <c r="UMU178" s="52"/>
      <c r="UMV178" s="52"/>
      <c r="UMW178" s="52"/>
      <c r="UMX178" s="52"/>
      <c r="UMY178" s="52"/>
      <c r="UMZ178" s="52"/>
      <c r="UNA178" s="52"/>
      <c r="UNB178" s="52"/>
      <c r="UNC178" s="52"/>
      <c r="UND178" s="52"/>
      <c r="UNE178" s="52"/>
      <c r="UNF178" s="52"/>
      <c r="UNG178" s="52"/>
      <c r="UNH178" s="52"/>
      <c r="UNI178" s="52"/>
      <c r="UNJ178" s="52"/>
      <c r="UNK178" s="52"/>
      <c r="UNL178" s="52"/>
      <c r="UNM178" s="52"/>
      <c r="UNN178" s="52"/>
      <c r="UNO178" s="52"/>
      <c r="UNP178" s="52"/>
      <c r="UNQ178" s="52"/>
      <c r="UNR178" s="52"/>
      <c r="UNS178" s="52"/>
      <c r="UNT178" s="52"/>
      <c r="UNU178" s="52"/>
      <c r="UNV178" s="52"/>
      <c r="UNW178" s="52"/>
      <c r="UNX178" s="52"/>
      <c r="UNY178" s="52"/>
      <c r="UNZ178" s="52"/>
      <c r="UOA178" s="52"/>
      <c r="UOB178" s="52"/>
      <c r="UOC178" s="52"/>
      <c r="UOD178" s="52"/>
      <c r="UOE178" s="52"/>
      <c r="UOF178" s="52"/>
      <c r="UOG178" s="52"/>
      <c r="UOH178" s="52"/>
      <c r="UOI178" s="52"/>
      <c r="UOJ178" s="52"/>
      <c r="UOK178" s="52"/>
      <c r="UOL178" s="52"/>
      <c r="UOM178" s="52"/>
      <c r="UON178" s="52"/>
      <c r="UOO178" s="52"/>
      <c r="UOP178" s="52"/>
      <c r="UOQ178" s="52"/>
      <c r="UOR178" s="52"/>
      <c r="UOS178" s="52"/>
      <c r="UOT178" s="52"/>
      <c r="UOU178" s="52"/>
      <c r="UOV178" s="52"/>
      <c r="UOW178" s="52"/>
      <c r="UOX178" s="52"/>
      <c r="UOY178" s="52"/>
      <c r="UOZ178" s="52"/>
      <c r="UPA178" s="52"/>
      <c r="UPB178" s="52"/>
      <c r="UPC178" s="52"/>
      <c r="UPD178" s="52"/>
      <c r="UPE178" s="52"/>
      <c r="UPF178" s="52"/>
      <c r="UPG178" s="52"/>
      <c r="UPH178" s="52"/>
      <c r="UPI178" s="52"/>
      <c r="UPJ178" s="52"/>
      <c r="UPK178" s="52"/>
      <c r="UPL178" s="52"/>
      <c r="UPM178" s="52"/>
      <c r="UPN178" s="52"/>
      <c r="UPO178" s="52"/>
      <c r="UPP178" s="52"/>
      <c r="UPQ178" s="52"/>
      <c r="UPR178" s="52"/>
      <c r="UPS178" s="52"/>
      <c r="UPT178" s="52"/>
      <c r="UPU178" s="52"/>
      <c r="UPV178" s="52"/>
      <c r="UPW178" s="52"/>
      <c r="UPX178" s="52"/>
      <c r="UPY178" s="52"/>
      <c r="UPZ178" s="52"/>
      <c r="UQA178" s="52"/>
      <c r="UQB178" s="52"/>
      <c r="UQC178" s="52"/>
      <c r="UQD178" s="52"/>
      <c r="UQE178" s="52"/>
      <c r="UQF178" s="52"/>
      <c r="UQG178" s="52"/>
      <c r="UQH178" s="52"/>
      <c r="UQI178" s="52"/>
      <c r="UQJ178" s="52"/>
      <c r="UQK178" s="52"/>
      <c r="UQL178" s="52"/>
      <c r="UQM178" s="52"/>
      <c r="UQN178" s="52"/>
      <c r="UQO178" s="52"/>
      <c r="UQP178" s="52"/>
      <c r="UQQ178" s="52"/>
      <c r="UQR178" s="52"/>
      <c r="UQS178" s="52"/>
      <c r="UQT178" s="52"/>
      <c r="UQU178" s="52"/>
      <c r="UQV178" s="52"/>
      <c r="UQW178" s="52"/>
      <c r="UQX178" s="52"/>
      <c r="UQY178" s="52"/>
      <c r="UQZ178" s="52"/>
      <c r="URA178" s="52"/>
      <c r="URB178" s="52"/>
      <c r="URC178" s="52"/>
      <c r="URD178" s="52"/>
      <c r="URE178" s="52"/>
      <c r="URF178" s="52"/>
      <c r="URG178" s="52"/>
      <c r="URH178" s="52"/>
      <c r="URI178" s="52"/>
      <c r="URJ178" s="52"/>
      <c r="URK178" s="52"/>
      <c r="URL178" s="52"/>
      <c r="URM178" s="52"/>
      <c r="URN178" s="52"/>
      <c r="URO178" s="52"/>
      <c r="URP178" s="52"/>
      <c r="URQ178" s="52"/>
      <c r="URR178" s="52"/>
      <c r="URS178" s="52"/>
      <c r="URT178" s="52"/>
      <c r="URU178" s="52"/>
      <c r="URV178" s="52"/>
      <c r="URW178" s="52"/>
      <c r="URX178" s="52"/>
      <c r="URY178" s="52"/>
      <c r="URZ178" s="52"/>
      <c r="USA178" s="52"/>
      <c r="USB178" s="52"/>
      <c r="USC178" s="52"/>
      <c r="USD178" s="52"/>
      <c r="USE178" s="52"/>
      <c r="USF178" s="52"/>
      <c r="USG178" s="52"/>
      <c r="USH178" s="52"/>
      <c r="USI178" s="52"/>
      <c r="USJ178" s="52"/>
      <c r="USK178" s="52"/>
      <c r="USL178" s="52"/>
      <c r="USM178" s="52"/>
      <c r="USN178" s="52"/>
      <c r="USO178" s="52"/>
      <c r="USP178" s="52"/>
      <c r="USQ178" s="52"/>
      <c r="USR178" s="52"/>
      <c r="USS178" s="52"/>
      <c r="UST178" s="52"/>
      <c r="USU178" s="52"/>
      <c r="USV178" s="52"/>
      <c r="USW178" s="52"/>
      <c r="USX178" s="52"/>
      <c r="USY178" s="52"/>
      <c r="USZ178" s="52"/>
      <c r="UTA178" s="52"/>
      <c r="UTB178" s="52"/>
      <c r="UTC178" s="52"/>
      <c r="UTD178" s="52"/>
      <c r="UTE178" s="52"/>
      <c r="UTF178" s="52"/>
      <c r="UTG178" s="52"/>
      <c r="UTH178" s="52"/>
      <c r="UTI178" s="52"/>
      <c r="UTJ178" s="52"/>
      <c r="UTK178" s="52"/>
      <c r="UTL178" s="52"/>
      <c r="UTM178" s="52"/>
      <c r="UTN178" s="52"/>
      <c r="UTO178" s="52"/>
      <c r="UTP178" s="52"/>
      <c r="UTQ178" s="52"/>
      <c r="UTR178" s="52"/>
      <c r="UTS178" s="52"/>
      <c r="UTT178" s="52"/>
      <c r="UTU178" s="52"/>
      <c r="UTV178" s="52"/>
      <c r="UTW178" s="52"/>
      <c r="UTX178" s="52"/>
      <c r="UTY178" s="52"/>
      <c r="UTZ178" s="52"/>
      <c r="UUA178" s="52"/>
      <c r="UUB178" s="52"/>
      <c r="UUC178" s="52"/>
      <c r="UUD178" s="52"/>
      <c r="UUE178" s="52"/>
      <c r="UUF178" s="52"/>
      <c r="UUG178" s="52"/>
      <c r="UUH178" s="52"/>
      <c r="UUI178" s="52"/>
      <c r="UUJ178" s="52"/>
      <c r="UUK178" s="52"/>
      <c r="UUL178" s="52"/>
      <c r="UUM178" s="52"/>
      <c r="UUN178" s="52"/>
      <c r="UUO178" s="52"/>
      <c r="UUP178" s="52"/>
      <c r="UUQ178" s="52"/>
      <c r="UUR178" s="52"/>
      <c r="UUS178" s="52"/>
      <c r="UUT178" s="52"/>
      <c r="UUU178" s="52"/>
      <c r="UUV178" s="52"/>
      <c r="UUW178" s="52"/>
      <c r="UUX178" s="52"/>
      <c r="UUY178" s="52"/>
      <c r="UUZ178" s="52"/>
      <c r="UVA178" s="52"/>
      <c r="UVB178" s="52"/>
      <c r="UVC178" s="52"/>
      <c r="UVD178" s="52"/>
      <c r="UVE178" s="52"/>
      <c r="UVF178" s="52"/>
      <c r="UVG178" s="52"/>
      <c r="UVH178" s="52"/>
      <c r="UVI178" s="52"/>
      <c r="UVJ178" s="52"/>
      <c r="UVK178" s="52"/>
      <c r="UVL178" s="52"/>
      <c r="UVM178" s="52"/>
      <c r="UVN178" s="52"/>
      <c r="UVO178" s="52"/>
      <c r="UVP178" s="52"/>
      <c r="UVQ178" s="52"/>
      <c r="UVR178" s="52"/>
      <c r="UVS178" s="52"/>
      <c r="UVT178" s="52"/>
      <c r="UVU178" s="52"/>
      <c r="UVV178" s="52"/>
      <c r="UVW178" s="52"/>
      <c r="UVX178" s="52"/>
      <c r="UVY178" s="52"/>
      <c r="UVZ178" s="52"/>
      <c r="UWA178" s="52"/>
      <c r="UWB178" s="52"/>
      <c r="UWC178" s="52"/>
      <c r="UWD178" s="52"/>
      <c r="UWE178" s="52"/>
      <c r="UWF178" s="52"/>
      <c r="UWG178" s="52"/>
      <c r="UWH178" s="52"/>
      <c r="UWI178" s="52"/>
      <c r="UWJ178" s="52"/>
      <c r="UWK178" s="52"/>
      <c r="UWL178" s="52"/>
      <c r="UWM178" s="52"/>
      <c r="UWN178" s="52"/>
      <c r="UWO178" s="52"/>
      <c r="UWP178" s="52"/>
      <c r="UWQ178" s="52"/>
      <c r="UWR178" s="52"/>
      <c r="UWS178" s="52"/>
      <c r="UWT178" s="52"/>
      <c r="UWU178" s="52"/>
      <c r="UWV178" s="52"/>
      <c r="UWW178" s="52"/>
      <c r="UWX178" s="52"/>
      <c r="UWY178" s="52"/>
      <c r="UWZ178" s="52"/>
      <c r="UXA178" s="52"/>
      <c r="UXB178" s="52"/>
      <c r="UXC178" s="52"/>
      <c r="UXD178" s="52"/>
      <c r="UXE178" s="52"/>
      <c r="UXF178" s="52"/>
      <c r="UXG178" s="52"/>
      <c r="UXH178" s="52"/>
      <c r="UXI178" s="52"/>
      <c r="UXJ178" s="52"/>
      <c r="UXK178" s="52"/>
      <c r="UXL178" s="52"/>
      <c r="UXM178" s="52"/>
      <c r="UXN178" s="52"/>
      <c r="UXO178" s="52"/>
      <c r="UXP178" s="52"/>
      <c r="UXQ178" s="52"/>
      <c r="UXR178" s="52"/>
      <c r="UXS178" s="52"/>
      <c r="UXT178" s="52"/>
      <c r="UXU178" s="52"/>
      <c r="UXV178" s="52"/>
      <c r="UXW178" s="52"/>
      <c r="UXX178" s="52"/>
      <c r="UXY178" s="52"/>
      <c r="UXZ178" s="52"/>
      <c r="UYA178" s="52"/>
      <c r="UYB178" s="52"/>
      <c r="UYC178" s="52"/>
      <c r="UYD178" s="52"/>
      <c r="UYE178" s="52"/>
      <c r="UYF178" s="52"/>
      <c r="UYG178" s="52"/>
      <c r="UYH178" s="52"/>
      <c r="UYI178" s="52"/>
      <c r="UYJ178" s="52"/>
      <c r="UYK178" s="52"/>
      <c r="UYL178" s="52"/>
      <c r="UYM178" s="52"/>
      <c r="UYN178" s="52"/>
      <c r="UYO178" s="52"/>
      <c r="UYP178" s="52"/>
      <c r="UYQ178" s="52"/>
      <c r="UYR178" s="52"/>
      <c r="UYS178" s="52"/>
      <c r="UYT178" s="52"/>
      <c r="UYU178" s="52"/>
      <c r="UYV178" s="52"/>
      <c r="UYW178" s="52"/>
      <c r="UYX178" s="52"/>
      <c r="UYY178" s="52"/>
      <c r="UYZ178" s="52"/>
      <c r="UZA178" s="52"/>
      <c r="UZB178" s="52"/>
      <c r="UZC178" s="52"/>
      <c r="UZD178" s="52"/>
      <c r="UZE178" s="52"/>
      <c r="UZF178" s="52"/>
      <c r="UZG178" s="52"/>
      <c r="UZH178" s="52"/>
      <c r="UZI178" s="52"/>
      <c r="UZJ178" s="52"/>
      <c r="UZK178" s="52"/>
      <c r="UZL178" s="52"/>
      <c r="UZM178" s="52"/>
      <c r="UZN178" s="52"/>
      <c r="UZO178" s="52"/>
      <c r="UZP178" s="52"/>
      <c r="UZQ178" s="52"/>
      <c r="UZR178" s="52"/>
      <c r="UZS178" s="52"/>
      <c r="UZT178" s="52"/>
      <c r="UZU178" s="52"/>
      <c r="UZV178" s="52"/>
      <c r="UZW178" s="52"/>
      <c r="UZX178" s="52"/>
      <c r="UZY178" s="52"/>
      <c r="UZZ178" s="52"/>
      <c r="VAA178" s="52"/>
      <c r="VAB178" s="52"/>
      <c r="VAC178" s="52"/>
      <c r="VAD178" s="52"/>
      <c r="VAE178" s="52"/>
      <c r="VAF178" s="52"/>
      <c r="VAG178" s="52"/>
      <c r="VAH178" s="52"/>
      <c r="VAI178" s="52"/>
      <c r="VAJ178" s="52"/>
      <c r="VAK178" s="52"/>
      <c r="VAL178" s="52"/>
      <c r="VAM178" s="52"/>
      <c r="VAN178" s="52"/>
      <c r="VAO178" s="52"/>
      <c r="VAP178" s="52"/>
      <c r="VAQ178" s="52"/>
      <c r="VAR178" s="52"/>
      <c r="VAS178" s="52"/>
      <c r="VAT178" s="52"/>
      <c r="VAU178" s="52"/>
      <c r="VAV178" s="52"/>
      <c r="VAW178" s="52"/>
      <c r="VAX178" s="52"/>
      <c r="VAY178" s="52"/>
      <c r="VAZ178" s="52"/>
      <c r="VBA178" s="52"/>
      <c r="VBB178" s="52"/>
      <c r="VBC178" s="52"/>
      <c r="VBD178" s="52"/>
      <c r="VBE178" s="52"/>
      <c r="VBF178" s="52"/>
      <c r="VBG178" s="52"/>
      <c r="VBH178" s="52"/>
      <c r="VBI178" s="52"/>
      <c r="VBJ178" s="52"/>
      <c r="VBK178" s="52"/>
      <c r="VBL178" s="52"/>
      <c r="VBM178" s="52"/>
      <c r="VBN178" s="52"/>
      <c r="VBO178" s="52"/>
      <c r="VBP178" s="52"/>
      <c r="VBQ178" s="52"/>
      <c r="VBR178" s="52"/>
      <c r="VBS178" s="52"/>
      <c r="VBT178" s="52"/>
      <c r="VBU178" s="52"/>
      <c r="VBV178" s="52"/>
      <c r="VBW178" s="52"/>
      <c r="VBX178" s="52"/>
      <c r="VBY178" s="52"/>
      <c r="VBZ178" s="52"/>
      <c r="VCA178" s="52"/>
      <c r="VCB178" s="52"/>
      <c r="VCC178" s="52"/>
      <c r="VCD178" s="52"/>
      <c r="VCE178" s="52"/>
      <c r="VCF178" s="52"/>
      <c r="VCG178" s="52"/>
      <c r="VCH178" s="52"/>
      <c r="VCI178" s="52"/>
      <c r="VCJ178" s="52"/>
      <c r="VCK178" s="52"/>
      <c r="VCL178" s="52"/>
      <c r="VCM178" s="52"/>
      <c r="VCN178" s="52"/>
      <c r="VCO178" s="52"/>
      <c r="VCP178" s="52"/>
      <c r="VCQ178" s="52"/>
      <c r="VCR178" s="52"/>
      <c r="VCS178" s="52"/>
      <c r="VCT178" s="52"/>
      <c r="VCU178" s="52"/>
      <c r="VCV178" s="52"/>
      <c r="VCW178" s="52"/>
      <c r="VCX178" s="52"/>
      <c r="VCY178" s="52"/>
      <c r="VCZ178" s="52"/>
      <c r="VDA178" s="52"/>
      <c r="VDB178" s="52"/>
      <c r="VDC178" s="52"/>
      <c r="VDD178" s="52"/>
      <c r="VDE178" s="52"/>
      <c r="VDF178" s="52"/>
      <c r="VDG178" s="52"/>
      <c r="VDH178" s="52"/>
      <c r="VDI178" s="52"/>
      <c r="VDJ178" s="52"/>
      <c r="VDK178" s="52"/>
      <c r="VDL178" s="52"/>
      <c r="VDM178" s="52"/>
      <c r="VDN178" s="52"/>
      <c r="VDO178" s="52"/>
      <c r="VDP178" s="52"/>
      <c r="VDQ178" s="52"/>
      <c r="VDR178" s="52"/>
      <c r="VDS178" s="52"/>
      <c r="VDT178" s="52"/>
      <c r="VDU178" s="52"/>
      <c r="VDV178" s="52"/>
      <c r="VDW178" s="52"/>
      <c r="VDX178" s="52"/>
      <c r="VDY178" s="52"/>
      <c r="VDZ178" s="52"/>
      <c r="VEA178" s="52"/>
      <c r="VEB178" s="52"/>
      <c r="VEC178" s="52"/>
      <c r="VED178" s="52"/>
      <c r="VEE178" s="52"/>
      <c r="VEF178" s="52"/>
      <c r="VEG178" s="52"/>
      <c r="VEH178" s="52"/>
      <c r="VEI178" s="52"/>
      <c r="VEJ178" s="52"/>
      <c r="VEK178" s="52"/>
      <c r="VEL178" s="52"/>
      <c r="VEM178" s="52"/>
      <c r="VEN178" s="52"/>
      <c r="VEO178" s="52"/>
      <c r="VEP178" s="52"/>
      <c r="VEQ178" s="52"/>
      <c r="VER178" s="52"/>
      <c r="VES178" s="52"/>
      <c r="VET178" s="52"/>
      <c r="VEU178" s="52"/>
      <c r="VEV178" s="52"/>
      <c r="VEW178" s="52"/>
      <c r="VEX178" s="52"/>
      <c r="VEY178" s="52"/>
      <c r="VEZ178" s="52"/>
      <c r="VFA178" s="52"/>
      <c r="VFB178" s="52"/>
      <c r="VFC178" s="52"/>
      <c r="VFD178" s="52"/>
      <c r="VFE178" s="52"/>
      <c r="VFF178" s="52"/>
      <c r="VFG178" s="52"/>
      <c r="VFH178" s="52"/>
      <c r="VFI178" s="52"/>
      <c r="VFJ178" s="52"/>
      <c r="VFK178" s="52"/>
      <c r="VFL178" s="52"/>
      <c r="VFM178" s="52"/>
      <c r="VFN178" s="52"/>
      <c r="VFO178" s="52"/>
      <c r="VFP178" s="52"/>
      <c r="VFQ178" s="52"/>
      <c r="VFR178" s="52"/>
      <c r="VFS178" s="52"/>
      <c r="VFT178" s="52"/>
      <c r="VFU178" s="52"/>
      <c r="VFV178" s="52"/>
      <c r="VFW178" s="52"/>
      <c r="VFX178" s="52"/>
      <c r="VFY178" s="52"/>
      <c r="VFZ178" s="52"/>
      <c r="VGA178" s="52"/>
      <c r="VGB178" s="52"/>
      <c r="VGC178" s="52"/>
      <c r="VGD178" s="52"/>
      <c r="VGE178" s="52"/>
      <c r="VGF178" s="52"/>
      <c r="VGG178" s="52"/>
      <c r="VGH178" s="52"/>
      <c r="VGI178" s="52"/>
      <c r="VGJ178" s="52"/>
      <c r="VGK178" s="52"/>
      <c r="VGL178" s="52"/>
      <c r="VGM178" s="52"/>
      <c r="VGN178" s="52"/>
      <c r="VGO178" s="52"/>
      <c r="VGP178" s="52"/>
      <c r="VGQ178" s="52"/>
      <c r="VGR178" s="52"/>
      <c r="VGS178" s="52"/>
      <c r="VGT178" s="52"/>
      <c r="VGU178" s="52"/>
      <c r="VGV178" s="52"/>
      <c r="VGW178" s="52"/>
      <c r="VGX178" s="52"/>
      <c r="VGY178" s="52"/>
      <c r="VGZ178" s="52"/>
      <c r="VHA178" s="52"/>
      <c r="VHB178" s="52"/>
      <c r="VHC178" s="52"/>
      <c r="VHD178" s="52"/>
      <c r="VHE178" s="52"/>
      <c r="VHF178" s="52"/>
      <c r="VHG178" s="52"/>
      <c r="VHH178" s="52"/>
      <c r="VHI178" s="52"/>
      <c r="VHJ178" s="52"/>
      <c r="VHK178" s="52"/>
      <c r="VHL178" s="52"/>
      <c r="VHM178" s="52"/>
      <c r="VHN178" s="52"/>
      <c r="VHO178" s="52"/>
      <c r="VHP178" s="52"/>
      <c r="VHQ178" s="52"/>
      <c r="VHR178" s="52"/>
      <c r="VHS178" s="52"/>
      <c r="VHT178" s="52"/>
      <c r="VHU178" s="52"/>
      <c r="VHV178" s="52"/>
      <c r="VHW178" s="52"/>
      <c r="VHX178" s="52"/>
      <c r="VHY178" s="52"/>
      <c r="VHZ178" s="52"/>
      <c r="VIA178" s="52"/>
      <c r="VIB178" s="52"/>
      <c r="VIC178" s="52"/>
      <c r="VID178" s="52"/>
      <c r="VIE178" s="52"/>
      <c r="VIF178" s="52"/>
      <c r="VIG178" s="52"/>
      <c r="VIH178" s="52"/>
      <c r="VII178" s="52"/>
      <c r="VIJ178" s="52"/>
      <c r="VIK178" s="52"/>
      <c r="VIL178" s="52"/>
      <c r="VIM178" s="52"/>
      <c r="VIN178" s="52"/>
      <c r="VIO178" s="52"/>
      <c r="VIP178" s="52"/>
      <c r="VIQ178" s="52"/>
      <c r="VIR178" s="52"/>
      <c r="VIS178" s="52"/>
      <c r="VIT178" s="52"/>
      <c r="VIU178" s="52"/>
      <c r="VIV178" s="52"/>
      <c r="VIW178" s="52"/>
      <c r="VIX178" s="52"/>
      <c r="VIY178" s="52"/>
      <c r="VIZ178" s="52"/>
      <c r="VJA178" s="52"/>
      <c r="VJB178" s="52"/>
      <c r="VJC178" s="52"/>
      <c r="VJD178" s="52"/>
      <c r="VJE178" s="52"/>
      <c r="VJF178" s="52"/>
      <c r="VJG178" s="52"/>
      <c r="VJH178" s="52"/>
      <c r="VJI178" s="52"/>
      <c r="VJJ178" s="52"/>
      <c r="VJK178" s="52"/>
      <c r="VJL178" s="52"/>
      <c r="VJM178" s="52"/>
      <c r="VJN178" s="52"/>
      <c r="VJO178" s="52"/>
      <c r="VJP178" s="52"/>
      <c r="VJQ178" s="52"/>
      <c r="VJR178" s="52"/>
      <c r="VJS178" s="52"/>
      <c r="VJT178" s="52"/>
      <c r="VJU178" s="52"/>
      <c r="VJV178" s="52"/>
      <c r="VJW178" s="52"/>
      <c r="VJX178" s="52"/>
      <c r="VJY178" s="52"/>
      <c r="VJZ178" s="52"/>
      <c r="VKA178" s="52"/>
      <c r="VKB178" s="52"/>
      <c r="VKC178" s="52"/>
      <c r="VKD178" s="52"/>
      <c r="VKE178" s="52"/>
      <c r="VKF178" s="52"/>
      <c r="VKG178" s="52"/>
      <c r="VKH178" s="52"/>
      <c r="VKI178" s="52"/>
      <c r="VKJ178" s="52"/>
      <c r="VKK178" s="52"/>
      <c r="VKL178" s="52"/>
      <c r="VKM178" s="52"/>
      <c r="VKN178" s="52"/>
      <c r="VKO178" s="52"/>
      <c r="VKP178" s="52"/>
      <c r="VKQ178" s="52"/>
      <c r="VKR178" s="52"/>
      <c r="VKS178" s="52"/>
      <c r="VKT178" s="52"/>
      <c r="VKU178" s="52"/>
      <c r="VKV178" s="52"/>
      <c r="VKW178" s="52"/>
      <c r="VKX178" s="52"/>
      <c r="VKY178" s="52"/>
      <c r="VKZ178" s="52"/>
      <c r="VLA178" s="52"/>
      <c r="VLB178" s="52"/>
      <c r="VLC178" s="52"/>
      <c r="VLD178" s="52"/>
      <c r="VLE178" s="52"/>
      <c r="VLF178" s="52"/>
      <c r="VLG178" s="52"/>
      <c r="VLH178" s="52"/>
      <c r="VLI178" s="52"/>
      <c r="VLJ178" s="52"/>
      <c r="VLK178" s="52"/>
      <c r="VLL178" s="52"/>
      <c r="VLM178" s="52"/>
      <c r="VLN178" s="52"/>
      <c r="VLO178" s="52"/>
      <c r="VLP178" s="52"/>
      <c r="VLQ178" s="52"/>
      <c r="VLR178" s="52"/>
      <c r="VLS178" s="52"/>
      <c r="VLT178" s="52"/>
      <c r="VLU178" s="52"/>
      <c r="VLV178" s="52"/>
      <c r="VLW178" s="52"/>
      <c r="VLX178" s="52"/>
      <c r="VLY178" s="52"/>
      <c r="VLZ178" s="52"/>
      <c r="VMA178" s="52"/>
      <c r="VMB178" s="52"/>
      <c r="VMC178" s="52"/>
      <c r="VMD178" s="52"/>
      <c r="VME178" s="52"/>
      <c r="VMF178" s="52"/>
      <c r="VMG178" s="52"/>
      <c r="VMH178" s="52"/>
      <c r="VMI178" s="52"/>
      <c r="VMJ178" s="52"/>
      <c r="VMK178" s="52"/>
      <c r="VML178" s="52"/>
      <c r="VMM178" s="52"/>
      <c r="VMN178" s="52"/>
      <c r="VMO178" s="52"/>
      <c r="VMP178" s="52"/>
      <c r="VMQ178" s="52"/>
      <c r="VMR178" s="52"/>
      <c r="VMS178" s="52"/>
      <c r="VMT178" s="52"/>
      <c r="VMU178" s="52"/>
      <c r="VMV178" s="52"/>
      <c r="VMW178" s="52"/>
      <c r="VMX178" s="52"/>
      <c r="VMY178" s="52"/>
      <c r="VMZ178" s="52"/>
      <c r="VNA178" s="52"/>
      <c r="VNB178" s="52"/>
      <c r="VNC178" s="52"/>
      <c r="VND178" s="52"/>
      <c r="VNE178" s="52"/>
      <c r="VNF178" s="52"/>
      <c r="VNG178" s="52"/>
      <c r="VNH178" s="52"/>
      <c r="VNI178" s="52"/>
      <c r="VNJ178" s="52"/>
      <c r="VNK178" s="52"/>
      <c r="VNL178" s="52"/>
      <c r="VNM178" s="52"/>
      <c r="VNN178" s="52"/>
      <c r="VNO178" s="52"/>
      <c r="VNP178" s="52"/>
      <c r="VNQ178" s="52"/>
      <c r="VNR178" s="52"/>
      <c r="VNS178" s="52"/>
      <c r="VNT178" s="52"/>
      <c r="VNU178" s="52"/>
      <c r="VNV178" s="52"/>
      <c r="VNW178" s="52"/>
      <c r="VNX178" s="52"/>
      <c r="VNY178" s="52"/>
      <c r="VNZ178" s="52"/>
      <c r="VOA178" s="52"/>
      <c r="VOB178" s="52"/>
      <c r="VOC178" s="52"/>
      <c r="VOD178" s="52"/>
      <c r="VOE178" s="52"/>
      <c r="VOF178" s="52"/>
      <c r="VOG178" s="52"/>
      <c r="VOH178" s="52"/>
      <c r="VOI178" s="52"/>
      <c r="VOJ178" s="52"/>
      <c r="VOK178" s="52"/>
      <c r="VOL178" s="52"/>
      <c r="VOM178" s="52"/>
      <c r="VON178" s="52"/>
      <c r="VOO178" s="52"/>
      <c r="VOP178" s="52"/>
      <c r="VOQ178" s="52"/>
      <c r="VOR178" s="52"/>
      <c r="VOS178" s="52"/>
      <c r="VOT178" s="52"/>
      <c r="VOU178" s="52"/>
      <c r="VOV178" s="52"/>
      <c r="VOW178" s="52"/>
      <c r="VOX178" s="52"/>
      <c r="VOY178" s="52"/>
      <c r="VOZ178" s="52"/>
      <c r="VPA178" s="52"/>
      <c r="VPB178" s="52"/>
      <c r="VPC178" s="52"/>
      <c r="VPD178" s="52"/>
      <c r="VPE178" s="52"/>
      <c r="VPF178" s="52"/>
      <c r="VPG178" s="52"/>
      <c r="VPH178" s="52"/>
      <c r="VPI178" s="52"/>
      <c r="VPJ178" s="52"/>
      <c r="VPK178" s="52"/>
      <c r="VPL178" s="52"/>
      <c r="VPM178" s="52"/>
      <c r="VPN178" s="52"/>
      <c r="VPO178" s="52"/>
      <c r="VPP178" s="52"/>
      <c r="VPQ178" s="52"/>
      <c r="VPR178" s="52"/>
      <c r="VPS178" s="52"/>
      <c r="VPT178" s="52"/>
      <c r="VPU178" s="52"/>
      <c r="VPV178" s="52"/>
      <c r="VPW178" s="52"/>
      <c r="VPX178" s="52"/>
      <c r="VPY178" s="52"/>
      <c r="VPZ178" s="52"/>
      <c r="VQA178" s="52"/>
      <c r="VQB178" s="52"/>
      <c r="VQC178" s="52"/>
      <c r="VQD178" s="52"/>
      <c r="VQE178" s="52"/>
      <c r="VQF178" s="52"/>
      <c r="VQG178" s="52"/>
      <c r="VQH178" s="52"/>
      <c r="VQI178" s="52"/>
      <c r="VQJ178" s="52"/>
      <c r="VQK178" s="52"/>
      <c r="VQL178" s="52"/>
      <c r="VQM178" s="52"/>
      <c r="VQN178" s="52"/>
      <c r="VQO178" s="52"/>
      <c r="VQP178" s="52"/>
      <c r="VQQ178" s="52"/>
      <c r="VQR178" s="52"/>
      <c r="VQS178" s="52"/>
      <c r="VQT178" s="52"/>
      <c r="VQU178" s="52"/>
      <c r="VQV178" s="52"/>
      <c r="VQW178" s="52"/>
      <c r="VQX178" s="52"/>
      <c r="VQY178" s="52"/>
      <c r="VQZ178" s="52"/>
      <c r="VRA178" s="52"/>
      <c r="VRB178" s="52"/>
      <c r="VRC178" s="52"/>
      <c r="VRD178" s="52"/>
      <c r="VRE178" s="52"/>
      <c r="VRF178" s="52"/>
      <c r="VRG178" s="52"/>
      <c r="VRH178" s="52"/>
      <c r="VRI178" s="52"/>
      <c r="VRJ178" s="52"/>
      <c r="VRK178" s="52"/>
      <c r="VRL178" s="52"/>
      <c r="VRM178" s="52"/>
      <c r="VRN178" s="52"/>
      <c r="VRO178" s="52"/>
      <c r="VRP178" s="52"/>
      <c r="VRQ178" s="52"/>
      <c r="VRR178" s="52"/>
      <c r="VRS178" s="52"/>
      <c r="VRT178" s="52"/>
      <c r="VRU178" s="52"/>
      <c r="VRV178" s="52"/>
      <c r="VRW178" s="52"/>
      <c r="VRX178" s="52"/>
      <c r="VRY178" s="52"/>
      <c r="VRZ178" s="52"/>
      <c r="VSA178" s="52"/>
      <c r="VSB178" s="52"/>
      <c r="VSC178" s="52"/>
      <c r="VSD178" s="52"/>
      <c r="VSE178" s="52"/>
      <c r="VSF178" s="52"/>
      <c r="VSG178" s="52"/>
      <c r="VSH178" s="52"/>
      <c r="VSI178" s="52"/>
      <c r="VSJ178" s="52"/>
      <c r="VSK178" s="52"/>
      <c r="VSL178" s="52"/>
      <c r="VSM178" s="52"/>
      <c r="VSN178" s="52"/>
      <c r="VSO178" s="52"/>
      <c r="VSP178" s="52"/>
      <c r="VSQ178" s="52"/>
      <c r="VSR178" s="52"/>
      <c r="VSS178" s="52"/>
      <c r="VST178" s="52"/>
      <c r="VSU178" s="52"/>
      <c r="VSV178" s="52"/>
      <c r="VSW178" s="52"/>
      <c r="VSX178" s="52"/>
      <c r="VSY178" s="52"/>
      <c r="VSZ178" s="52"/>
      <c r="VTA178" s="52"/>
      <c r="VTB178" s="52"/>
      <c r="VTC178" s="52"/>
      <c r="VTD178" s="52"/>
      <c r="VTE178" s="52"/>
      <c r="VTF178" s="52"/>
      <c r="VTG178" s="52"/>
      <c r="VTH178" s="52"/>
      <c r="VTI178" s="52"/>
      <c r="VTJ178" s="52"/>
      <c r="VTK178" s="52"/>
      <c r="VTL178" s="52"/>
      <c r="VTM178" s="52"/>
      <c r="VTN178" s="52"/>
      <c r="VTO178" s="52"/>
      <c r="VTP178" s="52"/>
      <c r="VTQ178" s="52"/>
      <c r="VTR178" s="52"/>
      <c r="VTS178" s="52"/>
      <c r="VTT178" s="66"/>
    </row>
    <row r="179" spans="1:15412" hidden="1" x14ac:dyDescent="0.25">
      <c r="A179" s="45" t="str">
        <f t="shared" si="10"/>
        <v>MIT723</v>
      </c>
      <c r="B179" s="55" t="s">
        <v>812</v>
      </c>
      <c r="C179" s="55" t="s">
        <v>96</v>
      </c>
      <c r="D179" s="54" t="s">
        <v>1524</v>
      </c>
      <c r="E179" s="47" t="s">
        <v>1468</v>
      </c>
      <c r="F179" s="47" t="s">
        <v>1469</v>
      </c>
      <c r="G179" s="49" t="e">
        <f t="shared" si="12"/>
        <v>#REF!</v>
      </c>
      <c r="H179" s="54" t="s">
        <v>983</v>
      </c>
      <c r="I179" s="47" t="e">
        <f>VLOOKUP($E179,#REF!,3,FALSE)</f>
        <v>#REF!</v>
      </c>
      <c r="J179" s="47" t="str">
        <f t="shared" si="13"/>
        <v>Sun:12:30-02:30:Online</v>
      </c>
      <c r="K179" s="18" t="e">
        <f t="shared" si="14"/>
        <v>#REF!</v>
      </c>
      <c r="L179" s="18" t="str">
        <f t="shared" si="11"/>
        <v>Sun:12:30-02:30:MIT-3</v>
      </c>
      <c r="M179" s="18" t="e">
        <f>VLOOKUP(I179,#REF!,2,FALSE)</f>
        <v>#REF!</v>
      </c>
    </row>
    <row r="180" spans="1:15412" hidden="1" x14ac:dyDescent="0.25">
      <c r="A180" s="45" t="str">
        <f t="shared" ref="A180:A201" si="15">E180</f>
        <v>BBA314</v>
      </c>
      <c r="B180" s="55" t="s">
        <v>812</v>
      </c>
      <c r="C180" s="55" t="s">
        <v>10</v>
      </c>
      <c r="D180" s="54" t="s">
        <v>508</v>
      </c>
      <c r="E180" s="47" t="s">
        <v>358</v>
      </c>
      <c r="F180" s="47" t="s">
        <v>1212</v>
      </c>
      <c r="G180" s="49" t="e">
        <f t="shared" si="12"/>
        <v>#REF!</v>
      </c>
      <c r="H180" s="54" t="s">
        <v>24</v>
      </c>
      <c r="I180" s="47" t="e">
        <f>VLOOKUP($E180,#REF!,3,FALSE)</f>
        <v>#REF!</v>
      </c>
      <c r="J180" s="47" t="str">
        <f t="shared" si="13"/>
        <v>Sun:08:00-10:00:KG-9</v>
      </c>
      <c r="K180" s="18" t="e">
        <f t="shared" si="14"/>
        <v>#REF!</v>
      </c>
      <c r="L180" s="18" t="str">
        <f t="shared" ref="L180:L188" si="16">$B180&amp;":"&amp;$C180&amp;":"&amp;$D180</f>
        <v>Sun:08:00-10:00:BBA-BF-6,AF-6,G-6</v>
      </c>
      <c r="M180" s="18" t="e">
        <f>VLOOKUP(I180,#REF!,2,FALSE)</f>
        <v>#REF!</v>
      </c>
    </row>
    <row r="181" spans="1:15412" hidden="1" x14ac:dyDescent="0.25">
      <c r="A181" s="45" t="str">
        <f t="shared" si="15"/>
        <v>BAC327</v>
      </c>
      <c r="B181" s="47" t="s">
        <v>812</v>
      </c>
      <c r="C181" s="47" t="s">
        <v>96</v>
      </c>
      <c r="D181" s="47" t="s">
        <v>284</v>
      </c>
      <c r="E181" s="47" t="s">
        <v>285</v>
      </c>
      <c r="F181" s="47" t="s">
        <v>286</v>
      </c>
      <c r="G181" s="49" t="e">
        <f t="shared" si="12"/>
        <v>#REF!</v>
      </c>
      <c r="H181" s="47" t="s">
        <v>91</v>
      </c>
      <c r="I181" s="47" t="e">
        <f>VLOOKUP($E181,#REF!,3,FALSE)</f>
        <v>#REF!</v>
      </c>
      <c r="J181" s="47" t="str">
        <f t="shared" si="13"/>
        <v>Sun:12:30-02:30:SI-205</v>
      </c>
      <c r="K181" s="18" t="e">
        <f t="shared" si="14"/>
        <v>#REF!</v>
      </c>
      <c r="L181" s="18" t="str">
        <f t="shared" si="16"/>
        <v>Sun:12:30-02:30:BBA-AF-6</v>
      </c>
      <c r="M181" s="18" t="e">
        <f>VLOOKUP(I181,#REF!,2,FALSE)</f>
        <v>#REF!</v>
      </c>
    </row>
    <row r="182" spans="1:15412" hidden="1" x14ac:dyDescent="0.25">
      <c r="A182" s="45" t="str">
        <f t="shared" si="15"/>
        <v>HRM315</v>
      </c>
      <c r="B182" s="55" t="s">
        <v>812</v>
      </c>
      <c r="C182" s="55" t="s">
        <v>96</v>
      </c>
      <c r="D182" s="54" t="s">
        <v>229</v>
      </c>
      <c r="E182" s="68" t="s">
        <v>230</v>
      </c>
      <c r="F182" s="68" t="s">
        <v>231</v>
      </c>
      <c r="G182" s="49" t="e">
        <f t="shared" si="12"/>
        <v>#REF!</v>
      </c>
      <c r="H182" s="54" t="s">
        <v>55</v>
      </c>
      <c r="I182" s="47" t="e">
        <f>VLOOKUP($E182,#REF!,3,FALSE)</f>
        <v>#REF!</v>
      </c>
      <c r="J182" s="47" t="str">
        <f t="shared" si="13"/>
        <v>Sun:12:30-02:30:KG-7</v>
      </c>
      <c r="K182" s="18" t="e">
        <f t="shared" si="14"/>
        <v>#REF!</v>
      </c>
      <c r="L182" s="18" t="str">
        <f t="shared" si="16"/>
        <v>Sun:12:30-02:30:BBA-HRM-5</v>
      </c>
      <c r="M182" s="18" t="e">
        <f>VLOOKUP(I182,#REF!,2,FALSE)</f>
        <v>#REF!</v>
      </c>
    </row>
    <row r="183" spans="1:15412" hidden="1" x14ac:dyDescent="0.25">
      <c r="A183" s="45" t="str">
        <f t="shared" si="15"/>
        <v>HRM314</v>
      </c>
      <c r="B183" s="47" t="s">
        <v>781</v>
      </c>
      <c r="C183" s="47" t="s">
        <v>47</v>
      </c>
      <c r="D183" s="47" t="s">
        <v>229</v>
      </c>
      <c r="E183" s="47" t="s">
        <v>474</v>
      </c>
      <c r="F183" s="47" t="s">
        <v>475</v>
      </c>
      <c r="G183" s="49" t="e">
        <f t="shared" si="12"/>
        <v>#REF!</v>
      </c>
      <c r="H183" s="47" t="s">
        <v>55</v>
      </c>
      <c r="I183" s="47" t="e">
        <f>VLOOKUP($E183,#REF!,3,FALSE)</f>
        <v>#REF!</v>
      </c>
      <c r="J183" s="47" t="str">
        <f t="shared" si="13"/>
        <v>Sat:10:15-12:15:KG-7</v>
      </c>
      <c r="K183" s="18" t="e">
        <f t="shared" si="14"/>
        <v>#REF!</v>
      </c>
      <c r="L183" s="18" t="str">
        <f t="shared" si="16"/>
        <v>Sat:10:15-12:15:BBA-HRM-5</v>
      </c>
      <c r="M183" s="18" t="e">
        <f>VLOOKUP(I183,#REF!,2,FALSE)</f>
        <v>#REF!</v>
      </c>
    </row>
    <row r="184" spans="1:15412" hidden="1" x14ac:dyDescent="0.25">
      <c r="A184" s="45" t="str">
        <f t="shared" si="15"/>
        <v>HRM311</v>
      </c>
      <c r="B184" s="47" t="s">
        <v>812</v>
      </c>
      <c r="C184" s="47" t="s">
        <v>10</v>
      </c>
      <c r="D184" s="47" t="s">
        <v>229</v>
      </c>
      <c r="E184" s="47" t="s">
        <v>715</v>
      </c>
      <c r="F184" s="47" t="s">
        <v>716</v>
      </c>
      <c r="G184" s="49" t="e">
        <f t="shared" si="12"/>
        <v>#REF!</v>
      </c>
      <c r="H184" s="47" t="s">
        <v>79</v>
      </c>
      <c r="I184" s="47" t="e">
        <f>VLOOKUP($E184,#REF!,3,FALSE)</f>
        <v>#REF!</v>
      </c>
      <c r="J184" s="47" t="str">
        <f t="shared" si="13"/>
        <v>Sun:08:00-10:00:KG-11</v>
      </c>
      <c r="K184" s="18" t="e">
        <f t="shared" si="14"/>
        <v>#REF!</v>
      </c>
      <c r="L184" s="18" t="str">
        <f t="shared" si="16"/>
        <v>Sun:08:00-10:00:BBA-HRM-5</v>
      </c>
      <c r="M184" s="18" t="e">
        <f>VLOOKUP(I184,#REF!,2,FALSE)</f>
        <v>#REF!</v>
      </c>
      <c r="VTT184" s="47"/>
    </row>
    <row r="185" spans="1:15412" hidden="1" x14ac:dyDescent="0.25">
      <c r="A185" s="45" t="str">
        <f t="shared" si="15"/>
        <v>PLM316</v>
      </c>
      <c r="B185" s="47" t="s">
        <v>812</v>
      </c>
      <c r="C185" s="47" t="s">
        <v>10</v>
      </c>
      <c r="D185" s="47" t="s">
        <v>276</v>
      </c>
      <c r="E185" s="47" t="s">
        <v>563</v>
      </c>
      <c r="F185" s="47" t="s">
        <v>564</v>
      </c>
      <c r="G185" s="49" t="e">
        <f t="shared" si="12"/>
        <v>#REF!</v>
      </c>
      <c r="H185" s="47" t="s">
        <v>24</v>
      </c>
      <c r="I185" s="47" t="e">
        <f>VLOOKUP($E185,#REF!,3,FALSE)</f>
        <v>#REF!</v>
      </c>
      <c r="J185" s="47" t="str">
        <f t="shared" si="13"/>
        <v>Sun:08:00-10:00:KG-9</v>
      </c>
      <c r="K185" s="18" t="e">
        <f t="shared" si="14"/>
        <v>#REF!</v>
      </c>
      <c r="L185" s="18" t="str">
        <f t="shared" si="16"/>
        <v>Sun:08:00-10:00:BBA-PL-5</v>
      </c>
      <c r="M185" s="18" t="e">
        <f>VLOOKUP(I185,#REF!,2,FALSE)</f>
        <v>#REF!</v>
      </c>
    </row>
    <row r="186" spans="1:15412" hidden="1" x14ac:dyDescent="0.25">
      <c r="A186" s="45" t="str">
        <f t="shared" si="15"/>
        <v>PLM315</v>
      </c>
      <c r="B186" s="55" t="s">
        <v>812</v>
      </c>
      <c r="C186" s="55" t="s">
        <v>140</v>
      </c>
      <c r="D186" s="54" t="s">
        <v>276</v>
      </c>
      <c r="E186" s="65" t="s">
        <v>588</v>
      </c>
      <c r="F186" s="65" t="s">
        <v>589</v>
      </c>
      <c r="G186" s="49" t="e">
        <f t="shared" si="12"/>
        <v>#REF!</v>
      </c>
      <c r="H186" s="54" t="s">
        <v>87</v>
      </c>
      <c r="I186" s="47" t="e">
        <f>VLOOKUP($E186,#REF!,3,FALSE)</f>
        <v>#REF!</v>
      </c>
      <c r="J186" s="47" t="str">
        <f t="shared" si="13"/>
        <v>Sun:02:45-04:45:KG-6</v>
      </c>
      <c r="K186" s="18" t="e">
        <f t="shared" si="14"/>
        <v>#REF!</v>
      </c>
      <c r="L186" s="18" t="str">
        <f t="shared" si="16"/>
        <v>Sun:02:45-04:45:BBA-PL-5</v>
      </c>
      <c r="M186" s="18" t="e">
        <f>VLOOKUP(I186,#REF!,2,FALSE)</f>
        <v>#REF!</v>
      </c>
    </row>
    <row r="187" spans="1:15412" hidden="1" x14ac:dyDescent="0.25">
      <c r="A187" s="45" t="str">
        <f t="shared" si="15"/>
        <v>PLM319</v>
      </c>
      <c r="B187" s="47" t="s">
        <v>812</v>
      </c>
      <c r="C187" s="47" t="s">
        <v>47</v>
      </c>
      <c r="D187" s="47" t="s">
        <v>276</v>
      </c>
      <c r="E187" s="47" t="s">
        <v>1173</v>
      </c>
      <c r="F187" s="47" t="s">
        <v>1174</v>
      </c>
      <c r="G187" s="49" t="e">
        <f t="shared" si="12"/>
        <v>#REF!</v>
      </c>
      <c r="H187" s="47" t="s">
        <v>79</v>
      </c>
      <c r="I187" s="47" t="e">
        <f>VLOOKUP($E187,#REF!,3,FALSE)</f>
        <v>#REF!</v>
      </c>
      <c r="J187" s="47" t="str">
        <f t="shared" si="13"/>
        <v>Sun:10:15-12:15:KG-11</v>
      </c>
      <c r="K187" s="18" t="e">
        <f t="shared" si="14"/>
        <v>#REF!</v>
      </c>
      <c r="L187" s="18" t="str">
        <f t="shared" si="16"/>
        <v>Sun:10:15-12:15:BBA-PL-5</v>
      </c>
      <c r="M187" s="18" t="e">
        <f>VLOOKUP(I187,#REF!,2,FALSE)</f>
        <v>#REF!</v>
      </c>
      <c r="VTS187" s="47"/>
      <c r="VTT187" s="47"/>
    </row>
    <row r="188" spans="1:15412" hidden="1" x14ac:dyDescent="0.25">
      <c r="A188" s="45" t="str">
        <f t="shared" si="15"/>
        <v>PLM317</v>
      </c>
      <c r="B188" s="47" t="s">
        <v>812</v>
      </c>
      <c r="C188" s="47" t="s">
        <v>96</v>
      </c>
      <c r="D188" s="47" t="s">
        <v>276</v>
      </c>
      <c r="E188" s="47" t="s">
        <v>1252</v>
      </c>
      <c r="F188" s="47" t="s">
        <v>1491</v>
      </c>
      <c r="G188" s="49" t="e">
        <f t="shared" si="12"/>
        <v>#REF!</v>
      </c>
      <c r="H188" s="47" t="s">
        <v>87</v>
      </c>
      <c r="I188" s="47" t="e">
        <f>VLOOKUP($E188,#REF!,3,FALSE)</f>
        <v>#REF!</v>
      </c>
      <c r="J188" s="47" t="str">
        <f t="shared" si="13"/>
        <v>Sun:12:30-02:30:KG-6</v>
      </c>
      <c r="K188" s="18" t="e">
        <f t="shared" si="14"/>
        <v>#REF!</v>
      </c>
      <c r="L188" s="18" t="str">
        <f t="shared" si="16"/>
        <v>Sun:12:30-02:30:BBA-PL-5</v>
      </c>
      <c r="M188" s="18" t="e">
        <f>VLOOKUP(I188,#REF!,2,FALSE)</f>
        <v>#REF!</v>
      </c>
    </row>
    <row r="189" spans="1:15412" hidden="1" x14ac:dyDescent="0.25">
      <c r="A189" s="45" t="str">
        <f t="shared" si="15"/>
        <v>BBA313</v>
      </c>
      <c r="B189" s="47" t="s">
        <v>812</v>
      </c>
      <c r="C189" s="47" t="s">
        <v>47</v>
      </c>
      <c r="D189" s="47" t="s">
        <v>210</v>
      </c>
      <c r="E189" s="47" t="s">
        <v>211</v>
      </c>
      <c r="F189" s="47" t="s">
        <v>212</v>
      </c>
      <c r="G189" s="49" t="e">
        <f t="shared" si="12"/>
        <v>#REF!</v>
      </c>
      <c r="H189" s="47" t="s">
        <v>87</v>
      </c>
      <c r="I189" s="47" t="e">
        <f>VLOOKUP($E189,#REF!,3,FALSE)</f>
        <v>#REF!</v>
      </c>
      <c r="J189" s="47" t="str">
        <f t="shared" si="13"/>
        <v>Sun:10:15-12:15:KG-6</v>
      </c>
      <c r="K189" s="18" t="e">
        <f t="shared" si="14"/>
        <v>#REF!</v>
      </c>
      <c r="L189" s="18"/>
      <c r="M189" s="18" t="e">
        <f>VLOOKUP(I189,#REF!,2,FALSE)</f>
        <v>#REF!</v>
      </c>
    </row>
    <row r="190" spans="1:15412" hidden="1" x14ac:dyDescent="0.25">
      <c r="A190" s="45" t="str">
        <f t="shared" si="15"/>
        <v>BIT125/DBA212</v>
      </c>
      <c r="B190" s="47" t="s">
        <v>812</v>
      </c>
      <c r="C190" s="47" t="s">
        <v>140</v>
      </c>
      <c r="D190" s="47" t="s">
        <v>210</v>
      </c>
      <c r="E190" s="47" t="s">
        <v>635</v>
      </c>
      <c r="F190" s="47" t="s">
        <v>1527</v>
      </c>
      <c r="G190" s="49" t="e">
        <f t="shared" si="12"/>
        <v>#REF!</v>
      </c>
      <c r="H190" s="58" t="s">
        <v>87</v>
      </c>
      <c r="I190" s="47" t="e">
        <f>VLOOKUP($E190,#REF!,3,FALSE)</f>
        <v>#REF!</v>
      </c>
      <c r="J190" s="47" t="str">
        <f t="shared" si="13"/>
        <v>Sun:02:45-04:45:KG-6</v>
      </c>
      <c r="K190" s="18" t="e">
        <f t="shared" si="14"/>
        <v>#REF!</v>
      </c>
      <c r="L190" s="18"/>
      <c r="M190" s="18" t="e">
        <f>VLOOKUP(I190,#REF!,2,FALSE)</f>
        <v>#REF!</v>
      </c>
    </row>
    <row r="191" spans="1:15412" hidden="1" x14ac:dyDescent="0.25">
      <c r="A191" s="45" t="str">
        <f t="shared" si="15"/>
        <v>BBA324/BPA116</v>
      </c>
      <c r="B191" s="47" t="s">
        <v>812</v>
      </c>
      <c r="C191" s="47" t="s">
        <v>47</v>
      </c>
      <c r="D191" s="47" t="s">
        <v>3882</v>
      </c>
      <c r="E191" s="47" t="s">
        <v>3931</v>
      </c>
      <c r="F191" s="47" t="s">
        <v>3883</v>
      </c>
      <c r="G191" s="49" t="e">
        <f t="shared" si="12"/>
        <v>#REF!</v>
      </c>
      <c r="H191" s="47" t="s">
        <v>87</v>
      </c>
      <c r="I191" s="47" t="e">
        <f>VLOOKUP($E191,#REF!,3,FALSE)</f>
        <v>#REF!</v>
      </c>
      <c r="J191" s="47" t="str">
        <f t="shared" si="13"/>
        <v>Sun:10:15-12:15:KG-6</v>
      </c>
      <c r="K191" s="18" t="e">
        <f t="shared" si="14"/>
        <v>#REF!</v>
      </c>
      <c r="L191" s="18"/>
      <c r="M191" s="18" t="e">
        <f>VLOOKUP(I191,#REF!,2,FALSE)</f>
        <v>#REF!</v>
      </c>
    </row>
    <row r="192" spans="1:15412" hidden="1" x14ac:dyDescent="0.25">
      <c r="A192" s="45" t="str">
        <f t="shared" si="15"/>
        <v>HRM322</v>
      </c>
      <c r="B192" s="47" t="s">
        <v>781</v>
      </c>
      <c r="C192" s="47" t="s">
        <v>10</v>
      </c>
      <c r="D192" s="47" t="s">
        <v>3529</v>
      </c>
      <c r="E192" s="47" t="s">
        <v>22</v>
      </c>
      <c r="F192" s="47" t="s">
        <v>1009</v>
      </c>
      <c r="G192" s="49" t="e">
        <f t="shared" si="12"/>
        <v>#REF!</v>
      </c>
      <c r="H192" s="47" t="s">
        <v>83</v>
      </c>
      <c r="I192" s="47" t="e">
        <f>VLOOKUP($E192,#REF!,3,FALSE)</f>
        <v>#REF!</v>
      </c>
      <c r="J192" s="47" t="str">
        <f t="shared" si="13"/>
        <v>Sat:08:00-10:00:KG-10</v>
      </c>
      <c r="K192" s="18" t="e">
        <f t="shared" si="14"/>
        <v>#REF!</v>
      </c>
      <c r="L192" s="18"/>
      <c r="M192" s="18" t="e">
        <f>VLOOKUP(I192,#REF!,2,FALSE)</f>
        <v>#REF!</v>
      </c>
    </row>
    <row r="193" spans="1:13 15412:15412" hidden="1" x14ac:dyDescent="0.25">
      <c r="A193" s="45" t="str">
        <f t="shared" si="15"/>
        <v>BBA323</v>
      </c>
      <c r="B193" s="47" t="s">
        <v>781</v>
      </c>
      <c r="C193" s="47" t="s">
        <v>96</v>
      </c>
      <c r="D193" s="47" t="s">
        <v>52</v>
      </c>
      <c r="E193" s="47" t="s">
        <v>449</v>
      </c>
      <c r="F193" s="47" t="s">
        <v>3886</v>
      </c>
      <c r="G193" s="49" t="e">
        <f t="shared" si="12"/>
        <v>#REF!</v>
      </c>
      <c r="H193" s="47" t="s">
        <v>55</v>
      </c>
      <c r="I193" s="47" t="e">
        <f>VLOOKUP($E193,#REF!,3,FALSE)</f>
        <v>#REF!</v>
      </c>
      <c r="J193" s="47" t="str">
        <f t="shared" si="13"/>
        <v>Sat:12:30-02:30:KG-7</v>
      </c>
      <c r="K193" s="18" t="e">
        <f t="shared" si="14"/>
        <v>#REF!</v>
      </c>
      <c r="L193" s="18"/>
      <c r="M193" s="18" t="e">
        <f>VLOOKUP(I193,#REF!,2,FALSE)</f>
        <v>#REF!</v>
      </c>
    </row>
    <row r="194" spans="1:13 15412:15412" hidden="1" x14ac:dyDescent="0.25">
      <c r="A194" s="45" t="str">
        <f t="shared" si="15"/>
        <v>ADHM1101</v>
      </c>
      <c r="B194" s="47" t="s">
        <v>812</v>
      </c>
      <c r="C194" s="47" t="s">
        <v>96</v>
      </c>
      <c r="D194" s="47" t="s">
        <v>3540</v>
      </c>
      <c r="E194" s="47" t="s">
        <v>1631</v>
      </c>
      <c r="F194" s="47" t="s">
        <v>1632</v>
      </c>
      <c r="G194" s="49" t="e">
        <f t="shared" ref="G194:G206" si="17">M194</f>
        <v>#REF!</v>
      </c>
      <c r="H194" s="47" t="s">
        <v>1662</v>
      </c>
      <c r="I194" s="47" t="e">
        <f>VLOOKUP($E194,#REF!,3,FALSE)</f>
        <v>#REF!</v>
      </c>
      <c r="J194" s="47" t="str">
        <f t="shared" ref="J194:J202" si="18">$B194&amp;":"&amp;$C194&amp;":"&amp;$H194</f>
        <v>Sun:12:30-02:30:MKN-05</v>
      </c>
      <c r="K194" s="18" t="e">
        <f t="shared" ref="K194:K202" si="19">B194&amp;":"&amp;C194&amp;":"&amp;I194</f>
        <v>#REF!</v>
      </c>
      <c r="L194" s="18"/>
      <c r="M194" s="18" t="e">
        <f>VLOOKUP(I194,#REF!,2,FALSE)</f>
        <v>#REF!</v>
      </c>
    </row>
    <row r="195" spans="1:13 15412:15412" hidden="1" x14ac:dyDescent="0.25">
      <c r="A195" s="45" t="str">
        <f t="shared" si="15"/>
        <v>ADHM1103</v>
      </c>
      <c r="B195" s="47" t="s">
        <v>812</v>
      </c>
      <c r="C195" s="47" t="s">
        <v>10</v>
      </c>
      <c r="D195" s="47" t="s">
        <v>3540</v>
      </c>
      <c r="E195" s="47" t="s">
        <v>1625</v>
      </c>
      <c r="F195" s="47" t="s">
        <v>1626</v>
      </c>
      <c r="G195" s="49" t="e">
        <f t="shared" si="17"/>
        <v>#REF!</v>
      </c>
      <c r="H195" s="47" t="s">
        <v>241</v>
      </c>
      <c r="I195" s="47" t="e">
        <f>VLOOKUP($E195,#REF!,3,FALSE)</f>
        <v>#REF!</v>
      </c>
      <c r="J195" s="47" t="str">
        <f t="shared" si="18"/>
        <v>Sun:08:00-10:00:SI-212</v>
      </c>
      <c r="K195" s="18" t="e">
        <f t="shared" si="19"/>
        <v>#REF!</v>
      </c>
      <c r="L195" s="18"/>
      <c r="M195" s="18" t="e">
        <f>VLOOKUP(I195,#REF!,2,FALSE)</f>
        <v>#REF!</v>
      </c>
    </row>
    <row r="196" spans="1:13 15412:15412" hidden="1" x14ac:dyDescent="0.25">
      <c r="A196" s="45" t="str">
        <f t="shared" si="15"/>
        <v>ADHM1105</v>
      </c>
      <c r="B196" s="47" t="s">
        <v>812</v>
      </c>
      <c r="C196" s="47" t="s">
        <v>47</v>
      </c>
      <c r="D196" s="47" t="s">
        <v>3540</v>
      </c>
      <c r="E196" s="47" t="s">
        <v>1629</v>
      </c>
      <c r="F196" s="47" t="s">
        <v>1630</v>
      </c>
      <c r="G196" s="49" t="e">
        <f t="shared" si="17"/>
        <v>#REF!</v>
      </c>
      <c r="H196" s="58" t="s">
        <v>1457</v>
      </c>
      <c r="I196" s="47" t="e">
        <f>VLOOKUP($E196,#REF!,3,FALSE)</f>
        <v>#REF!</v>
      </c>
      <c r="J196" s="47" t="str">
        <f t="shared" si="18"/>
        <v>Sun:10:15-12:15:MKN-15</v>
      </c>
      <c r="K196" s="18" t="e">
        <f t="shared" si="19"/>
        <v>#REF!</v>
      </c>
      <c r="L196" s="18"/>
      <c r="M196" s="18" t="e">
        <f>VLOOKUP(I196,#REF!,2,FALSE)</f>
        <v>#REF!</v>
      </c>
    </row>
    <row r="197" spans="1:13 15412:15412" hidden="1" x14ac:dyDescent="0.25">
      <c r="A197" s="45" t="str">
        <f t="shared" si="15"/>
        <v>PLM324</v>
      </c>
      <c r="B197" s="45" t="s">
        <v>812</v>
      </c>
      <c r="C197" s="45" t="s">
        <v>96</v>
      </c>
      <c r="D197" s="58" t="s">
        <v>187</v>
      </c>
      <c r="E197" s="58" t="s">
        <v>188</v>
      </c>
      <c r="F197" s="58" t="s">
        <v>3892</v>
      </c>
      <c r="G197" s="49" t="e">
        <f t="shared" si="17"/>
        <v>#REF!</v>
      </c>
      <c r="H197" s="47" t="s">
        <v>55</v>
      </c>
      <c r="I197" s="47" t="e">
        <f>VLOOKUP($E197,#REF!,3,FALSE)</f>
        <v>#REF!</v>
      </c>
      <c r="J197" s="47" t="str">
        <f t="shared" si="18"/>
        <v>Sun:12:30-02:30:KG-7</v>
      </c>
      <c r="K197" s="18" t="e">
        <f t="shared" si="19"/>
        <v>#REF!</v>
      </c>
      <c r="L197" s="18"/>
      <c r="M197" s="18" t="e">
        <f>VLOOKUP(I197,#REF!,2,FALSE)</f>
        <v>#REF!</v>
      </c>
    </row>
    <row r="198" spans="1:13 15412:15412" hidden="1" x14ac:dyDescent="0.25">
      <c r="A198" s="45" t="str">
        <f t="shared" si="15"/>
        <v>PLM328</v>
      </c>
      <c r="B198" s="45" t="s">
        <v>812</v>
      </c>
      <c r="C198" s="45" t="s">
        <v>140</v>
      </c>
      <c r="D198" s="58" t="s">
        <v>187</v>
      </c>
      <c r="E198" s="58" t="s">
        <v>1214</v>
      </c>
      <c r="F198" s="58" t="s">
        <v>1494</v>
      </c>
      <c r="G198" s="49" t="e">
        <f t="shared" si="17"/>
        <v>#REF!</v>
      </c>
      <c r="H198" s="47" t="s">
        <v>79</v>
      </c>
      <c r="I198" s="47" t="e">
        <f>VLOOKUP($E198,#REF!,3,FALSE)</f>
        <v>#REF!</v>
      </c>
      <c r="J198" s="47" t="str">
        <f t="shared" si="18"/>
        <v>Sun:02:45-04:45:KG-11</v>
      </c>
      <c r="K198" s="18" t="e">
        <f t="shared" si="19"/>
        <v>#REF!</v>
      </c>
      <c r="L198" s="18"/>
      <c r="M198" s="18" t="e">
        <f>VLOOKUP(I198,#REF!,2,FALSE)</f>
        <v>#REF!</v>
      </c>
    </row>
    <row r="199" spans="1:13 15412:15412" hidden="1" x14ac:dyDescent="0.25">
      <c r="A199" s="45" t="str">
        <f t="shared" si="15"/>
        <v>ADHM1202</v>
      </c>
      <c r="B199" s="47" t="s">
        <v>812</v>
      </c>
      <c r="C199" s="47" t="s">
        <v>96</v>
      </c>
      <c r="D199" s="47" t="s">
        <v>3554</v>
      </c>
      <c r="E199" s="47" t="s">
        <v>1637</v>
      </c>
      <c r="F199" s="47" t="s">
        <v>740</v>
      </c>
      <c r="G199" s="49" t="e">
        <f t="shared" si="17"/>
        <v>#REF!</v>
      </c>
      <c r="H199" s="47" t="s">
        <v>1460</v>
      </c>
      <c r="I199" s="47" t="e">
        <f>VLOOKUP($E199,#REF!,3,FALSE)</f>
        <v>#REF!</v>
      </c>
      <c r="J199" s="47" t="str">
        <f t="shared" si="18"/>
        <v>Sun:12:30-02:30:MKN-18</v>
      </c>
      <c r="K199" s="18" t="e">
        <f t="shared" si="19"/>
        <v>#REF!</v>
      </c>
      <c r="L199" s="18"/>
      <c r="M199" s="18" t="e">
        <f>VLOOKUP(I199,#REF!,2,FALSE)</f>
        <v>#REF!</v>
      </c>
    </row>
    <row r="200" spans="1:13 15412:15412" hidden="1" x14ac:dyDescent="0.25">
      <c r="A200" s="45" t="str">
        <f t="shared" si="15"/>
        <v>ADHM1204</v>
      </c>
      <c r="B200" s="47" t="s">
        <v>781</v>
      </c>
      <c r="C200" s="47" t="s">
        <v>10</v>
      </c>
      <c r="D200" s="47" t="s">
        <v>3554</v>
      </c>
      <c r="E200" s="47" t="s">
        <v>1640</v>
      </c>
      <c r="F200" s="47" t="s">
        <v>258</v>
      </c>
      <c r="G200" s="49" t="e">
        <f t="shared" si="17"/>
        <v>#REF!</v>
      </c>
      <c r="H200" s="47" t="s">
        <v>3556</v>
      </c>
      <c r="I200" s="47" t="e">
        <f>VLOOKUP($E200,#REF!,3,FALSE)</f>
        <v>#REF!</v>
      </c>
      <c r="J200" s="47" t="str">
        <f t="shared" si="18"/>
        <v>Sat:08:00-10:00:MKN-05|Online</v>
      </c>
      <c r="K200" s="18" t="e">
        <f t="shared" si="19"/>
        <v>#REF!</v>
      </c>
      <c r="L200" s="18"/>
      <c r="M200" s="18" t="e">
        <f>VLOOKUP(I200,#REF!,2,FALSE)</f>
        <v>#REF!</v>
      </c>
    </row>
    <row r="201" spans="1:13 15412:15412" hidden="1" x14ac:dyDescent="0.25">
      <c r="A201" s="18" t="str">
        <f t="shared" si="15"/>
        <v>ADHM1206</v>
      </c>
      <c r="B201" s="47" t="s">
        <v>812</v>
      </c>
      <c r="C201" s="47" t="s">
        <v>10</v>
      </c>
      <c r="D201" s="47" t="s">
        <v>3554</v>
      </c>
      <c r="E201" s="47" t="s">
        <v>1643</v>
      </c>
      <c r="F201" s="47" t="s">
        <v>1644</v>
      </c>
      <c r="G201" s="49" t="e">
        <f t="shared" si="17"/>
        <v>#REF!</v>
      </c>
      <c r="H201" s="47" t="s">
        <v>3556</v>
      </c>
      <c r="I201" s="47" t="e">
        <f>VLOOKUP($E201,#REF!,3,FALSE)</f>
        <v>#REF!</v>
      </c>
      <c r="J201" s="47" t="str">
        <f t="shared" si="18"/>
        <v>Sun:08:00-10:00:MKN-05|Online</v>
      </c>
      <c r="K201" s="18" t="e">
        <f t="shared" si="19"/>
        <v>#REF!</v>
      </c>
      <c r="L201" s="18"/>
      <c r="M201" s="18" t="e">
        <f>VLOOKUP(I201,#REF!,2,FALSE)</f>
        <v>#REF!</v>
      </c>
    </row>
    <row r="202" spans="1:13 15412:15412" s="52" customFormat="1" ht="12.75" hidden="1" x14ac:dyDescent="0.2">
      <c r="A202" s="47" t="s">
        <v>689</v>
      </c>
      <c r="B202" s="47" t="s">
        <v>812</v>
      </c>
      <c r="C202" s="47" t="s">
        <v>47</v>
      </c>
      <c r="D202" s="47" t="s">
        <v>688</v>
      </c>
      <c r="E202" s="47" t="s">
        <v>689</v>
      </c>
      <c r="F202" s="47" t="s">
        <v>690</v>
      </c>
      <c r="G202" s="49" t="e">
        <f t="shared" si="17"/>
        <v>#REF!</v>
      </c>
      <c r="H202" s="47" t="s">
        <v>87</v>
      </c>
      <c r="I202" s="18" t="e">
        <f>VLOOKUP($E202,#REF!,3,FALSE)</f>
        <v>#REF!</v>
      </c>
      <c r="J202" s="18" t="str">
        <f t="shared" si="18"/>
        <v>Sun:10:15-12:15:KG-6</v>
      </c>
      <c r="K202" s="18" t="e">
        <f t="shared" si="19"/>
        <v>#REF!</v>
      </c>
      <c r="L202" s="18"/>
      <c r="M202" s="18" t="e">
        <f>VLOOKUP(I202,#REF!,2,FALSE)</f>
        <v>#REF!</v>
      </c>
      <c r="VTT202" s="47"/>
    </row>
    <row r="203" spans="1:13 15412:15412" hidden="1" x14ac:dyDescent="0.25">
      <c r="A203" s="45" t="str">
        <f t="shared" ref="A203:A206" si="20">E203</f>
        <v>BPH221-EH</v>
      </c>
      <c r="B203" s="58" t="s">
        <v>812</v>
      </c>
      <c r="C203" s="58" t="s">
        <v>47</v>
      </c>
      <c r="D203" s="58" t="s">
        <v>826</v>
      </c>
      <c r="E203" s="58" t="s">
        <v>3933</v>
      </c>
      <c r="F203" s="58" t="s">
        <v>3932</v>
      </c>
      <c r="G203" s="49" t="e">
        <f t="shared" si="17"/>
        <v>#REF!</v>
      </c>
      <c r="H203" s="58" t="s">
        <v>1457</v>
      </c>
      <c r="I203" s="47" t="e">
        <f>VLOOKUP($E203,#REF!,3,FALSE)</f>
        <v>#REF!</v>
      </c>
      <c r="J203" s="47"/>
      <c r="M203" s="18" t="e">
        <f>VLOOKUP(I203,#REF!,2,FALSE)</f>
        <v>#REF!</v>
      </c>
    </row>
    <row r="204" spans="1:13 15412:15412" hidden="1" x14ac:dyDescent="0.25">
      <c r="A204" s="45" t="str">
        <f t="shared" si="20"/>
        <v>MPH726</v>
      </c>
      <c r="B204" s="58" t="s">
        <v>812</v>
      </c>
      <c r="C204" s="58" t="s">
        <v>96</v>
      </c>
      <c r="D204" s="58" t="s">
        <v>880</v>
      </c>
      <c r="E204" s="58" t="s">
        <v>1066</v>
      </c>
      <c r="F204" s="58" t="s">
        <v>1067</v>
      </c>
      <c r="G204" s="49" t="e">
        <f t="shared" si="17"/>
        <v>#REF!</v>
      </c>
      <c r="H204" s="58" t="s">
        <v>983</v>
      </c>
      <c r="I204" s="47" t="e">
        <f>VLOOKUP($E204,#REF!,3,FALSE)</f>
        <v>#REF!</v>
      </c>
      <c r="J204" s="47" t="str">
        <f t="shared" ref="J204" si="21">$B204&amp;":"&amp;$C204&amp;":"&amp;$H204</f>
        <v>Sun:12:30-02:30:Online</v>
      </c>
      <c r="K204" s="18" t="e">
        <f t="shared" ref="K204" si="22">B204&amp;":"&amp;C204&amp;":"&amp;I204</f>
        <v>#REF!</v>
      </c>
      <c r="M204" s="18" t="e">
        <f>VLOOKUP(I204,#REF!,2,FALSE)</f>
        <v>#REF!</v>
      </c>
    </row>
    <row r="205" spans="1:13 15412:15412" hidden="1" x14ac:dyDescent="0.25">
      <c r="A205" s="45" t="str">
        <f t="shared" si="20"/>
        <v>MPH727</v>
      </c>
      <c r="B205" s="58" t="s">
        <v>812</v>
      </c>
      <c r="C205" s="47" t="s">
        <v>10</v>
      </c>
      <c r="D205" s="58" t="s">
        <v>880</v>
      </c>
      <c r="E205" s="58" t="s">
        <v>878</v>
      </c>
      <c r="F205" s="58" t="s">
        <v>879</v>
      </c>
      <c r="G205" s="49" t="e">
        <f t="shared" si="17"/>
        <v>#REF!</v>
      </c>
      <c r="H205" s="58" t="s">
        <v>1457</v>
      </c>
      <c r="I205" s="47" t="e">
        <f>VLOOKUP($E205,#REF!,3,FALSE)</f>
        <v>#REF!</v>
      </c>
      <c r="J205" s="47"/>
      <c r="M205" s="18" t="e">
        <f>VLOOKUP(I205,#REF!,2,FALSE)</f>
        <v>#REF!</v>
      </c>
    </row>
    <row r="206" spans="1:13 15412:15412" hidden="1" x14ac:dyDescent="0.25">
      <c r="A206" s="18" t="str">
        <f t="shared" si="20"/>
        <v>RSC001-HS</v>
      </c>
      <c r="B206" s="47" t="s">
        <v>781</v>
      </c>
      <c r="C206" s="47" t="s">
        <v>47</v>
      </c>
      <c r="D206" s="47" t="s">
        <v>802</v>
      </c>
      <c r="E206" s="47" t="s">
        <v>3929</v>
      </c>
      <c r="F206" s="47" t="s">
        <v>646</v>
      </c>
      <c r="G206" s="49" t="e">
        <f t="shared" si="17"/>
        <v>#REF!</v>
      </c>
      <c r="H206" s="47" t="s">
        <v>1456</v>
      </c>
      <c r="I206" s="47" t="e">
        <f>VLOOKUP($E206,#REF!,3,FALSE)</f>
        <v>#REF!</v>
      </c>
      <c r="J206" s="47" t="str">
        <f t="shared" ref="J206" si="23">$B206&amp;":"&amp;$C206&amp;":"&amp;$H206</f>
        <v>Sat:10:15-12:15:MKN-14</v>
      </c>
      <c r="K206" s="18" t="e">
        <f t="shared" ref="K206" si="24">B206&amp;":"&amp;C206&amp;":"&amp;I206</f>
        <v>#REF!</v>
      </c>
      <c r="L206" s="18" t="str">
        <f t="shared" ref="L206" si="25">$B206&amp;":"&amp;$C206&amp;":"&amp;$D206</f>
        <v>Sat:10:15-12:15:BEHS-4</v>
      </c>
      <c r="M206" s="18" t="e">
        <f>VLOOKUP(I206,#REF!,2,FALSE)</f>
        <v>#REF!</v>
      </c>
    </row>
  </sheetData>
  <autoFilter ref="A1:VQO206" xr:uid="{00000000-0009-0000-0000-000025000000}">
    <filterColumn colId="8">
      <filters>
        <filter val="Dr. Dorcus Kalembe"/>
      </filters>
    </filterColumn>
  </autoFilter>
  <conditionalFormatting sqref="B202">
    <cfRule type="duplicateValues" dxfId="29" priority="6"/>
  </conditionalFormatting>
  <conditionalFormatting sqref="B189:C189">
    <cfRule type="duplicateValues" dxfId="28" priority="12"/>
  </conditionalFormatting>
  <conditionalFormatting sqref="B190:F194 D189:F189">
    <cfRule type="duplicateValues" dxfId="27" priority="13"/>
  </conditionalFormatting>
  <conditionalFormatting sqref="C6">
    <cfRule type="duplicateValues" dxfId="26" priority="5"/>
  </conditionalFormatting>
  <conditionalFormatting sqref="C26">
    <cfRule type="duplicateValues" dxfId="25" priority="15"/>
  </conditionalFormatting>
  <conditionalFormatting sqref="C42">
    <cfRule type="duplicateValues" dxfId="24" priority="14"/>
  </conditionalFormatting>
  <conditionalFormatting sqref="E50">
    <cfRule type="duplicateValues" dxfId="23" priority="17"/>
  </conditionalFormatting>
  <conditionalFormatting sqref="E166:E170">
    <cfRule type="duplicateValues" dxfId="22" priority="18"/>
  </conditionalFormatting>
  <conditionalFormatting sqref="E173">
    <cfRule type="duplicateValues" dxfId="21" priority="21"/>
  </conditionalFormatting>
  <conditionalFormatting sqref="E200">
    <cfRule type="duplicateValues" dxfId="20" priority="11"/>
  </conditionalFormatting>
  <conditionalFormatting sqref="E206">
    <cfRule type="duplicateValues" dxfId="19" priority="2"/>
  </conditionalFormatting>
  <conditionalFormatting sqref="E207:E1048576 E1">
    <cfRule type="duplicateValues" dxfId="18" priority="19"/>
  </conditionalFormatting>
  <conditionalFormatting sqref="I178:J178">
    <cfRule type="duplicateValues" dxfId="17" priority="10"/>
  </conditionalFormatting>
  <conditionalFormatting sqref="I202:J202">
    <cfRule type="duplicateValues" dxfId="16" priority="8"/>
  </conditionalFormatting>
  <conditionalFormatting sqref="J1:J1048576">
    <cfRule type="duplicateValues" dxfId="15" priority="1"/>
  </conditionalFormatting>
  <conditionalFormatting sqref="K178">
    <cfRule type="duplicateValues" dxfId="14" priority="9"/>
  </conditionalFormatting>
  <conditionalFormatting sqref="K185:K186 K188:K194 K179:K183 K2:K177">
    <cfRule type="duplicateValues" dxfId="13" priority="20"/>
  </conditionalFormatting>
  <conditionalFormatting sqref="K206">
    <cfRule type="duplicateValues" dxfId="12" priority="3"/>
  </conditionalFormatting>
  <conditionalFormatting sqref="L2:L174">
    <cfRule type="duplicateValues" dxfId="11" priority="22"/>
  </conditionalFormatting>
  <conditionalFormatting sqref="L206">
    <cfRule type="duplicateValues" dxfId="10" priority="4"/>
  </conditionalFormatting>
  <conditionalFormatting sqref="VTT184:XFD184 E182:E183 B181:F181 E133:F177 B188:F188 B132 D132:F132 B44:D47 E185:E186 A184:F184 A187:E187 VTS187:XFD187 E179:E180 VTT178:XFD178 A178 B133:D140 D178:F178 B141 D141 B100 D100 B48 D48 B153 D153 E2:E131 B111:C111 B112 B142:D152 B49:D72 B73 D73 B101:D110 F44:F131 B74:D99 B154:D177 B114:D131">
    <cfRule type="duplicateValues" dxfId="9" priority="16"/>
  </conditionalFormatting>
  <conditionalFormatting sqref="VTT202:XFD202 A202 C202:F202">
    <cfRule type="duplicateValues" dxfId="8" priority="7"/>
  </conditionalFormatting>
  <pageMargins left="0.7" right="0.7" top="0.75" bottom="0.75" header="0.3" footer="0.3"/>
  <pageSetup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38"/>
  <sheetViews>
    <sheetView workbookViewId="0">
      <selection activeCell="E17" sqref="E17"/>
    </sheetView>
  </sheetViews>
  <sheetFormatPr defaultRowHeight="15" x14ac:dyDescent="0.25"/>
  <cols>
    <col min="2" max="2" width="9.5703125" bestFit="1" customWidth="1"/>
    <col min="5" max="5" width="40.140625" customWidth="1"/>
    <col min="8" max="9" width="32.28515625" bestFit="1" customWidth="1"/>
  </cols>
  <sheetData>
    <row r="1" spans="1:9" x14ac:dyDescent="0.25">
      <c r="A1" s="46" t="s">
        <v>2</v>
      </c>
      <c r="B1" s="46" t="s">
        <v>3</v>
      </c>
      <c r="C1" s="46" t="s">
        <v>4</v>
      </c>
      <c r="D1" s="46" t="s">
        <v>5</v>
      </c>
      <c r="E1" s="46" t="s">
        <v>6</v>
      </c>
      <c r="F1" s="46" t="s">
        <v>7</v>
      </c>
      <c r="G1" s="46" t="s">
        <v>8</v>
      </c>
      <c r="H1" s="46" t="s">
        <v>1093</v>
      </c>
      <c r="I1" s="46" t="s">
        <v>1475</v>
      </c>
    </row>
    <row r="2" spans="1:9" x14ac:dyDescent="0.25">
      <c r="A2" s="47" t="s">
        <v>216</v>
      </c>
      <c r="B2" s="47" t="s">
        <v>140</v>
      </c>
      <c r="C2" s="47" t="s">
        <v>441</v>
      </c>
      <c r="D2" s="47" t="s">
        <v>1476</v>
      </c>
      <c r="E2" s="47" t="s">
        <v>443</v>
      </c>
      <c r="F2" s="47" t="s">
        <v>19</v>
      </c>
      <c r="G2" s="47" t="s">
        <v>83</v>
      </c>
      <c r="H2" s="47" t="e">
        <f>VLOOKUP(D2,#REF!,7,FALSE)</f>
        <v>#REF!</v>
      </c>
      <c r="I2" s="47" t="e">
        <f>VLOOKUP(H2,#REF!,2,FALSE)</f>
        <v>#REF!</v>
      </c>
    </row>
    <row r="3" spans="1:9" x14ac:dyDescent="0.25">
      <c r="A3" s="47" t="s">
        <v>216</v>
      </c>
      <c r="B3" s="47" t="s">
        <v>96</v>
      </c>
      <c r="C3" s="47" t="s">
        <v>251</v>
      </c>
      <c r="D3" s="47" t="s">
        <v>511</v>
      </c>
      <c r="E3" s="47" t="s">
        <v>512</v>
      </c>
      <c r="F3" s="47" t="s">
        <v>19</v>
      </c>
      <c r="G3" s="47" t="s">
        <v>112</v>
      </c>
      <c r="H3" s="47" t="e">
        <f>VLOOKUP(D3,#REF!,7,FALSE)</f>
        <v>#REF!</v>
      </c>
      <c r="I3" s="47" t="e">
        <f>VLOOKUP(H3,#REF!,2,FALSE)</f>
        <v>#REF!</v>
      </c>
    </row>
    <row r="4" spans="1:9" x14ac:dyDescent="0.25">
      <c r="A4" s="47" t="s">
        <v>170</v>
      </c>
      <c r="B4" s="47" t="s">
        <v>10</v>
      </c>
      <c r="C4" s="47" t="s">
        <v>187</v>
      </c>
      <c r="D4" s="47" t="s">
        <v>188</v>
      </c>
      <c r="E4" s="47" t="s">
        <v>189</v>
      </c>
      <c r="F4" s="47" t="s">
        <v>19</v>
      </c>
      <c r="G4" s="47" t="s">
        <v>24</v>
      </c>
      <c r="H4" s="47" t="e">
        <f>VLOOKUP(D4,#REF!,7,FALSE)</f>
        <v>#REF!</v>
      </c>
      <c r="I4" s="47" t="e">
        <f>VLOOKUP(H4,#REF!,2,FALSE)</f>
        <v>#REF!</v>
      </c>
    </row>
    <row r="5" spans="1:9" x14ac:dyDescent="0.25">
      <c r="A5" s="47" t="s">
        <v>170</v>
      </c>
      <c r="B5" s="47" t="s">
        <v>47</v>
      </c>
      <c r="C5" s="47" t="s">
        <v>210</v>
      </c>
      <c r="D5" s="47" t="s">
        <v>211</v>
      </c>
      <c r="E5" s="47" t="s">
        <v>212</v>
      </c>
      <c r="F5" s="47" t="s">
        <v>19</v>
      </c>
      <c r="G5" s="47" t="s">
        <v>83</v>
      </c>
      <c r="H5" s="47" t="e">
        <f>VLOOKUP(D5,#REF!,7,FALSE)</f>
        <v>#REF!</v>
      </c>
      <c r="I5" s="47" t="e">
        <f>VLOOKUP(H5,#REF!,2,FALSE)</f>
        <v>#REF!</v>
      </c>
    </row>
    <row r="6" spans="1:9" x14ac:dyDescent="0.25">
      <c r="A6" s="47" t="s">
        <v>9</v>
      </c>
      <c r="B6" s="47" t="s">
        <v>140</v>
      </c>
      <c r="C6" s="47" t="s">
        <v>276</v>
      </c>
      <c r="D6" s="47" t="s">
        <v>1172</v>
      </c>
      <c r="E6" s="47" t="s">
        <v>1477</v>
      </c>
      <c r="F6" s="47" t="s">
        <v>19</v>
      </c>
      <c r="G6" s="47" t="s">
        <v>79</v>
      </c>
      <c r="H6" s="47" t="e">
        <f>VLOOKUP(D6,#REF!,7,FALSE)</f>
        <v>#REF!</v>
      </c>
      <c r="I6" s="47" t="e">
        <f>VLOOKUP(H6,#REF!,2,FALSE)</f>
        <v>#REF!</v>
      </c>
    </row>
    <row r="7" spans="1:9" x14ac:dyDescent="0.25">
      <c r="A7" s="47" t="s">
        <v>170</v>
      </c>
      <c r="B7" s="47" t="s">
        <v>96</v>
      </c>
      <c r="C7" s="47" t="s">
        <v>276</v>
      </c>
      <c r="D7" s="47" t="s">
        <v>1173</v>
      </c>
      <c r="E7" s="47" t="s">
        <v>1174</v>
      </c>
      <c r="F7" s="49" t="s">
        <v>19</v>
      </c>
      <c r="G7" s="49" t="s">
        <v>24</v>
      </c>
      <c r="H7" s="49" t="e">
        <f>VLOOKUP(D7,#REF!,7,FALSE)</f>
        <v>#REF!</v>
      </c>
      <c r="I7" s="47" t="e">
        <f>VLOOKUP(H7,#REF!,2,FALSE)</f>
        <v>#REF!</v>
      </c>
    </row>
    <row r="8" spans="1:9" x14ac:dyDescent="0.25">
      <c r="A8" s="47" t="s">
        <v>56</v>
      </c>
      <c r="B8" s="47" t="s">
        <v>10</v>
      </c>
      <c r="C8" s="47" t="s">
        <v>1175</v>
      </c>
      <c r="D8" s="47" t="s">
        <v>316</v>
      </c>
      <c r="E8" s="47" t="s">
        <v>317</v>
      </c>
      <c r="F8" s="47" t="s">
        <v>19</v>
      </c>
      <c r="G8" s="47" t="s">
        <v>237</v>
      </c>
      <c r="H8" s="47" t="e">
        <f>VLOOKUP(D8,#REF!,7,FALSE)</f>
        <v>#REF!</v>
      </c>
      <c r="I8" s="47" t="e">
        <f>VLOOKUP(H8,#REF!,2,FALSE)</f>
        <v>#REF!</v>
      </c>
    </row>
    <row r="9" spans="1:9" x14ac:dyDescent="0.25">
      <c r="A9" s="47" t="s">
        <v>56</v>
      </c>
      <c r="B9" s="47" t="s">
        <v>47</v>
      </c>
      <c r="C9" s="47" t="s">
        <v>221</v>
      </c>
      <c r="D9" s="47" t="s">
        <v>1478</v>
      </c>
      <c r="E9" s="47" t="s">
        <v>347</v>
      </c>
      <c r="F9" s="47" t="s">
        <v>19</v>
      </c>
      <c r="G9" s="47" t="s">
        <v>112</v>
      </c>
      <c r="H9" s="47" t="e">
        <f>VLOOKUP(D9,#REF!,7,FALSE)</f>
        <v>#REF!</v>
      </c>
      <c r="I9" s="47" t="e">
        <f>VLOOKUP(H9,#REF!,2,FALSE)</f>
        <v>#REF!</v>
      </c>
    </row>
    <row r="10" spans="1:9" x14ac:dyDescent="0.25">
      <c r="A10" s="47" t="s">
        <v>56</v>
      </c>
      <c r="B10" s="47" t="s">
        <v>96</v>
      </c>
      <c r="C10" s="47" t="s">
        <v>1176</v>
      </c>
      <c r="D10" s="47" t="s">
        <v>316</v>
      </c>
      <c r="E10" s="47" t="s">
        <v>317</v>
      </c>
      <c r="F10" s="47" t="s">
        <v>19</v>
      </c>
      <c r="G10" s="47" t="s">
        <v>20</v>
      </c>
      <c r="H10" s="47" t="e">
        <f>VLOOKUP(D10,#REF!,7,FALSE)</f>
        <v>#REF!</v>
      </c>
      <c r="I10" s="47" t="e">
        <f>VLOOKUP(H10,#REF!,2,FALSE)</f>
        <v>#REF!</v>
      </c>
    </row>
    <row r="11" spans="1:9" x14ac:dyDescent="0.25">
      <c r="A11" s="47" t="s">
        <v>9</v>
      </c>
      <c r="B11" s="47" t="s">
        <v>96</v>
      </c>
      <c r="C11" s="47" t="s">
        <v>48</v>
      </c>
      <c r="D11" s="47" t="s">
        <v>49</v>
      </c>
      <c r="E11" s="47" t="s">
        <v>50</v>
      </c>
      <c r="F11" s="47" t="s">
        <v>14</v>
      </c>
      <c r="G11" s="47" t="s">
        <v>51</v>
      </c>
      <c r="H11" s="47" t="e">
        <f>VLOOKUP(D11,#REF!,7,FALSE)</f>
        <v>#REF!</v>
      </c>
      <c r="I11" s="47" t="e">
        <f>VLOOKUP(H11,#REF!,2,FALSE)</f>
        <v>#REF!</v>
      </c>
    </row>
    <row r="12" spans="1:9" x14ac:dyDescent="0.25">
      <c r="A12" s="47" t="s">
        <v>170</v>
      </c>
      <c r="B12" s="47" t="s">
        <v>47</v>
      </c>
      <c r="C12" s="47" t="s">
        <v>1177</v>
      </c>
      <c r="D12" s="47" t="s">
        <v>1178</v>
      </c>
      <c r="E12" s="47" t="s">
        <v>627</v>
      </c>
      <c r="F12" s="47" t="s">
        <v>14</v>
      </c>
      <c r="G12" s="47" t="s">
        <v>51</v>
      </c>
      <c r="H12" s="47" t="e">
        <f>VLOOKUP(D12,#REF!,7,FALSE)</f>
        <v>#REF!</v>
      </c>
      <c r="I12" s="47" t="e">
        <f>VLOOKUP(H12,#REF!,2,FALSE)</f>
        <v>#REF!</v>
      </c>
    </row>
    <row r="13" spans="1:9" x14ac:dyDescent="0.25">
      <c r="A13" s="47" t="s">
        <v>9</v>
      </c>
      <c r="B13" s="47" t="s">
        <v>10</v>
      </c>
      <c r="C13" s="47" t="s">
        <v>1185</v>
      </c>
      <c r="D13" s="47" t="s">
        <v>17</v>
      </c>
      <c r="E13" s="47" t="s">
        <v>18</v>
      </c>
      <c r="F13" s="47" t="s">
        <v>19</v>
      </c>
      <c r="G13" s="47" t="s">
        <v>20</v>
      </c>
      <c r="H13" s="47" t="e">
        <f>VLOOKUP(D13,#REF!,7,FALSE)</f>
        <v>#REF!</v>
      </c>
      <c r="I13" s="47" t="e">
        <f>VLOOKUP(H13,#REF!,2,FALSE)</f>
        <v>#REF!</v>
      </c>
    </row>
    <row r="14" spans="1:9" x14ac:dyDescent="0.25">
      <c r="A14" s="47" t="s">
        <v>56</v>
      </c>
      <c r="B14" s="47" t="s">
        <v>10</v>
      </c>
      <c r="C14" s="47" t="s">
        <v>229</v>
      </c>
      <c r="D14" s="47" t="s">
        <v>615</v>
      </c>
      <c r="E14" s="47" t="s">
        <v>616</v>
      </c>
      <c r="F14" s="47" t="s">
        <v>19</v>
      </c>
      <c r="G14" s="47" t="s">
        <v>83</v>
      </c>
      <c r="H14" s="47" t="e">
        <f>VLOOKUP(D14,#REF!,7,FALSE)</f>
        <v>#REF!</v>
      </c>
      <c r="I14" s="47" t="e">
        <f>VLOOKUP(H14,#REF!,2,FALSE)</f>
        <v>#REF!</v>
      </c>
    </row>
    <row r="15" spans="1:9" x14ac:dyDescent="0.25">
      <c r="A15" s="47" t="s">
        <v>56</v>
      </c>
      <c r="B15" s="47" t="s">
        <v>47</v>
      </c>
      <c r="C15" s="47" t="s">
        <v>1175</v>
      </c>
      <c r="D15" s="47" t="s">
        <v>17</v>
      </c>
      <c r="E15" s="47" t="s">
        <v>18</v>
      </c>
      <c r="F15" s="47" t="s">
        <v>19</v>
      </c>
      <c r="G15" s="47" t="s">
        <v>20</v>
      </c>
      <c r="H15" s="47" t="e">
        <f>VLOOKUP(D15,#REF!,7,FALSE)</f>
        <v>#REF!</v>
      </c>
      <c r="I15" s="47" t="e">
        <f>VLOOKUP(H15,#REF!,2,FALSE)</f>
        <v>#REF!</v>
      </c>
    </row>
    <row r="16" spans="1:9" x14ac:dyDescent="0.25">
      <c r="A16" s="47" t="s">
        <v>9</v>
      </c>
      <c r="B16" s="47" t="s">
        <v>140</v>
      </c>
      <c r="C16" s="47" t="s">
        <v>348</v>
      </c>
      <c r="D16" s="47" t="s">
        <v>349</v>
      </c>
      <c r="E16" s="47" t="s">
        <v>350</v>
      </c>
      <c r="F16" s="47" t="s">
        <v>14</v>
      </c>
      <c r="G16" s="47" t="s">
        <v>15</v>
      </c>
      <c r="H16" s="47" t="e">
        <f>VLOOKUP(D16,#REF!,7,FALSE)</f>
        <v>#REF!</v>
      </c>
      <c r="I16" s="47" t="e">
        <f>VLOOKUP(H16,#REF!,2,FALSE)</f>
        <v>#REF!</v>
      </c>
    </row>
    <row r="17" spans="1:9" x14ac:dyDescent="0.25">
      <c r="A17" s="47" t="s">
        <v>66</v>
      </c>
      <c r="B17" s="47" t="s">
        <v>96</v>
      </c>
      <c r="C17" s="47" t="s">
        <v>522</v>
      </c>
      <c r="D17" s="47" t="s">
        <v>523</v>
      </c>
      <c r="E17" s="47" t="s">
        <v>524</v>
      </c>
      <c r="F17" s="47" t="s">
        <v>14</v>
      </c>
      <c r="G17" s="47" t="s">
        <v>792</v>
      </c>
      <c r="H17" s="47" t="e">
        <f>VLOOKUP(D17,#REF!,7,FALSE)</f>
        <v>#REF!</v>
      </c>
      <c r="I17" s="47" t="e">
        <f>VLOOKUP(H17,#REF!,2,FALSE)</f>
        <v>#REF!</v>
      </c>
    </row>
    <row r="18" spans="1:9" x14ac:dyDescent="0.25">
      <c r="A18" s="47" t="s">
        <v>216</v>
      </c>
      <c r="B18" s="47" t="s">
        <v>96</v>
      </c>
      <c r="C18" s="47" t="s">
        <v>637</v>
      </c>
      <c r="D18" s="47" t="s">
        <v>638</v>
      </c>
      <c r="E18" s="47" t="s">
        <v>639</v>
      </c>
      <c r="F18" s="47" t="s">
        <v>14</v>
      </c>
      <c r="G18" s="47" t="s">
        <v>267</v>
      </c>
      <c r="H18" s="47" t="e">
        <f>VLOOKUP(D18,#REF!,7,FALSE)</f>
        <v>#REF!</v>
      </c>
      <c r="I18" s="47" t="e">
        <f>VLOOKUP(H18,#REF!,2,FALSE)</f>
        <v>#REF!</v>
      </c>
    </row>
    <row r="19" spans="1:9" x14ac:dyDescent="0.25">
      <c r="A19" s="47" t="s">
        <v>216</v>
      </c>
      <c r="B19" s="47" t="s">
        <v>47</v>
      </c>
      <c r="C19" s="47" t="s">
        <v>693</v>
      </c>
      <c r="D19" s="47" t="s">
        <v>694</v>
      </c>
      <c r="E19" s="47" t="s">
        <v>695</v>
      </c>
      <c r="F19" s="47" t="s">
        <v>14</v>
      </c>
      <c r="G19" s="47" t="s">
        <v>61</v>
      </c>
      <c r="H19" s="47" t="e">
        <f>VLOOKUP(D19,#REF!,7,FALSE)</f>
        <v>#REF!</v>
      </c>
      <c r="I19" s="47" t="e">
        <f>VLOOKUP(H19,#REF!,2,FALSE)</f>
        <v>#REF!</v>
      </c>
    </row>
    <row r="20" spans="1:9" x14ac:dyDescent="0.25">
      <c r="A20" s="47" t="s">
        <v>170</v>
      </c>
      <c r="B20" s="47" t="s">
        <v>10</v>
      </c>
      <c r="C20" s="47" t="s">
        <v>1237</v>
      </c>
      <c r="D20" s="47" t="s">
        <v>657</v>
      </c>
      <c r="E20" s="47" t="s">
        <v>658</v>
      </c>
      <c r="F20" s="47" t="s">
        <v>14</v>
      </c>
      <c r="G20" s="47" t="s">
        <v>33</v>
      </c>
      <c r="H20" s="47" t="e">
        <f>VLOOKUP(D20,#REF!,7,FALSE)</f>
        <v>#REF!</v>
      </c>
      <c r="I20" s="47" t="e">
        <f>VLOOKUP(H20,#REF!,2,FALSE)</f>
        <v>#REF!</v>
      </c>
    </row>
    <row r="21" spans="1:9" x14ac:dyDescent="0.25">
      <c r="A21" s="47" t="s">
        <v>66</v>
      </c>
      <c r="B21" s="47" t="s">
        <v>10</v>
      </c>
      <c r="C21" s="47" t="s">
        <v>58</v>
      </c>
      <c r="D21" s="47" t="s">
        <v>104</v>
      </c>
      <c r="E21" s="47" t="s">
        <v>105</v>
      </c>
      <c r="F21" s="47" t="s">
        <v>14</v>
      </c>
      <c r="G21" s="47" t="s">
        <v>61</v>
      </c>
      <c r="H21" s="47" t="e">
        <f>VLOOKUP(D21,#REF!,7,FALSE)</f>
        <v>#REF!</v>
      </c>
      <c r="I21" s="47" t="e">
        <f>VLOOKUP(H21,#REF!,2,FALSE)</f>
        <v>#REF!</v>
      </c>
    </row>
    <row r="22" spans="1:9" x14ac:dyDescent="0.25">
      <c r="A22" s="47" t="s">
        <v>216</v>
      </c>
      <c r="B22" s="47" t="s">
        <v>10</v>
      </c>
      <c r="C22" s="47" t="s">
        <v>438</v>
      </c>
      <c r="D22" s="47" t="s">
        <v>628</v>
      </c>
      <c r="E22" s="47" t="s">
        <v>629</v>
      </c>
      <c r="F22" s="47" t="s">
        <v>19</v>
      </c>
      <c r="G22" s="47" t="s">
        <v>20</v>
      </c>
      <c r="H22" s="47" t="e">
        <f>VLOOKUP(D22,#REF!,7,FALSE)</f>
        <v>#REF!</v>
      </c>
      <c r="I22" s="47" t="e">
        <f>VLOOKUP(H22,#REF!,2,FALSE)</f>
        <v>#REF!</v>
      </c>
    </row>
    <row r="23" spans="1:9" x14ac:dyDescent="0.25">
      <c r="A23" s="47" t="s">
        <v>216</v>
      </c>
      <c r="B23" s="47" t="s">
        <v>47</v>
      </c>
      <c r="C23" s="47" t="s">
        <v>535</v>
      </c>
      <c r="D23" s="47" t="s">
        <v>661</v>
      </c>
      <c r="E23" s="47" t="s">
        <v>662</v>
      </c>
      <c r="F23" s="47" t="s">
        <v>19</v>
      </c>
      <c r="G23" s="47" t="s">
        <v>287</v>
      </c>
      <c r="H23" s="47" t="e">
        <f>VLOOKUP(D23,#REF!,7,FALSE)</f>
        <v>#REF!</v>
      </c>
      <c r="I23" s="47" t="e">
        <f>VLOOKUP(H23,#REF!,2,FALSE)</f>
        <v>#REF!</v>
      </c>
    </row>
    <row r="24" spans="1:9" x14ac:dyDescent="0.25">
      <c r="A24" s="47" t="s">
        <v>216</v>
      </c>
      <c r="B24" s="47" t="s">
        <v>96</v>
      </c>
      <c r="C24" s="47" t="s">
        <v>441</v>
      </c>
      <c r="D24" s="47" t="s">
        <v>707</v>
      </c>
      <c r="E24" s="47" t="s">
        <v>708</v>
      </c>
      <c r="F24" s="47" t="s">
        <v>19</v>
      </c>
      <c r="G24" s="47" t="s">
        <v>83</v>
      </c>
      <c r="H24" s="47" t="e">
        <f>VLOOKUP(D24,#REF!,7,FALSE)</f>
        <v>#REF!</v>
      </c>
      <c r="I24" s="47" t="e">
        <f>VLOOKUP(H24,#REF!,2,FALSE)</f>
        <v>#REF!</v>
      </c>
    </row>
    <row r="25" spans="1:9" x14ac:dyDescent="0.25">
      <c r="A25" s="47" t="s">
        <v>216</v>
      </c>
      <c r="B25" s="47" t="s">
        <v>140</v>
      </c>
      <c r="C25" s="47" t="s">
        <v>688</v>
      </c>
      <c r="D25" s="47" t="s">
        <v>744</v>
      </c>
      <c r="E25" s="47" t="s">
        <v>745</v>
      </c>
      <c r="F25" s="47" t="s">
        <v>19</v>
      </c>
      <c r="G25" s="47" t="s">
        <v>20</v>
      </c>
      <c r="H25" s="47" t="e">
        <f>VLOOKUP(D25,#REF!,7,FALSE)</f>
        <v>#REF!</v>
      </c>
      <c r="I25" s="47" t="e">
        <f>VLOOKUP(H25,#REF!,2,FALSE)</f>
        <v>#REF!</v>
      </c>
    </row>
    <row r="26" spans="1:9" x14ac:dyDescent="0.25">
      <c r="A26" s="47" t="s">
        <v>216</v>
      </c>
      <c r="B26" s="47" t="s">
        <v>10</v>
      </c>
      <c r="C26" s="47" t="s">
        <v>476</v>
      </c>
      <c r="D26" s="47" t="s">
        <v>630</v>
      </c>
      <c r="E26" s="47" t="s">
        <v>631</v>
      </c>
      <c r="F26" s="47" t="s">
        <v>14</v>
      </c>
      <c r="G26" s="47" t="s">
        <v>65</v>
      </c>
      <c r="H26" s="47" t="e">
        <f>VLOOKUP(D26,#REF!,7,FALSE)</f>
        <v>#REF!</v>
      </c>
      <c r="I26" s="47" t="e">
        <f>VLOOKUP(H26,#REF!,2,FALSE)</f>
        <v>#REF!</v>
      </c>
    </row>
    <row r="27" spans="1:9" x14ac:dyDescent="0.25">
      <c r="A27" s="47" t="s">
        <v>216</v>
      </c>
      <c r="B27" s="47" t="s">
        <v>47</v>
      </c>
      <c r="C27" s="47" t="s">
        <v>476</v>
      </c>
      <c r="D27" s="47" t="s">
        <v>663</v>
      </c>
      <c r="E27" s="47" t="s">
        <v>664</v>
      </c>
      <c r="F27" s="47" t="s">
        <v>14</v>
      </c>
      <c r="G27" s="47" t="s">
        <v>65</v>
      </c>
      <c r="H27" s="47" t="e">
        <f>VLOOKUP(D27,#REF!,7,FALSE)</f>
        <v>#REF!</v>
      </c>
      <c r="I27" s="47" t="e">
        <f>VLOOKUP(H27,#REF!,2,FALSE)</f>
        <v>#REF!</v>
      </c>
    </row>
    <row r="28" spans="1:9" x14ac:dyDescent="0.25">
      <c r="A28" s="47" t="s">
        <v>216</v>
      </c>
      <c r="B28" s="47" t="s">
        <v>96</v>
      </c>
      <c r="C28" s="47" t="s">
        <v>354</v>
      </c>
      <c r="D28" s="47" t="s">
        <v>709</v>
      </c>
      <c r="E28" s="47" t="s">
        <v>710</v>
      </c>
      <c r="F28" s="47" t="s">
        <v>14</v>
      </c>
      <c r="G28" s="47" t="s">
        <v>220</v>
      </c>
      <c r="H28" s="47" t="e">
        <f>VLOOKUP(D28,#REF!,7,FALSE)</f>
        <v>#REF!</v>
      </c>
      <c r="I28" s="47" t="e">
        <f>VLOOKUP(H28,#REF!,2,FALSE)</f>
        <v>#REF!</v>
      </c>
    </row>
    <row r="29" spans="1:9" x14ac:dyDescent="0.25">
      <c r="A29" s="47" t="s">
        <v>216</v>
      </c>
      <c r="B29" s="47" t="s">
        <v>140</v>
      </c>
      <c r="C29" s="47" t="s">
        <v>354</v>
      </c>
      <c r="D29" s="47" t="s">
        <v>746</v>
      </c>
      <c r="E29" s="47" t="s">
        <v>747</v>
      </c>
      <c r="F29" s="47" t="s">
        <v>14</v>
      </c>
      <c r="G29" s="47" t="s">
        <v>220</v>
      </c>
      <c r="H29" s="47" t="e">
        <f>VLOOKUP(D29,#REF!,7,FALSE)</f>
        <v>#REF!</v>
      </c>
      <c r="I29" s="47" t="e">
        <f>VLOOKUP(H29,#REF!,2,FALSE)</f>
        <v>#REF!</v>
      </c>
    </row>
    <row r="30" spans="1:9" x14ac:dyDescent="0.25">
      <c r="A30" s="47" t="s">
        <v>170</v>
      </c>
      <c r="B30" s="47" t="s">
        <v>96</v>
      </c>
      <c r="C30" s="47" t="s">
        <v>535</v>
      </c>
      <c r="D30" s="47" t="s">
        <v>536</v>
      </c>
      <c r="E30" s="47" t="s">
        <v>537</v>
      </c>
      <c r="F30" s="47" t="s">
        <v>19</v>
      </c>
      <c r="G30" s="47" t="s">
        <v>87</v>
      </c>
      <c r="H30" s="47" t="e">
        <f>VLOOKUP(D30,#REF!,7,FALSE)</f>
        <v>#REF!</v>
      </c>
      <c r="I30" s="47" t="e">
        <f>VLOOKUP(H30,#REF!,2,FALSE)</f>
        <v>#REF!</v>
      </c>
    </row>
    <row r="31" spans="1:9" x14ac:dyDescent="0.25">
      <c r="A31" s="47" t="s">
        <v>170</v>
      </c>
      <c r="B31" s="47" t="s">
        <v>140</v>
      </c>
      <c r="C31" s="47" t="s">
        <v>357</v>
      </c>
      <c r="D31" s="47" t="s">
        <v>580</v>
      </c>
      <c r="E31" s="47" t="s">
        <v>581</v>
      </c>
      <c r="F31" s="47" t="s">
        <v>19</v>
      </c>
      <c r="G31" s="47" t="s">
        <v>24</v>
      </c>
      <c r="H31" s="47" t="e">
        <f>VLOOKUP(D31,#REF!,7,FALSE)</f>
        <v>#REF!</v>
      </c>
      <c r="I31" s="47" t="e">
        <f>VLOOKUP(H31,#REF!,2,FALSE)</f>
        <v>#REF!</v>
      </c>
    </row>
    <row r="32" spans="1:9" x14ac:dyDescent="0.25">
      <c r="A32" s="47" t="s">
        <v>170</v>
      </c>
      <c r="B32" s="47" t="s">
        <v>140</v>
      </c>
      <c r="C32" s="47" t="s">
        <v>1479</v>
      </c>
      <c r="D32" s="47" t="s">
        <v>421</v>
      </c>
      <c r="E32" s="47" t="s">
        <v>422</v>
      </c>
      <c r="F32" s="47" t="s">
        <v>28</v>
      </c>
      <c r="G32" s="47" t="s">
        <v>103</v>
      </c>
      <c r="H32" s="47" t="e">
        <f>VLOOKUP(D32,#REF!,7,FALSE)</f>
        <v>#REF!</v>
      </c>
      <c r="I32" s="47" t="e">
        <f>VLOOKUP(H32,#REF!,2,FALSE)</f>
        <v>#REF!</v>
      </c>
    </row>
    <row r="33" spans="1:9" x14ac:dyDescent="0.25">
      <c r="A33" s="47" t="s">
        <v>170</v>
      </c>
      <c r="B33" s="47" t="s">
        <v>943</v>
      </c>
      <c r="C33" s="47" t="s">
        <v>396</v>
      </c>
      <c r="D33" s="47" t="s">
        <v>611</v>
      </c>
      <c r="E33" s="47" t="s">
        <v>612</v>
      </c>
      <c r="F33" s="47" t="s">
        <v>28</v>
      </c>
      <c r="G33" s="48" t="s">
        <v>103</v>
      </c>
      <c r="H33" s="48" t="e">
        <f>VLOOKUP(D33,#REF!,7,FALSE)</f>
        <v>#REF!</v>
      </c>
      <c r="I33" s="47" t="e">
        <f>VLOOKUP(H33,#REF!,2,FALSE)</f>
        <v>#REF!</v>
      </c>
    </row>
    <row r="34" spans="1:9" x14ac:dyDescent="0.25">
      <c r="A34" s="47" t="s">
        <v>216</v>
      </c>
      <c r="B34" s="47" t="s">
        <v>10</v>
      </c>
      <c r="C34" s="47" t="s">
        <v>84</v>
      </c>
      <c r="D34" s="47" t="s">
        <v>632</v>
      </c>
      <c r="E34" s="47" t="s">
        <v>633</v>
      </c>
      <c r="F34" s="47" t="s">
        <v>28</v>
      </c>
      <c r="G34" s="47" t="s">
        <v>87</v>
      </c>
      <c r="H34" s="47" t="e">
        <f>VLOOKUP(D34,#REF!,7,FALSE)</f>
        <v>#REF!</v>
      </c>
      <c r="I34" s="47" t="e">
        <f>VLOOKUP(H34,#REF!,2,FALSE)</f>
        <v>#REF!</v>
      </c>
    </row>
    <row r="35" spans="1:9" x14ac:dyDescent="0.25">
      <c r="A35" s="47" t="s">
        <v>216</v>
      </c>
      <c r="B35" s="47" t="s">
        <v>47</v>
      </c>
      <c r="C35" s="47" t="s">
        <v>396</v>
      </c>
      <c r="D35" s="47" t="s">
        <v>665</v>
      </c>
      <c r="E35" s="47" t="s">
        <v>666</v>
      </c>
      <c r="F35" s="47" t="s">
        <v>28</v>
      </c>
      <c r="G35" s="47" t="s">
        <v>87</v>
      </c>
      <c r="H35" s="47" t="e">
        <f>VLOOKUP(D35,#REF!,7,FALSE)</f>
        <v>#REF!</v>
      </c>
      <c r="I35" s="47" t="e">
        <f>VLOOKUP(H35,#REF!,2,FALSE)</f>
        <v>#REF!</v>
      </c>
    </row>
    <row r="36" spans="1:9" x14ac:dyDescent="0.25">
      <c r="A36" s="47" t="s">
        <v>216</v>
      </c>
      <c r="B36" s="47" t="s">
        <v>96</v>
      </c>
      <c r="C36" s="47" t="s">
        <v>1480</v>
      </c>
      <c r="D36" s="47" t="s">
        <v>711</v>
      </c>
      <c r="E36" s="47" t="s">
        <v>712</v>
      </c>
      <c r="F36" s="47" t="s">
        <v>28</v>
      </c>
      <c r="G36" s="47" t="s">
        <v>87</v>
      </c>
      <c r="H36" s="47" t="e">
        <f>VLOOKUP(D36,#REF!,7,FALSE)</f>
        <v>#REF!</v>
      </c>
      <c r="I36" s="47" t="e">
        <f>VLOOKUP(H36,#REF!,2,FALSE)</f>
        <v>#REF!</v>
      </c>
    </row>
    <row r="37" spans="1:9" x14ac:dyDescent="0.25">
      <c r="A37" s="47" t="s">
        <v>216</v>
      </c>
      <c r="B37" s="47" t="s">
        <v>140</v>
      </c>
      <c r="C37" s="47" t="s">
        <v>1480</v>
      </c>
      <c r="D37" s="47" t="s">
        <v>748</v>
      </c>
      <c r="E37" s="47" t="s">
        <v>749</v>
      </c>
      <c r="F37" s="47" t="s">
        <v>28</v>
      </c>
      <c r="G37" s="47" t="s">
        <v>24</v>
      </c>
      <c r="H37" s="47" t="e">
        <f>VLOOKUP(D37,#REF!,7,FALSE)</f>
        <v>#REF!</v>
      </c>
      <c r="I37" s="47" t="e">
        <f>VLOOKUP(H37,#REF!,2,FALSE)</f>
        <v>#REF!</v>
      </c>
    </row>
    <row r="38" spans="1:9" x14ac:dyDescent="0.25">
      <c r="A38" s="47" t="s">
        <v>216</v>
      </c>
      <c r="B38" s="47" t="s">
        <v>10</v>
      </c>
      <c r="C38" s="47" t="s">
        <v>354</v>
      </c>
      <c r="D38" s="47" t="s">
        <v>640</v>
      </c>
      <c r="E38" s="47" t="s">
        <v>641</v>
      </c>
      <c r="F38" s="47" t="s">
        <v>14</v>
      </c>
      <c r="G38" s="47" t="s">
        <v>103</v>
      </c>
      <c r="H38" s="47" t="e">
        <f>VLOOKUP(D38,#REF!,7,FALSE)</f>
        <v>#REF!</v>
      </c>
      <c r="I38" s="47" t="e">
        <f>VLOOKUP(H38,#REF!,2,FALSE)</f>
        <v>#REF!</v>
      </c>
    </row>
    <row r="39" spans="1:9" x14ac:dyDescent="0.25">
      <c r="A39" s="47" t="s">
        <v>216</v>
      </c>
      <c r="B39" s="47" t="s">
        <v>47</v>
      </c>
      <c r="C39" s="47" t="s">
        <v>354</v>
      </c>
      <c r="D39" s="47" t="s">
        <v>669</v>
      </c>
      <c r="E39" s="47" t="s">
        <v>670</v>
      </c>
      <c r="F39" s="47" t="s">
        <v>14</v>
      </c>
      <c r="G39" s="47" t="s">
        <v>29</v>
      </c>
      <c r="H39" s="47" t="e">
        <f>VLOOKUP(D39,#REF!,7,FALSE)</f>
        <v>#REF!</v>
      </c>
      <c r="I39" s="47" t="e">
        <f>VLOOKUP(H39,#REF!,2,FALSE)</f>
        <v>#REF!</v>
      </c>
    </row>
    <row r="40" spans="1:9" x14ac:dyDescent="0.25">
      <c r="A40" s="47" t="s">
        <v>216</v>
      </c>
      <c r="B40" s="47" t="s">
        <v>140</v>
      </c>
      <c r="C40" s="47" t="s">
        <v>360</v>
      </c>
      <c r="D40" s="47" t="s">
        <v>1232</v>
      </c>
      <c r="E40" s="47" t="s">
        <v>687</v>
      </c>
      <c r="F40" s="47" t="s">
        <v>14</v>
      </c>
      <c r="G40" s="47" t="s">
        <v>29</v>
      </c>
      <c r="H40" s="47" t="e">
        <f>VLOOKUP(D40,#REF!,7,FALSE)</f>
        <v>#REF!</v>
      </c>
      <c r="I40" s="47" t="e">
        <f>VLOOKUP(H40,#REF!,2,FALSE)</f>
        <v>#REF!</v>
      </c>
    </row>
    <row r="41" spans="1:9" x14ac:dyDescent="0.25">
      <c r="A41" s="47" t="s">
        <v>216</v>
      </c>
      <c r="B41" s="47" t="s">
        <v>96</v>
      </c>
      <c r="C41" s="47" t="s">
        <v>476</v>
      </c>
      <c r="D41" s="47" t="s">
        <v>477</v>
      </c>
      <c r="E41" s="47" t="s">
        <v>478</v>
      </c>
      <c r="F41" s="47" t="s">
        <v>14</v>
      </c>
      <c r="G41" s="47" t="s">
        <v>103</v>
      </c>
      <c r="H41" s="47" t="e">
        <f>VLOOKUP(D41,#REF!,7,FALSE)</f>
        <v>#REF!</v>
      </c>
      <c r="I41" s="47" t="e">
        <f>VLOOKUP(H41,#REF!,2,FALSE)</f>
        <v>#REF!</v>
      </c>
    </row>
    <row r="42" spans="1:9" x14ac:dyDescent="0.25">
      <c r="A42" s="47" t="s">
        <v>216</v>
      </c>
      <c r="B42" s="47" t="s">
        <v>140</v>
      </c>
      <c r="C42" s="47" t="s">
        <v>281</v>
      </c>
      <c r="D42" s="47" t="s">
        <v>761</v>
      </c>
      <c r="E42" s="47" t="s">
        <v>762</v>
      </c>
      <c r="F42" s="47" t="s">
        <v>14</v>
      </c>
      <c r="G42" s="47" t="s">
        <v>492</v>
      </c>
      <c r="H42" s="47" t="e">
        <f>VLOOKUP(D42,#REF!,7,FALSE)</f>
        <v>#REF!</v>
      </c>
      <c r="I42" s="47" t="e">
        <f>VLOOKUP(H42,#REF!,2,FALSE)</f>
        <v>#REF!</v>
      </c>
    </row>
    <row r="43" spans="1:9" x14ac:dyDescent="0.25">
      <c r="A43" s="47" t="s">
        <v>9</v>
      </c>
      <c r="B43" s="47" t="s">
        <v>47</v>
      </c>
      <c r="C43" s="47" t="s">
        <v>62</v>
      </c>
      <c r="D43" s="47" t="s">
        <v>63</v>
      </c>
      <c r="E43" s="47" t="s">
        <v>64</v>
      </c>
      <c r="F43" s="47" t="s">
        <v>28</v>
      </c>
      <c r="G43" s="47" t="s">
        <v>65</v>
      </c>
      <c r="H43" s="47" t="e">
        <f>VLOOKUP(D43,#REF!,7,FALSE)</f>
        <v>#REF!</v>
      </c>
      <c r="I43" s="47" t="e">
        <f>VLOOKUP(H43,#REF!,2,FALSE)</f>
        <v>#REF!</v>
      </c>
    </row>
    <row r="44" spans="1:9" x14ac:dyDescent="0.25">
      <c r="A44" s="47" t="s">
        <v>9</v>
      </c>
      <c r="B44" s="47" t="s">
        <v>96</v>
      </c>
      <c r="C44" s="47" t="s">
        <v>1479</v>
      </c>
      <c r="D44" s="47" t="s">
        <v>540</v>
      </c>
      <c r="E44" s="47" t="s">
        <v>541</v>
      </c>
      <c r="F44" s="47" t="s">
        <v>28</v>
      </c>
      <c r="G44" s="47" t="s">
        <v>29</v>
      </c>
      <c r="H44" s="47" t="e">
        <f>VLOOKUP(D44,#REF!,7,FALSE)</f>
        <v>#REF!</v>
      </c>
      <c r="I44" s="47" t="e">
        <f>VLOOKUP(H44,#REF!,2,FALSE)</f>
        <v>#REF!</v>
      </c>
    </row>
    <row r="45" spans="1:9" x14ac:dyDescent="0.25">
      <c r="A45" s="47" t="s">
        <v>170</v>
      </c>
      <c r="B45" s="47" t="s">
        <v>47</v>
      </c>
      <c r="C45" s="47" t="s">
        <v>605</v>
      </c>
      <c r="D45" s="47" t="s">
        <v>671</v>
      </c>
      <c r="E45" s="47" t="s">
        <v>672</v>
      </c>
      <c r="F45" s="47" t="s">
        <v>28</v>
      </c>
      <c r="G45" s="47" t="s">
        <v>103</v>
      </c>
      <c r="H45" s="47" t="e">
        <f>VLOOKUP(D45,#REF!,7,FALSE)</f>
        <v>#REF!</v>
      </c>
      <c r="I45" s="47" t="e">
        <f>VLOOKUP(H45,#REF!,2,FALSE)</f>
        <v>#REF!</v>
      </c>
    </row>
    <row r="46" spans="1:9" x14ac:dyDescent="0.25">
      <c r="A46" s="47" t="s">
        <v>170</v>
      </c>
      <c r="B46" s="47" t="s">
        <v>96</v>
      </c>
      <c r="C46" s="47" t="s">
        <v>390</v>
      </c>
      <c r="D46" s="47" t="s">
        <v>705</v>
      </c>
      <c r="E46" s="47" t="s">
        <v>706</v>
      </c>
      <c r="F46" s="47" t="s">
        <v>28</v>
      </c>
      <c r="G46" s="47" t="s">
        <v>55</v>
      </c>
      <c r="H46" s="47" t="e">
        <f>VLOOKUP(D46,#REF!,7,FALSE)</f>
        <v>#REF!</v>
      </c>
      <c r="I46" s="47" t="e">
        <f>VLOOKUP(H46,#REF!,2,FALSE)</f>
        <v>#REF!</v>
      </c>
    </row>
    <row r="47" spans="1:9" x14ac:dyDescent="0.25">
      <c r="A47" s="47" t="s">
        <v>170</v>
      </c>
      <c r="B47" s="47" t="s">
        <v>140</v>
      </c>
      <c r="C47" s="47" t="s">
        <v>1189</v>
      </c>
      <c r="D47" s="47" t="s">
        <v>321</v>
      </c>
      <c r="E47" s="47" t="s">
        <v>322</v>
      </c>
      <c r="F47" s="47" t="s">
        <v>28</v>
      </c>
      <c r="G47" s="47" t="s">
        <v>51</v>
      </c>
      <c r="H47" s="47" t="e">
        <f>VLOOKUP(D47,#REF!,7,FALSE)</f>
        <v>#REF!</v>
      </c>
      <c r="I47" s="47" t="e">
        <f>VLOOKUP(H47,#REF!,2,FALSE)</f>
        <v>#REF!</v>
      </c>
    </row>
    <row r="48" spans="1:9" x14ac:dyDescent="0.25">
      <c r="A48" s="47" t="s">
        <v>66</v>
      </c>
      <c r="B48" s="47" t="s">
        <v>140</v>
      </c>
      <c r="C48" s="47" t="s">
        <v>313</v>
      </c>
      <c r="D48" s="47" t="s">
        <v>314</v>
      </c>
      <c r="E48" s="47" t="s">
        <v>315</v>
      </c>
      <c r="F48" s="47" t="s">
        <v>28</v>
      </c>
      <c r="G48" s="47" t="s">
        <v>65</v>
      </c>
      <c r="H48" s="47" t="e">
        <f>VLOOKUP(D48,#REF!,7,FALSE)</f>
        <v>#REF!</v>
      </c>
      <c r="I48" s="47" t="e">
        <f>VLOOKUP(H48,#REF!,2,FALSE)</f>
        <v>#REF!</v>
      </c>
    </row>
    <row r="49" spans="1:9" x14ac:dyDescent="0.25">
      <c r="A49" s="47" t="s">
        <v>56</v>
      </c>
      <c r="B49" s="47" t="s">
        <v>47</v>
      </c>
      <c r="C49" s="47" t="s">
        <v>342</v>
      </c>
      <c r="D49" s="47" t="s">
        <v>343</v>
      </c>
      <c r="E49" s="47" t="s">
        <v>344</v>
      </c>
      <c r="F49" s="47" t="s">
        <v>28</v>
      </c>
      <c r="G49" s="47" t="s">
        <v>79</v>
      </c>
      <c r="H49" s="47" t="e">
        <f>VLOOKUP(D49,#REF!,7,FALSE)</f>
        <v>#REF!</v>
      </c>
      <c r="I49" s="47" t="e">
        <f>VLOOKUP(H49,#REF!,2,FALSE)</f>
        <v>#REF!</v>
      </c>
    </row>
    <row r="50" spans="1:9" x14ac:dyDescent="0.25">
      <c r="A50" s="47" t="s">
        <v>56</v>
      </c>
      <c r="B50" s="47" t="s">
        <v>96</v>
      </c>
      <c r="C50" s="47" t="s">
        <v>390</v>
      </c>
      <c r="D50" s="47" t="s">
        <v>391</v>
      </c>
      <c r="E50" s="47" t="s">
        <v>392</v>
      </c>
      <c r="F50" s="47" t="s">
        <v>28</v>
      </c>
      <c r="G50" s="47" t="s">
        <v>65</v>
      </c>
      <c r="H50" s="47" t="e">
        <f>VLOOKUP(D50,#REF!,7,FALSE)</f>
        <v>#REF!</v>
      </c>
      <c r="I50" s="47" t="e">
        <f>VLOOKUP(H50,#REF!,2,FALSE)</f>
        <v>#REF!</v>
      </c>
    </row>
    <row r="51" spans="1:9" x14ac:dyDescent="0.25">
      <c r="A51" s="47" t="s">
        <v>66</v>
      </c>
      <c r="B51" s="47" t="s">
        <v>47</v>
      </c>
      <c r="C51" s="47" t="s">
        <v>444</v>
      </c>
      <c r="D51" s="47" t="s">
        <v>467</v>
      </c>
      <c r="E51" s="47" t="s">
        <v>468</v>
      </c>
      <c r="F51" s="47" t="s">
        <v>28</v>
      </c>
      <c r="G51" s="47" t="s">
        <v>79</v>
      </c>
      <c r="H51" s="47" t="e">
        <f>VLOOKUP(D51,#REF!,7,FALSE)</f>
        <v>#REF!</v>
      </c>
      <c r="I51" s="47" t="e">
        <f>VLOOKUP(H51,#REF!,2,FALSE)</f>
        <v>#REF!</v>
      </c>
    </row>
    <row r="52" spans="1:9" x14ac:dyDescent="0.25">
      <c r="A52" s="47" t="s">
        <v>66</v>
      </c>
      <c r="B52" s="47" t="s">
        <v>96</v>
      </c>
      <c r="C52" s="47" t="s">
        <v>501</v>
      </c>
      <c r="D52" s="47" t="s">
        <v>531</v>
      </c>
      <c r="E52" s="47" t="s">
        <v>532</v>
      </c>
      <c r="F52" s="47" t="s">
        <v>28</v>
      </c>
      <c r="G52" s="47" t="s">
        <v>29</v>
      </c>
      <c r="H52" s="47" t="e">
        <f>VLOOKUP(D52,#REF!,7,FALSE)</f>
        <v>#REF!</v>
      </c>
      <c r="I52" s="47" t="e">
        <f>VLOOKUP(H52,#REF!,2,FALSE)</f>
        <v>#REF!</v>
      </c>
    </row>
    <row r="53" spans="1:9" x14ac:dyDescent="0.25">
      <c r="A53" s="47" t="s">
        <v>56</v>
      </c>
      <c r="B53" s="47" t="s">
        <v>96</v>
      </c>
      <c r="C53" s="47" t="s">
        <v>471</v>
      </c>
      <c r="D53" s="47" t="s">
        <v>472</v>
      </c>
      <c r="E53" s="47" t="s">
        <v>473</v>
      </c>
      <c r="F53" s="47" t="s">
        <v>28</v>
      </c>
      <c r="G53" s="47" t="s">
        <v>112</v>
      </c>
      <c r="H53" s="47" t="e">
        <f>VLOOKUP(D53,#REF!,7,FALSE)</f>
        <v>#REF!</v>
      </c>
      <c r="I53" s="47" t="e">
        <f>VLOOKUP(H53,#REF!,2,FALSE)</f>
        <v>#REF!</v>
      </c>
    </row>
    <row r="54" spans="1:9" x14ac:dyDescent="0.25">
      <c r="A54" s="47" t="s">
        <v>170</v>
      </c>
      <c r="B54" s="47" t="s">
        <v>47</v>
      </c>
      <c r="C54" s="47" t="s">
        <v>1206</v>
      </c>
      <c r="D54" s="47" t="s">
        <v>214</v>
      </c>
      <c r="E54" s="47" t="s">
        <v>215</v>
      </c>
      <c r="F54" s="47" t="s">
        <v>28</v>
      </c>
      <c r="G54" s="47" t="s">
        <v>112</v>
      </c>
      <c r="H54" s="47" t="e">
        <f>VLOOKUP(D54,#REF!,7,FALSE)</f>
        <v>#REF!</v>
      </c>
      <c r="I54" s="47" t="e">
        <f>VLOOKUP(H54,#REF!,2,FALSE)</f>
        <v>#REF!</v>
      </c>
    </row>
    <row r="55" spans="1:9" x14ac:dyDescent="0.25">
      <c r="A55" s="49" t="s">
        <v>66</v>
      </c>
      <c r="B55" s="47" t="s">
        <v>10</v>
      </c>
      <c r="C55" s="49" t="s">
        <v>150</v>
      </c>
      <c r="D55" s="49" t="s">
        <v>465</v>
      </c>
      <c r="E55" s="49" t="s">
        <v>466</v>
      </c>
      <c r="F55" s="49" t="s">
        <v>14</v>
      </c>
      <c r="G55" s="49" t="s">
        <v>87</v>
      </c>
      <c r="H55" s="49" t="e">
        <f>VLOOKUP(D55,#REF!,7,FALSE)</f>
        <v>#REF!</v>
      </c>
      <c r="I55" s="47" t="e">
        <f>VLOOKUP(H55,#REF!,2,FALSE)</f>
        <v>#REF!</v>
      </c>
    </row>
    <row r="56" spans="1:9" x14ac:dyDescent="0.25">
      <c r="A56" s="47" t="s">
        <v>66</v>
      </c>
      <c r="B56" s="47" t="s">
        <v>47</v>
      </c>
      <c r="C56" s="47" t="s">
        <v>396</v>
      </c>
      <c r="D56" s="47" t="s">
        <v>469</v>
      </c>
      <c r="E56" s="47" t="s">
        <v>470</v>
      </c>
      <c r="F56" s="47" t="s">
        <v>28</v>
      </c>
      <c r="G56" s="47" t="s">
        <v>55</v>
      </c>
      <c r="H56" s="47" t="e">
        <f>VLOOKUP(D56,#REF!,7,FALSE)</f>
        <v>#REF!</v>
      </c>
      <c r="I56" s="47" t="e">
        <f>VLOOKUP(H56,#REF!,2,FALSE)</f>
        <v>#REF!</v>
      </c>
    </row>
    <row r="57" spans="1:9" x14ac:dyDescent="0.25">
      <c r="A57" s="47" t="s">
        <v>66</v>
      </c>
      <c r="B57" s="47" t="s">
        <v>96</v>
      </c>
      <c r="C57" s="47" t="s">
        <v>351</v>
      </c>
      <c r="D57" s="47" t="s">
        <v>542</v>
      </c>
      <c r="E57" s="47" t="s">
        <v>543</v>
      </c>
      <c r="F57" s="47" t="s">
        <v>28</v>
      </c>
      <c r="G57" s="47" t="s">
        <v>87</v>
      </c>
      <c r="H57" s="47" t="e">
        <f>VLOOKUP(D57,#REF!,7,FALSE)</f>
        <v>#REF!</v>
      </c>
      <c r="I57" s="47" t="e">
        <f>VLOOKUP(H57,#REF!,2,FALSE)</f>
        <v>#REF!</v>
      </c>
    </row>
    <row r="58" spans="1:9" x14ac:dyDescent="0.25">
      <c r="A58" s="47" t="s">
        <v>56</v>
      </c>
      <c r="B58" s="47" t="s">
        <v>10</v>
      </c>
      <c r="C58" s="47" t="s">
        <v>150</v>
      </c>
      <c r="D58" s="47" t="s">
        <v>673</v>
      </c>
      <c r="E58" s="47" t="s">
        <v>674</v>
      </c>
      <c r="F58" s="47" t="s">
        <v>28</v>
      </c>
      <c r="G58" s="47" t="s">
        <v>55</v>
      </c>
      <c r="H58" s="47" t="e">
        <f>VLOOKUP(D58,#REF!,7,FALSE)</f>
        <v>#REF!</v>
      </c>
      <c r="I58" s="47" t="e">
        <f>VLOOKUP(H58,#REF!,2,FALSE)</f>
        <v>#REF!</v>
      </c>
    </row>
    <row r="59" spans="1:9" x14ac:dyDescent="0.25">
      <c r="A59" s="47" t="s">
        <v>9</v>
      </c>
      <c r="B59" s="47" t="s">
        <v>140</v>
      </c>
      <c r="C59" s="47" t="s">
        <v>84</v>
      </c>
      <c r="D59" s="47" t="s">
        <v>752</v>
      </c>
      <c r="E59" s="47" t="s">
        <v>753</v>
      </c>
      <c r="F59" s="47" t="s">
        <v>28</v>
      </c>
      <c r="G59" s="47" t="s">
        <v>83</v>
      </c>
      <c r="H59" s="47" t="e">
        <f>VLOOKUP(D59,#REF!,7,FALSE)</f>
        <v>#REF!</v>
      </c>
      <c r="I59" s="47" t="e">
        <f>VLOOKUP(H59,#REF!,2,FALSE)</f>
        <v>#REF!</v>
      </c>
    </row>
    <row r="60" spans="1:9" x14ac:dyDescent="0.25">
      <c r="A60" s="47" t="s">
        <v>9</v>
      </c>
      <c r="B60" s="47" t="s">
        <v>47</v>
      </c>
      <c r="C60" s="47" t="s">
        <v>84</v>
      </c>
      <c r="D60" s="47" t="s">
        <v>85</v>
      </c>
      <c r="E60" s="47" t="s">
        <v>86</v>
      </c>
      <c r="F60" s="47" t="s">
        <v>28</v>
      </c>
      <c r="G60" s="47" t="s">
        <v>87</v>
      </c>
      <c r="H60" s="47" t="e">
        <f>VLOOKUP(D60,#REF!,7,FALSE)</f>
        <v>#REF!</v>
      </c>
      <c r="I60" s="47" t="e">
        <f>VLOOKUP(H60,#REF!,2,FALSE)</f>
        <v>#REF!</v>
      </c>
    </row>
    <row r="61" spans="1:9" x14ac:dyDescent="0.25">
      <c r="A61" s="47" t="s">
        <v>66</v>
      </c>
      <c r="B61" s="47" t="s">
        <v>47</v>
      </c>
      <c r="C61" s="47" t="s">
        <v>58</v>
      </c>
      <c r="D61" s="47" t="s">
        <v>59</v>
      </c>
      <c r="E61" s="47" t="s">
        <v>60</v>
      </c>
      <c r="F61" s="47" t="s">
        <v>14</v>
      </c>
      <c r="G61" s="47" t="s">
        <v>91</v>
      </c>
      <c r="H61" s="47" t="e">
        <f>VLOOKUP(D61,#REF!,7,FALSE)</f>
        <v>#REF!</v>
      </c>
      <c r="I61" s="47" t="e">
        <f>VLOOKUP(H61,#REF!,2,FALSE)</f>
        <v>#REF!</v>
      </c>
    </row>
    <row r="62" spans="1:9" x14ac:dyDescent="0.25">
      <c r="A62" s="47" t="s">
        <v>9</v>
      </c>
      <c r="B62" s="47" t="s">
        <v>10</v>
      </c>
      <c r="C62" s="47" t="s">
        <v>97</v>
      </c>
      <c r="D62" s="47" t="s">
        <v>98</v>
      </c>
      <c r="E62" s="47" t="s">
        <v>99</v>
      </c>
      <c r="F62" s="47" t="s">
        <v>14</v>
      </c>
      <c r="G62" s="47" t="s">
        <v>91</v>
      </c>
      <c r="H62" s="47" t="e">
        <f>VLOOKUP(D62,#REF!,7,FALSE)</f>
        <v>#REF!</v>
      </c>
      <c r="I62" s="47" t="e">
        <f>VLOOKUP(H62,#REF!,2,FALSE)</f>
        <v>#REF!</v>
      </c>
    </row>
    <row r="63" spans="1:9" x14ac:dyDescent="0.25">
      <c r="A63" s="47" t="s">
        <v>170</v>
      </c>
      <c r="B63" s="47" t="s">
        <v>96</v>
      </c>
      <c r="C63" s="47" t="s">
        <v>58</v>
      </c>
      <c r="D63" s="47" t="s">
        <v>244</v>
      </c>
      <c r="E63" s="47" t="s">
        <v>245</v>
      </c>
      <c r="F63" s="47" t="s">
        <v>14</v>
      </c>
      <c r="G63" s="47" t="s">
        <v>61</v>
      </c>
      <c r="H63" s="47" t="e">
        <f>VLOOKUP(D63,#REF!,7,FALSE)</f>
        <v>#REF!</v>
      </c>
      <c r="I63" s="47" t="e">
        <f>VLOOKUP(H63,#REF!,2,FALSE)</f>
        <v>#REF!</v>
      </c>
    </row>
    <row r="64" spans="1:9" x14ac:dyDescent="0.25">
      <c r="A64" s="47" t="s">
        <v>66</v>
      </c>
      <c r="B64" s="47" t="s">
        <v>10</v>
      </c>
      <c r="C64" s="47" t="s">
        <v>1190</v>
      </c>
      <c r="D64" s="47" t="s">
        <v>436</v>
      </c>
      <c r="E64" s="47" t="s">
        <v>437</v>
      </c>
      <c r="F64" s="47" t="s">
        <v>14</v>
      </c>
      <c r="G64" s="47" t="s">
        <v>91</v>
      </c>
      <c r="H64" s="47" t="e">
        <f>VLOOKUP(D64,#REF!,7,FALSE)</f>
        <v>#REF!</v>
      </c>
      <c r="I64" s="47" t="e">
        <f>VLOOKUP(H64,#REF!,2,FALSE)</f>
        <v>#REF!</v>
      </c>
    </row>
    <row r="65" spans="1:9" x14ac:dyDescent="0.25">
      <c r="A65" s="47" t="s">
        <v>9</v>
      </c>
      <c r="B65" s="47" t="s">
        <v>119</v>
      </c>
      <c r="C65" s="47" t="s">
        <v>120</v>
      </c>
      <c r="D65" s="47" t="s">
        <v>121</v>
      </c>
      <c r="E65" s="47" t="s">
        <v>122</v>
      </c>
      <c r="F65" s="47" t="s">
        <v>37</v>
      </c>
      <c r="G65" s="47" t="s">
        <v>123</v>
      </c>
      <c r="H65" s="47" t="e">
        <f>VLOOKUP(D65,#REF!,7,FALSE)</f>
        <v>#REF!</v>
      </c>
      <c r="I65" s="47" t="e">
        <f>VLOOKUP(H65,#REF!,2,FALSE)</f>
        <v>#REF!</v>
      </c>
    </row>
    <row r="66" spans="1:9" x14ac:dyDescent="0.25">
      <c r="A66" s="49" t="s">
        <v>9</v>
      </c>
      <c r="B66" s="47" t="s">
        <v>128</v>
      </c>
      <c r="C66" s="47" t="s">
        <v>163</v>
      </c>
      <c r="D66" s="47" t="s">
        <v>166</v>
      </c>
      <c r="E66" s="47" t="s">
        <v>167</v>
      </c>
      <c r="F66" s="47" t="s">
        <v>37</v>
      </c>
      <c r="G66" s="47" t="s">
        <v>136</v>
      </c>
      <c r="H66" s="47" t="e">
        <f>VLOOKUP(D66,#REF!,7,FALSE)</f>
        <v>#REF!</v>
      </c>
      <c r="I66" s="47" t="e">
        <f>VLOOKUP(H66,#REF!,2,FALSE)</f>
        <v>#REF!</v>
      </c>
    </row>
    <row r="67" spans="1:9" x14ac:dyDescent="0.25">
      <c r="A67" s="49" t="s">
        <v>170</v>
      </c>
      <c r="B67" s="49" t="s">
        <v>10</v>
      </c>
      <c r="C67" s="49" t="s">
        <v>120</v>
      </c>
      <c r="D67" s="49" t="s">
        <v>121</v>
      </c>
      <c r="E67" s="47" t="s">
        <v>122</v>
      </c>
      <c r="F67" s="49" t="s">
        <v>37</v>
      </c>
      <c r="G67" s="49" t="s">
        <v>123</v>
      </c>
      <c r="H67" s="49" t="e">
        <f>VLOOKUP(D67,#REF!,7,FALSE)</f>
        <v>#REF!</v>
      </c>
      <c r="I67" s="47" t="e">
        <f>VLOOKUP(H67,#REF!,2,FALSE)</f>
        <v>#REF!</v>
      </c>
    </row>
    <row r="68" spans="1:9" x14ac:dyDescent="0.25">
      <c r="A68" s="49" t="s">
        <v>170</v>
      </c>
      <c r="B68" s="49" t="s">
        <v>159</v>
      </c>
      <c r="C68" s="50" t="s">
        <v>163</v>
      </c>
      <c r="D68" s="49" t="s">
        <v>166</v>
      </c>
      <c r="E68" s="47" t="s">
        <v>167</v>
      </c>
      <c r="F68" s="49" t="s">
        <v>37</v>
      </c>
      <c r="G68" s="49" t="s">
        <v>42</v>
      </c>
      <c r="H68" s="49" t="e">
        <f>VLOOKUP(D68,#REF!,7,FALSE)</f>
        <v>#REF!</v>
      </c>
      <c r="I68" s="47" t="e">
        <f>VLOOKUP(H68,#REF!,2,FALSE)</f>
        <v>#REF!</v>
      </c>
    </row>
    <row r="69" spans="1:9" x14ac:dyDescent="0.25">
      <c r="A69" s="47" t="s">
        <v>9</v>
      </c>
      <c r="B69" s="47" t="s">
        <v>159</v>
      </c>
      <c r="C69" s="47" t="s">
        <v>160</v>
      </c>
      <c r="D69" s="47" t="s">
        <v>161</v>
      </c>
      <c r="E69" s="47" t="s">
        <v>162</v>
      </c>
      <c r="F69" s="47" t="s">
        <v>37</v>
      </c>
      <c r="G69" s="47" t="s">
        <v>136</v>
      </c>
      <c r="H69" s="47" t="e">
        <f>VLOOKUP(D69,#REF!,7,FALSE)</f>
        <v>#REF!</v>
      </c>
      <c r="I69" s="47" t="e">
        <f>VLOOKUP(H69,#REF!,2,FALSE)</f>
        <v>#REF!</v>
      </c>
    </row>
    <row r="70" spans="1:9" x14ac:dyDescent="0.25">
      <c r="A70" s="49" t="s">
        <v>170</v>
      </c>
      <c r="B70" s="49" t="s">
        <v>128</v>
      </c>
      <c r="C70" s="47" t="s">
        <v>160</v>
      </c>
      <c r="D70" s="49" t="s">
        <v>161</v>
      </c>
      <c r="E70" s="47" t="s">
        <v>162</v>
      </c>
      <c r="F70" s="49" t="s">
        <v>37</v>
      </c>
      <c r="G70" s="49" t="s">
        <v>136</v>
      </c>
      <c r="H70" s="49" t="e">
        <f>VLOOKUP(D70,#REF!,7,FALSE)</f>
        <v>#REF!</v>
      </c>
      <c r="I70" s="47" t="e">
        <f>VLOOKUP(H70,#REF!,2,FALSE)</f>
        <v>#REF!</v>
      </c>
    </row>
    <row r="71" spans="1:9" x14ac:dyDescent="0.25">
      <c r="A71" s="47" t="s">
        <v>56</v>
      </c>
      <c r="B71" s="47" t="s">
        <v>128</v>
      </c>
      <c r="C71" s="47" t="s">
        <v>133</v>
      </c>
      <c r="D71" s="47" t="s">
        <v>423</v>
      </c>
      <c r="E71" s="47" t="s">
        <v>424</v>
      </c>
      <c r="F71" s="47" t="s">
        <v>37</v>
      </c>
      <c r="G71" s="47" t="s">
        <v>136</v>
      </c>
      <c r="H71" s="47" t="e">
        <f>VLOOKUP(D71,#REF!,7,FALSE)</f>
        <v>#REF!</v>
      </c>
      <c r="I71" s="47" t="e">
        <f>VLOOKUP(H71,#REF!,2,FALSE)</f>
        <v>#REF!</v>
      </c>
    </row>
    <row r="72" spans="1:9" x14ac:dyDescent="0.25">
      <c r="A72" s="47" t="s">
        <v>56</v>
      </c>
      <c r="B72" s="47" t="s">
        <v>177</v>
      </c>
      <c r="C72" s="47" t="s">
        <v>120</v>
      </c>
      <c r="D72" s="47" t="s">
        <v>428</v>
      </c>
      <c r="E72" s="47" t="s">
        <v>429</v>
      </c>
      <c r="F72" s="47" t="s">
        <v>37</v>
      </c>
      <c r="G72" s="47" t="s">
        <v>123</v>
      </c>
      <c r="H72" s="47" t="e">
        <f>VLOOKUP(D72,#REF!,7,FALSE)</f>
        <v>#REF!</v>
      </c>
      <c r="I72" s="47" t="e">
        <f>VLOOKUP(H72,#REF!,2,FALSE)</f>
        <v>#REF!</v>
      </c>
    </row>
    <row r="73" spans="1:9" x14ac:dyDescent="0.25">
      <c r="A73" s="47" t="s">
        <v>66</v>
      </c>
      <c r="B73" s="47" t="s">
        <v>119</v>
      </c>
      <c r="C73" s="47" t="s">
        <v>133</v>
      </c>
      <c r="D73" s="47" t="s">
        <v>423</v>
      </c>
      <c r="E73" s="47" t="s">
        <v>424</v>
      </c>
      <c r="F73" s="47" t="s">
        <v>37</v>
      </c>
      <c r="G73" s="47" t="s">
        <v>132</v>
      </c>
      <c r="H73" s="47" t="e">
        <f>VLOOKUP(D73,#REF!,7,FALSE)</f>
        <v>#REF!</v>
      </c>
      <c r="I73" s="47" t="e">
        <f>VLOOKUP(H73,#REF!,2,FALSE)</f>
        <v>#REF!</v>
      </c>
    </row>
    <row r="74" spans="1:9" x14ac:dyDescent="0.25">
      <c r="A74" s="47" t="s">
        <v>66</v>
      </c>
      <c r="B74" s="49" t="s">
        <v>10</v>
      </c>
      <c r="C74" s="47" t="s">
        <v>120</v>
      </c>
      <c r="D74" s="47" t="s">
        <v>428</v>
      </c>
      <c r="E74" s="47" t="s">
        <v>429</v>
      </c>
      <c r="F74" s="47" t="s">
        <v>37</v>
      </c>
      <c r="G74" s="47" t="s">
        <v>123</v>
      </c>
      <c r="H74" s="47" t="e">
        <f>VLOOKUP(D74,#REF!,7,FALSE)</f>
        <v>#REF!</v>
      </c>
      <c r="I74" s="47" t="e">
        <f>VLOOKUP(H74,#REF!,2,FALSE)</f>
        <v>#REF!</v>
      </c>
    </row>
    <row r="75" spans="1:9" x14ac:dyDescent="0.25">
      <c r="A75" s="47" t="s">
        <v>9</v>
      </c>
      <c r="B75" s="47" t="s">
        <v>140</v>
      </c>
      <c r="C75" s="47" t="s">
        <v>144</v>
      </c>
      <c r="D75" s="47" t="s">
        <v>145</v>
      </c>
      <c r="E75" s="47" t="s">
        <v>146</v>
      </c>
      <c r="F75" s="47" t="s">
        <v>28</v>
      </c>
      <c r="G75" s="47" t="s">
        <v>103</v>
      </c>
      <c r="H75" s="47" t="e">
        <f>VLOOKUP(D75,#REF!,7,FALSE)</f>
        <v>#REF!</v>
      </c>
      <c r="I75" s="47" t="e">
        <f>VLOOKUP(H75,#REF!,2,FALSE)</f>
        <v>#REF!</v>
      </c>
    </row>
    <row r="76" spans="1:9" x14ac:dyDescent="0.25">
      <c r="A76" s="47" t="s">
        <v>66</v>
      </c>
      <c r="B76" s="47" t="s">
        <v>140</v>
      </c>
      <c r="C76" s="47" t="s">
        <v>1194</v>
      </c>
      <c r="D76" s="47" t="s">
        <v>584</v>
      </c>
      <c r="E76" s="47" t="s">
        <v>585</v>
      </c>
      <c r="F76" s="47" t="s">
        <v>28</v>
      </c>
      <c r="G76" s="47" t="s">
        <v>112</v>
      </c>
      <c r="H76" s="47" t="e">
        <f>VLOOKUP(D76,#REF!,7,FALSE)</f>
        <v>#REF!</v>
      </c>
      <c r="I76" s="47" t="e">
        <f>VLOOKUP(H76,#REF!,2,FALSE)</f>
        <v>#REF!</v>
      </c>
    </row>
    <row r="77" spans="1:9" x14ac:dyDescent="0.25">
      <c r="A77" s="47" t="s">
        <v>216</v>
      </c>
      <c r="B77" s="47" t="s">
        <v>47</v>
      </c>
      <c r="C77" s="47" t="s">
        <v>390</v>
      </c>
      <c r="D77" s="47" t="s">
        <v>684</v>
      </c>
      <c r="E77" s="47" t="s">
        <v>685</v>
      </c>
      <c r="F77" s="47" t="s">
        <v>28</v>
      </c>
      <c r="G77" s="47" t="s">
        <v>112</v>
      </c>
      <c r="H77" s="47" t="e">
        <f>VLOOKUP(D77,#REF!,7,FALSE)</f>
        <v>#REF!</v>
      </c>
      <c r="I77" s="47" t="e">
        <f>VLOOKUP(H77,#REF!,2,FALSE)</f>
        <v>#REF!</v>
      </c>
    </row>
    <row r="78" spans="1:9" x14ac:dyDescent="0.25">
      <c r="A78" s="47" t="s">
        <v>9</v>
      </c>
      <c r="B78" s="47" t="s">
        <v>96</v>
      </c>
      <c r="C78" s="47" t="s">
        <v>504</v>
      </c>
      <c r="D78" s="47" t="s">
        <v>701</v>
      </c>
      <c r="E78" s="47" t="s">
        <v>702</v>
      </c>
      <c r="F78" s="47" t="s">
        <v>28</v>
      </c>
      <c r="G78" s="47" t="s">
        <v>55</v>
      </c>
      <c r="H78" s="47" t="e">
        <f>VLOOKUP(D78,#REF!,7,FALSE)</f>
        <v>#REF!</v>
      </c>
      <c r="I78" s="47" t="e">
        <f>VLOOKUP(H78,#REF!,2,FALSE)</f>
        <v>#REF!</v>
      </c>
    </row>
    <row r="79" spans="1:9" x14ac:dyDescent="0.25">
      <c r="A79" s="47" t="s">
        <v>66</v>
      </c>
      <c r="B79" s="47" t="s">
        <v>10</v>
      </c>
      <c r="C79" s="47" t="s">
        <v>76</v>
      </c>
      <c r="D79" s="47" t="s">
        <v>77</v>
      </c>
      <c r="E79" s="47" t="s">
        <v>78</v>
      </c>
      <c r="F79" s="47" t="s">
        <v>28</v>
      </c>
      <c r="G79" s="47" t="s">
        <v>79</v>
      </c>
      <c r="H79" s="47" t="e">
        <f>VLOOKUP(D79,#REF!,7,FALSE)</f>
        <v>#REF!</v>
      </c>
      <c r="I79" s="47" t="e">
        <f>VLOOKUP(H79,#REF!,2,FALSE)</f>
        <v>#REF!</v>
      </c>
    </row>
    <row r="80" spans="1:9" x14ac:dyDescent="0.25">
      <c r="A80" s="47" t="s">
        <v>66</v>
      </c>
      <c r="B80" s="47" t="s">
        <v>10</v>
      </c>
      <c r="C80" s="47" t="s">
        <v>73</v>
      </c>
      <c r="D80" s="47" t="s">
        <v>74</v>
      </c>
      <c r="E80" s="47" t="s">
        <v>75</v>
      </c>
      <c r="F80" s="47" t="s">
        <v>14</v>
      </c>
      <c r="G80" s="47" t="s">
        <v>51</v>
      </c>
      <c r="H80" s="47" t="e">
        <f>VLOOKUP(D80,#REF!,7,FALSE)</f>
        <v>#REF!</v>
      </c>
      <c r="I80" s="47" t="e">
        <f>VLOOKUP(H80,#REF!,2,FALSE)</f>
        <v>#REF!</v>
      </c>
    </row>
    <row r="81" spans="1:9" x14ac:dyDescent="0.25">
      <c r="A81" s="47" t="s">
        <v>9</v>
      </c>
      <c r="B81" s="47" t="s">
        <v>10</v>
      </c>
      <c r="C81" s="47" t="s">
        <v>1195</v>
      </c>
      <c r="D81" s="47" t="s">
        <v>138</v>
      </c>
      <c r="E81" s="47" t="s">
        <v>139</v>
      </c>
      <c r="F81" s="47" t="s">
        <v>14</v>
      </c>
      <c r="G81" s="47" t="s">
        <v>51</v>
      </c>
      <c r="H81" s="47" t="e">
        <f>VLOOKUP(D81,#REF!,7,FALSE)</f>
        <v>#REF!</v>
      </c>
      <c r="I81" s="47" t="e">
        <f>VLOOKUP(H81,#REF!,2,FALSE)</f>
        <v>#REF!</v>
      </c>
    </row>
    <row r="82" spans="1:9" x14ac:dyDescent="0.25">
      <c r="A82" s="47" t="s">
        <v>216</v>
      </c>
      <c r="B82" s="47" t="s">
        <v>10</v>
      </c>
      <c r="C82" s="47" t="s">
        <v>1196</v>
      </c>
      <c r="D82" s="47" t="s">
        <v>635</v>
      </c>
      <c r="E82" s="47" t="s">
        <v>636</v>
      </c>
      <c r="F82" s="47" t="s">
        <v>14</v>
      </c>
      <c r="G82" s="47" t="s">
        <v>91</v>
      </c>
      <c r="H82" s="47" t="e">
        <f>VLOOKUP(D82,#REF!,7,FALSE)</f>
        <v>#REF!</v>
      </c>
      <c r="I82" s="47" t="e">
        <f>VLOOKUP(H82,#REF!,2,FALSE)</f>
        <v>#REF!</v>
      </c>
    </row>
    <row r="83" spans="1:9" x14ac:dyDescent="0.25">
      <c r="A83" s="47" t="s">
        <v>66</v>
      </c>
      <c r="B83" s="47" t="s">
        <v>47</v>
      </c>
      <c r="C83" s="47" t="s">
        <v>351</v>
      </c>
      <c r="D83" s="47" t="s">
        <v>352</v>
      </c>
      <c r="E83" s="47" t="s">
        <v>353</v>
      </c>
      <c r="F83" s="47" t="s">
        <v>28</v>
      </c>
      <c r="G83" s="47" t="s">
        <v>65</v>
      </c>
      <c r="H83" s="47" t="e">
        <f>VLOOKUP(D83,#REF!,7,FALSE)</f>
        <v>#REF!</v>
      </c>
      <c r="I83" s="47" t="e">
        <f>VLOOKUP(H83,#REF!,2,FALSE)</f>
        <v>#REF!</v>
      </c>
    </row>
    <row r="84" spans="1:9" x14ac:dyDescent="0.25">
      <c r="A84" s="47" t="s">
        <v>216</v>
      </c>
      <c r="B84" s="47" t="s">
        <v>47</v>
      </c>
      <c r="C84" s="47" t="s">
        <v>62</v>
      </c>
      <c r="D84" s="47" t="s">
        <v>394</v>
      </c>
      <c r="E84" s="47" t="s">
        <v>395</v>
      </c>
      <c r="F84" s="47" t="s">
        <v>28</v>
      </c>
      <c r="G84" s="47" t="s">
        <v>220</v>
      </c>
      <c r="H84" s="47" t="e">
        <f>VLOOKUP(D84,#REF!,7,FALSE)</f>
        <v>#REF!</v>
      </c>
      <c r="I84" s="47" t="e">
        <f>VLOOKUP(H84,#REF!,2,FALSE)</f>
        <v>#REF!</v>
      </c>
    </row>
    <row r="85" spans="1:9" x14ac:dyDescent="0.25">
      <c r="A85" s="47" t="s">
        <v>66</v>
      </c>
      <c r="B85" s="47" t="s">
        <v>96</v>
      </c>
      <c r="C85" s="47" t="s">
        <v>113</v>
      </c>
      <c r="D85" s="47" t="s">
        <v>544</v>
      </c>
      <c r="E85" s="47" t="s">
        <v>545</v>
      </c>
      <c r="F85" s="47" t="s">
        <v>28</v>
      </c>
      <c r="G85" s="47" t="s">
        <v>65</v>
      </c>
      <c r="H85" s="47" t="e">
        <f>VLOOKUP(D85,#REF!,7,FALSE)</f>
        <v>#REF!</v>
      </c>
      <c r="I85" s="47" t="e">
        <f>VLOOKUP(H85,#REF!,2,FALSE)</f>
        <v>#REF!</v>
      </c>
    </row>
    <row r="86" spans="1:9" x14ac:dyDescent="0.25">
      <c r="A86" s="47" t="s">
        <v>56</v>
      </c>
      <c r="B86" s="47" t="s">
        <v>96</v>
      </c>
      <c r="C86" s="47" t="s">
        <v>444</v>
      </c>
      <c r="D86" s="47" t="s">
        <v>582</v>
      </c>
      <c r="E86" s="47" t="s">
        <v>583</v>
      </c>
      <c r="F86" s="47" t="s">
        <v>28</v>
      </c>
      <c r="G86" s="47" t="s">
        <v>103</v>
      </c>
      <c r="H86" s="47" t="e">
        <f>VLOOKUP(D86,#REF!,7,FALSE)</f>
        <v>#REF!</v>
      </c>
      <c r="I86" s="47" t="e">
        <f>VLOOKUP(H86,#REF!,2,FALSE)</f>
        <v>#REF!</v>
      </c>
    </row>
    <row r="87" spans="1:9" x14ac:dyDescent="0.25">
      <c r="A87" s="47" t="s">
        <v>170</v>
      </c>
      <c r="B87" s="47" t="s">
        <v>140</v>
      </c>
      <c r="C87" s="47" t="s">
        <v>129</v>
      </c>
      <c r="D87" s="47" t="s">
        <v>279</v>
      </c>
      <c r="E87" s="47" t="s">
        <v>280</v>
      </c>
      <c r="F87" s="47" t="s">
        <v>37</v>
      </c>
      <c r="G87" s="47" t="s">
        <v>42</v>
      </c>
      <c r="H87" s="47" t="e">
        <f>VLOOKUP(D87,#REF!,7,FALSE)</f>
        <v>#REF!</v>
      </c>
      <c r="I87" s="47" t="e">
        <f>VLOOKUP(H87,#REF!,2,FALSE)</f>
        <v>#REF!</v>
      </c>
    </row>
    <row r="88" spans="1:9" x14ac:dyDescent="0.25">
      <c r="A88" s="47" t="s">
        <v>170</v>
      </c>
      <c r="B88" s="47" t="s">
        <v>312</v>
      </c>
      <c r="C88" s="47" t="s">
        <v>129</v>
      </c>
      <c r="D88" s="47" t="s">
        <v>279</v>
      </c>
      <c r="E88" s="47" t="s">
        <v>280</v>
      </c>
      <c r="F88" s="47" t="s">
        <v>37</v>
      </c>
      <c r="G88" s="47" t="s">
        <v>38</v>
      </c>
      <c r="H88" s="47" t="e">
        <f>VLOOKUP(D88,#REF!,7,FALSE)</f>
        <v>#REF!</v>
      </c>
      <c r="I88" s="47" t="e">
        <f>VLOOKUP(H88,#REF!,2,FALSE)</f>
        <v>#REF!</v>
      </c>
    </row>
    <row r="89" spans="1:9" x14ac:dyDescent="0.25">
      <c r="A89" s="47" t="s">
        <v>66</v>
      </c>
      <c r="B89" s="47" t="s">
        <v>96</v>
      </c>
      <c r="C89" s="47" t="s">
        <v>67</v>
      </c>
      <c r="D89" s="47" t="s">
        <v>68</v>
      </c>
      <c r="E89" s="47" t="s">
        <v>69</v>
      </c>
      <c r="F89" s="47" t="s">
        <v>14</v>
      </c>
      <c r="G89" s="47" t="s">
        <v>267</v>
      </c>
      <c r="H89" s="47" t="e">
        <f>VLOOKUP(D89,#REF!,7,FALSE)</f>
        <v>#REF!</v>
      </c>
      <c r="I89" s="47" t="e">
        <f>VLOOKUP(H89,#REF!,2,FALSE)</f>
        <v>#REF!</v>
      </c>
    </row>
    <row r="90" spans="1:9" x14ac:dyDescent="0.25">
      <c r="A90" s="47" t="s">
        <v>9</v>
      </c>
      <c r="B90" s="47" t="s">
        <v>10</v>
      </c>
      <c r="C90" s="47" t="s">
        <v>25</v>
      </c>
      <c r="D90" s="47" t="s">
        <v>26</v>
      </c>
      <c r="E90" s="47" t="s">
        <v>27</v>
      </c>
      <c r="F90" s="47" t="s">
        <v>28</v>
      </c>
      <c r="G90" s="47" t="s">
        <v>29</v>
      </c>
      <c r="H90" s="47" t="e">
        <f>VLOOKUP(D90,#REF!,7,FALSE)</f>
        <v>#REF!</v>
      </c>
      <c r="I90" s="47" t="e">
        <f>VLOOKUP(H90,#REF!,2,FALSE)</f>
        <v>#REF!</v>
      </c>
    </row>
    <row r="91" spans="1:9" x14ac:dyDescent="0.25">
      <c r="A91" s="47" t="s">
        <v>9</v>
      </c>
      <c r="B91" s="47" t="s">
        <v>140</v>
      </c>
      <c r="C91" s="47" t="s">
        <v>76</v>
      </c>
      <c r="D91" s="47" t="s">
        <v>190</v>
      </c>
      <c r="E91" s="47" t="s">
        <v>191</v>
      </c>
      <c r="F91" s="47" t="s">
        <v>28</v>
      </c>
      <c r="G91" s="47" t="s">
        <v>29</v>
      </c>
      <c r="H91" s="47" t="e">
        <f>VLOOKUP(D91,#REF!,7,FALSE)</f>
        <v>#REF!</v>
      </c>
      <c r="I91" s="47" t="e">
        <f>VLOOKUP(H91,#REF!,2,FALSE)</f>
        <v>#REF!</v>
      </c>
    </row>
    <row r="92" spans="1:9" x14ac:dyDescent="0.25">
      <c r="A92" s="47" t="s">
        <v>9</v>
      </c>
      <c r="B92" s="47" t="s">
        <v>96</v>
      </c>
      <c r="C92" s="47" t="s">
        <v>501</v>
      </c>
      <c r="D92" s="47" t="s">
        <v>754</v>
      </c>
      <c r="E92" s="47" t="s">
        <v>755</v>
      </c>
      <c r="F92" s="47" t="s">
        <v>28</v>
      </c>
      <c r="G92" s="47" t="s">
        <v>287</v>
      </c>
      <c r="H92" s="47" t="e">
        <f>VLOOKUP(D92,#REF!,7,FALSE)</f>
        <v>#REF!</v>
      </c>
      <c r="I92" s="47" t="e">
        <f>VLOOKUP(H92,#REF!,2,FALSE)</f>
        <v>#REF!</v>
      </c>
    </row>
    <row r="93" spans="1:9" x14ac:dyDescent="0.25">
      <c r="A93" s="47" t="s">
        <v>9</v>
      </c>
      <c r="B93" s="47" t="s">
        <v>10</v>
      </c>
      <c r="C93" s="47" t="s">
        <v>21</v>
      </c>
      <c r="D93" s="47" t="s">
        <v>22</v>
      </c>
      <c r="E93" s="47" t="s">
        <v>23</v>
      </c>
      <c r="F93" s="47" t="s">
        <v>19</v>
      </c>
      <c r="G93" s="47" t="s">
        <v>24</v>
      </c>
      <c r="H93" s="47" t="e">
        <f>VLOOKUP(D93,#REF!,7,FALSE)</f>
        <v>#REF!</v>
      </c>
      <c r="I93" s="47" t="e">
        <f>VLOOKUP(H93,#REF!,2,FALSE)</f>
        <v>#REF!</v>
      </c>
    </row>
    <row r="94" spans="1:9" x14ac:dyDescent="0.25">
      <c r="A94" s="47" t="s">
        <v>9</v>
      </c>
      <c r="B94" s="47" t="s">
        <v>47</v>
      </c>
      <c r="C94" s="47" t="s">
        <v>21</v>
      </c>
      <c r="D94" s="47" t="s">
        <v>71</v>
      </c>
      <c r="E94" s="47" t="s">
        <v>72</v>
      </c>
      <c r="F94" s="47" t="s">
        <v>19</v>
      </c>
      <c r="G94" s="47" t="s">
        <v>24</v>
      </c>
      <c r="H94" s="47" t="e">
        <f>VLOOKUP(D94,#REF!,7,FALSE)</f>
        <v>#REF!</v>
      </c>
      <c r="I94" s="47" t="e">
        <f>VLOOKUP(H94,#REF!,2,FALSE)</f>
        <v>#REF!</v>
      </c>
    </row>
    <row r="95" spans="1:9" x14ac:dyDescent="0.25">
      <c r="A95" s="47" t="s">
        <v>66</v>
      </c>
      <c r="B95" s="47" t="s">
        <v>10</v>
      </c>
      <c r="C95" s="47" t="s">
        <v>438</v>
      </c>
      <c r="D95" s="47" t="s">
        <v>439</v>
      </c>
      <c r="E95" s="47" t="s">
        <v>440</v>
      </c>
      <c r="F95" s="47" t="s">
        <v>19</v>
      </c>
      <c r="G95" s="47" t="s">
        <v>237</v>
      </c>
      <c r="H95" s="47" t="e">
        <f>VLOOKUP(D95,#REF!,7,FALSE)</f>
        <v>#REF!</v>
      </c>
      <c r="I95" s="47" t="e">
        <f>VLOOKUP(H95,#REF!,2,FALSE)</f>
        <v>#REF!</v>
      </c>
    </row>
    <row r="96" spans="1:9" x14ac:dyDescent="0.25">
      <c r="A96" s="47" t="s">
        <v>66</v>
      </c>
      <c r="B96" s="47" t="s">
        <v>47</v>
      </c>
      <c r="C96" s="47" t="s">
        <v>229</v>
      </c>
      <c r="D96" s="47" t="s">
        <v>474</v>
      </c>
      <c r="E96" s="47" t="s">
        <v>475</v>
      </c>
      <c r="F96" s="47" t="s">
        <v>19</v>
      </c>
      <c r="G96" s="47" t="s">
        <v>83</v>
      </c>
      <c r="H96" s="47" t="e">
        <f>VLOOKUP(D96,#REF!,7,FALSE)</f>
        <v>#REF!</v>
      </c>
      <c r="I96" s="47" t="e">
        <f>VLOOKUP(H96,#REF!,2,FALSE)</f>
        <v>#REF!</v>
      </c>
    </row>
    <row r="97" spans="1:9" x14ac:dyDescent="0.25">
      <c r="A97" s="47" t="s">
        <v>9</v>
      </c>
      <c r="B97" s="47" t="s">
        <v>10</v>
      </c>
      <c r="C97" s="47" t="s">
        <v>484</v>
      </c>
      <c r="D97" s="47" t="s">
        <v>485</v>
      </c>
      <c r="E97" s="47" t="s">
        <v>486</v>
      </c>
      <c r="F97" s="47" t="s">
        <v>19</v>
      </c>
      <c r="G97" s="47" t="s">
        <v>55</v>
      </c>
      <c r="H97" s="47" t="e">
        <f>VLOOKUP(D97,#REF!,7,FALSE)</f>
        <v>#REF!</v>
      </c>
      <c r="I97" s="47" t="e">
        <f>VLOOKUP(H97,#REF!,2,FALSE)</f>
        <v>#REF!</v>
      </c>
    </row>
    <row r="98" spans="1:9" x14ac:dyDescent="0.25">
      <c r="A98" s="47" t="s">
        <v>216</v>
      </c>
      <c r="B98" s="47" t="s">
        <v>10</v>
      </c>
      <c r="C98" s="47" t="s">
        <v>1250</v>
      </c>
      <c r="D98" s="47" t="s">
        <v>645</v>
      </c>
      <c r="E98" s="47" t="s">
        <v>646</v>
      </c>
      <c r="F98" s="47" t="s">
        <v>19</v>
      </c>
      <c r="G98" s="47" t="s">
        <v>112</v>
      </c>
      <c r="H98" s="47" t="e">
        <f>VLOOKUP(D98,#REF!,7,FALSE)</f>
        <v>#REF!</v>
      </c>
      <c r="I98" s="47" t="e">
        <f>VLOOKUP(H98,#REF!,2,FALSE)</f>
        <v>#REF!</v>
      </c>
    </row>
    <row r="99" spans="1:9" x14ac:dyDescent="0.25">
      <c r="A99" s="49" t="s">
        <v>56</v>
      </c>
      <c r="B99" s="47" t="s">
        <v>140</v>
      </c>
      <c r="C99" s="49" t="s">
        <v>129</v>
      </c>
      <c r="D99" s="49" t="s">
        <v>293</v>
      </c>
      <c r="E99" s="47" t="s">
        <v>294</v>
      </c>
      <c r="F99" s="49" t="s">
        <v>37</v>
      </c>
      <c r="G99" s="49" t="s">
        <v>123</v>
      </c>
      <c r="H99" s="49" t="e">
        <f>VLOOKUP(D99,#REF!,7,FALSE)</f>
        <v>#REF!</v>
      </c>
      <c r="I99" s="47" t="e">
        <f>VLOOKUP(H99,#REF!,2,FALSE)</f>
        <v>#REF!</v>
      </c>
    </row>
    <row r="100" spans="1:9" x14ac:dyDescent="0.25">
      <c r="A100" s="47" t="s">
        <v>216</v>
      </c>
      <c r="B100" s="47" t="s">
        <v>128</v>
      </c>
      <c r="C100" s="47" t="s">
        <v>129</v>
      </c>
      <c r="D100" s="47" t="s">
        <v>293</v>
      </c>
      <c r="E100" s="47" t="s">
        <v>294</v>
      </c>
      <c r="F100" s="47" t="s">
        <v>37</v>
      </c>
      <c r="G100" s="47" t="s">
        <v>123</v>
      </c>
      <c r="H100" s="47" t="e">
        <f>VLOOKUP(D100,#REF!,7,FALSE)</f>
        <v>#REF!</v>
      </c>
      <c r="I100" s="47" t="e">
        <f>VLOOKUP(H100,#REF!,2,FALSE)</f>
        <v>#REF!</v>
      </c>
    </row>
    <row r="101" spans="1:9" x14ac:dyDescent="0.25">
      <c r="A101" s="47" t="s">
        <v>9</v>
      </c>
      <c r="B101" s="47" t="s">
        <v>96</v>
      </c>
      <c r="C101" s="47" t="s">
        <v>100</v>
      </c>
      <c r="D101" s="47" t="s">
        <v>101</v>
      </c>
      <c r="E101" s="47" t="s">
        <v>102</v>
      </c>
      <c r="F101" s="47" t="s">
        <v>28</v>
      </c>
      <c r="G101" s="47" t="s">
        <v>103</v>
      </c>
      <c r="H101" s="47" t="e">
        <f>VLOOKUP(D101,#REF!,7,FALSE)</f>
        <v>#REF!</v>
      </c>
      <c r="I101" s="47" t="e">
        <f>VLOOKUP(H101,#REF!,2,FALSE)</f>
        <v>#REF!</v>
      </c>
    </row>
    <row r="102" spans="1:9" x14ac:dyDescent="0.25">
      <c r="A102" s="47" t="s">
        <v>170</v>
      </c>
      <c r="B102" s="47" t="s">
        <v>96</v>
      </c>
      <c r="C102" s="47" t="s">
        <v>1204</v>
      </c>
      <c r="D102" s="47" t="s">
        <v>1205</v>
      </c>
      <c r="E102" s="47" t="s">
        <v>247</v>
      </c>
      <c r="F102" s="47" t="s">
        <v>28</v>
      </c>
      <c r="G102" s="47" t="s">
        <v>112</v>
      </c>
      <c r="H102" s="47" t="e">
        <f>VLOOKUP(D102,#REF!,7,FALSE)</f>
        <v>#REF!</v>
      </c>
      <c r="I102" s="47" t="e">
        <f>VLOOKUP(H102,#REF!,2,FALSE)</f>
        <v>#REF!</v>
      </c>
    </row>
    <row r="103" spans="1:9" x14ac:dyDescent="0.25">
      <c r="A103" s="47" t="s">
        <v>170</v>
      </c>
      <c r="B103" s="47" t="s">
        <v>47</v>
      </c>
      <c r="C103" s="47" t="s">
        <v>80</v>
      </c>
      <c r="D103" s="47" t="s">
        <v>675</v>
      </c>
      <c r="E103" s="47" t="s">
        <v>676</v>
      </c>
      <c r="F103" s="47" t="s">
        <v>28</v>
      </c>
      <c r="G103" s="47" t="s">
        <v>79</v>
      </c>
      <c r="H103" s="47" t="e">
        <f>VLOOKUP(D103,#REF!,7,FALSE)</f>
        <v>#REF!</v>
      </c>
      <c r="I103" s="47" t="e">
        <f>VLOOKUP(H103,#REF!,2,FALSE)</f>
        <v>#REF!</v>
      </c>
    </row>
    <row r="104" spans="1:9" x14ac:dyDescent="0.25">
      <c r="A104" s="47" t="s">
        <v>66</v>
      </c>
      <c r="B104" s="47" t="s">
        <v>47</v>
      </c>
      <c r="C104" s="47" t="s">
        <v>479</v>
      </c>
      <c r="D104" s="47" t="s">
        <v>480</v>
      </c>
      <c r="E104" s="47" t="s">
        <v>481</v>
      </c>
      <c r="F104" s="47" t="s">
        <v>28</v>
      </c>
      <c r="G104" s="47" t="s">
        <v>29</v>
      </c>
      <c r="H104" s="47" t="e">
        <f>VLOOKUP(D104,#REF!,7,FALSE)</f>
        <v>#REF!</v>
      </c>
      <c r="I104" s="47" t="e">
        <f>VLOOKUP(H104,#REF!,2,FALSE)</f>
        <v>#REF!</v>
      </c>
    </row>
    <row r="105" spans="1:9" x14ac:dyDescent="0.25">
      <c r="A105" s="47" t="s">
        <v>170</v>
      </c>
      <c r="B105" s="47" t="s">
        <v>47</v>
      </c>
      <c r="C105" s="47" t="s">
        <v>144</v>
      </c>
      <c r="D105" s="47" t="s">
        <v>722</v>
      </c>
      <c r="E105" s="47" t="s">
        <v>723</v>
      </c>
      <c r="F105" s="47" t="s">
        <v>28</v>
      </c>
      <c r="G105" s="47" t="s">
        <v>103</v>
      </c>
      <c r="H105" s="47" t="e">
        <f>VLOOKUP(D105,#REF!,7,FALSE)</f>
        <v>#REF!</v>
      </c>
      <c r="I105" s="47" t="e">
        <f>VLOOKUP(H105,#REF!,2,FALSE)</f>
        <v>#REF!</v>
      </c>
    </row>
    <row r="106" spans="1:9" x14ac:dyDescent="0.25">
      <c r="A106" s="47" t="s">
        <v>66</v>
      </c>
      <c r="B106" s="47" t="s">
        <v>140</v>
      </c>
      <c r="C106" s="47" t="s">
        <v>605</v>
      </c>
      <c r="D106" s="47" t="s">
        <v>606</v>
      </c>
      <c r="E106" s="47" t="s">
        <v>607</v>
      </c>
      <c r="F106" s="47" t="s">
        <v>28</v>
      </c>
      <c r="G106" s="47" t="s">
        <v>24</v>
      </c>
      <c r="H106" s="47" t="e">
        <f>VLOOKUP(D106,#REF!,7,FALSE)</f>
        <v>#REF!</v>
      </c>
      <c r="I106" s="47" t="e">
        <f>VLOOKUP(H106,#REF!,2,FALSE)</f>
        <v>#REF!</v>
      </c>
    </row>
    <row r="107" spans="1:9" x14ac:dyDescent="0.25">
      <c r="A107" s="47" t="s">
        <v>170</v>
      </c>
      <c r="B107" s="47" t="s">
        <v>96</v>
      </c>
      <c r="C107" s="47" t="s">
        <v>284</v>
      </c>
      <c r="D107" s="47" t="s">
        <v>586</v>
      </c>
      <c r="E107" s="47" t="s">
        <v>587</v>
      </c>
      <c r="F107" s="47" t="s">
        <v>19</v>
      </c>
      <c r="G107" s="47" t="s">
        <v>237</v>
      </c>
      <c r="H107" s="47" t="e">
        <f>VLOOKUP(D107,#REF!,7,FALSE)</f>
        <v>#REF!</v>
      </c>
      <c r="I107" s="47" t="e">
        <f>VLOOKUP(H107,#REF!,2,FALSE)</f>
        <v>#REF!</v>
      </c>
    </row>
    <row r="108" spans="1:9" x14ac:dyDescent="0.25">
      <c r="A108" s="47" t="s">
        <v>56</v>
      </c>
      <c r="B108" s="47" t="s">
        <v>47</v>
      </c>
      <c r="C108" s="47" t="s">
        <v>248</v>
      </c>
      <c r="D108" s="47" t="s">
        <v>323</v>
      </c>
      <c r="E108" s="47" t="s">
        <v>253</v>
      </c>
      <c r="F108" s="47" t="s">
        <v>19</v>
      </c>
      <c r="G108" s="47" t="s">
        <v>55</v>
      </c>
      <c r="H108" s="47" t="e">
        <f>VLOOKUP(D108,#REF!,7,FALSE)</f>
        <v>#REF!</v>
      </c>
      <c r="I108" s="47" t="e">
        <f>VLOOKUP(H108,#REF!,2,FALSE)</f>
        <v>#REF!</v>
      </c>
    </row>
    <row r="109" spans="1:9" x14ac:dyDescent="0.25">
      <c r="A109" s="47" t="s">
        <v>56</v>
      </c>
      <c r="B109" s="47" t="s">
        <v>96</v>
      </c>
      <c r="C109" s="47" t="s">
        <v>401</v>
      </c>
      <c r="D109" s="47" t="s">
        <v>402</v>
      </c>
      <c r="E109" s="47" t="s">
        <v>403</v>
      </c>
      <c r="F109" s="47" t="s">
        <v>19</v>
      </c>
      <c r="G109" s="47" t="s">
        <v>287</v>
      </c>
      <c r="H109" s="47" t="e">
        <f>VLOOKUP(D109,#REF!,7,FALSE)</f>
        <v>#REF!</v>
      </c>
      <c r="I109" s="47" t="e">
        <f>VLOOKUP(H109,#REF!,2,FALSE)</f>
        <v>#REF!</v>
      </c>
    </row>
    <row r="110" spans="1:9" x14ac:dyDescent="0.25">
      <c r="A110" s="49" t="s">
        <v>56</v>
      </c>
      <c r="B110" s="49" t="s">
        <v>96</v>
      </c>
      <c r="C110" s="49" t="s">
        <v>238</v>
      </c>
      <c r="D110" s="49" t="s">
        <v>411</v>
      </c>
      <c r="E110" s="47" t="s">
        <v>412</v>
      </c>
      <c r="F110" s="49" t="s">
        <v>14</v>
      </c>
      <c r="G110" s="49" t="s">
        <v>61</v>
      </c>
      <c r="H110" s="49" t="e">
        <f>VLOOKUP(D110,#REF!,7,FALSE)</f>
        <v>#REF!</v>
      </c>
      <c r="I110" s="47" t="e">
        <f>VLOOKUP(H110,#REF!,2,FALSE)</f>
        <v>#REF!</v>
      </c>
    </row>
    <row r="111" spans="1:9" x14ac:dyDescent="0.25">
      <c r="A111" s="47" t="s">
        <v>56</v>
      </c>
      <c r="B111" s="47" t="s">
        <v>10</v>
      </c>
      <c r="C111" s="47" t="s">
        <v>11</v>
      </c>
      <c r="D111" s="47" t="s">
        <v>1207</v>
      </c>
      <c r="E111" s="47" t="s">
        <v>462</v>
      </c>
      <c r="F111" s="47" t="s">
        <v>14</v>
      </c>
      <c r="G111" s="47" t="s">
        <v>70</v>
      </c>
      <c r="H111" s="47" t="e">
        <f>VLOOKUP(D111,#REF!,7,FALSE)</f>
        <v>#REF!</v>
      </c>
      <c r="I111" s="47" t="e">
        <f>VLOOKUP(H111,#REF!,2,FALSE)</f>
        <v>#REF!</v>
      </c>
    </row>
    <row r="112" spans="1:9" x14ac:dyDescent="0.25">
      <c r="A112" s="50" t="s">
        <v>56</v>
      </c>
      <c r="B112" s="47" t="s">
        <v>47</v>
      </c>
      <c r="C112" s="50" t="s">
        <v>156</v>
      </c>
      <c r="D112" s="50" t="s">
        <v>578</v>
      </c>
      <c r="E112" s="50" t="s">
        <v>579</v>
      </c>
      <c r="F112" s="50" t="s">
        <v>14</v>
      </c>
      <c r="G112" s="50" t="s">
        <v>61</v>
      </c>
      <c r="H112" s="50" t="e">
        <f>VLOOKUP(D112,#REF!,7,FALSE)</f>
        <v>#REF!</v>
      </c>
      <c r="I112" s="47" t="e">
        <f>VLOOKUP(H112,#REF!,2,FALSE)</f>
        <v>#REF!</v>
      </c>
    </row>
    <row r="113" spans="1:9" x14ac:dyDescent="0.25">
      <c r="A113" s="47" t="s">
        <v>9</v>
      </c>
      <c r="B113" s="47" t="s">
        <v>47</v>
      </c>
      <c r="C113" s="47" t="s">
        <v>88</v>
      </c>
      <c r="D113" s="47" t="s">
        <v>89</v>
      </c>
      <c r="E113" s="47" t="s">
        <v>90</v>
      </c>
      <c r="F113" s="47" t="s">
        <v>14</v>
      </c>
      <c r="G113" s="47" t="s">
        <v>91</v>
      </c>
      <c r="H113" s="47" t="e">
        <f>VLOOKUP(D113,#REF!,7,FALSE)</f>
        <v>#REF!</v>
      </c>
      <c r="I113" s="47" t="e">
        <f>VLOOKUP(H113,#REF!,2,FALSE)</f>
        <v>#REF!</v>
      </c>
    </row>
    <row r="114" spans="1:9" x14ac:dyDescent="0.25">
      <c r="A114" s="47" t="s">
        <v>9</v>
      </c>
      <c r="B114" s="47" t="s">
        <v>96</v>
      </c>
      <c r="C114" s="47" t="s">
        <v>116</v>
      </c>
      <c r="D114" s="47" t="s">
        <v>117</v>
      </c>
      <c r="E114" s="47" t="s">
        <v>118</v>
      </c>
      <c r="F114" s="47" t="s">
        <v>14</v>
      </c>
      <c r="G114" s="47" t="s">
        <v>33</v>
      </c>
      <c r="H114" s="47" t="e">
        <f>VLOOKUP(D114,#REF!,7,FALSE)</f>
        <v>#REF!</v>
      </c>
      <c r="I114" s="47" t="e">
        <f>VLOOKUP(H114,#REF!,2,FALSE)</f>
        <v>#REF!</v>
      </c>
    </row>
    <row r="115" spans="1:9" x14ac:dyDescent="0.25">
      <c r="A115" s="47" t="s">
        <v>66</v>
      </c>
      <c r="B115" s="47" t="s">
        <v>140</v>
      </c>
      <c r="C115" s="47" t="s">
        <v>276</v>
      </c>
      <c r="D115" s="47" t="s">
        <v>588</v>
      </c>
      <c r="E115" s="47" t="s">
        <v>589</v>
      </c>
      <c r="F115" s="47" t="s">
        <v>19</v>
      </c>
      <c r="G115" s="47" t="s">
        <v>15</v>
      </c>
      <c r="H115" s="47" t="e">
        <f>VLOOKUP(D115,#REF!,7,FALSE)</f>
        <v>#REF!</v>
      </c>
      <c r="I115" s="47" t="e">
        <f>VLOOKUP(H115,#REF!,2,FALSE)</f>
        <v>#REF!</v>
      </c>
    </row>
    <row r="116" spans="1:9" x14ac:dyDescent="0.25">
      <c r="A116" s="47" t="s">
        <v>66</v>
      </c>
      <c r="B116" s="47" t="s">
        <v>47</v>
      </c>
      <c r="C116" s="47" t="s">
        <v>1194</v>
      </c>
      <c r="D116" s="47" t="s">
        <v>482</v>
      </c>
      <c r="E116" s="47" t="s">
        <v>483</v>
      </c>
      <c r="F116" s="47" t="s">
        <v>19</v>
      </c>
      <c r="G116" s="47" t="s">
        <v>103</v>
      </c>
      <c r="H116" s="47" t="e">
        <f>VLOOKUP(D116,#REF!,7,FALSE)</f>
        <v>#REF!</v>
      </c>
      <c r="I116" s="47" t="e">
        <f>VLOOKUP(H116,#REF!,2,FALSE)</f>
        <v>#REF!</v>
      </c>
    </row>
    <row r="117" spans="1:9" x14ac:dyDescent="0.25">
      <c r="A117" s="47" t="s">
        <v>66</v>
      </c>
      <c r="B117" s="47" t="s">
        <v>96</v>
      </c>
      <c r="C117" s="47" t="s">
        <v>1213</v>
      </c>
      <c r="D117" s="47" t="s">
        <v>1481</v>
      </c>
      <c r="E117" s="47" t="s">
        <v>547</v>
      </c>
      <c r="F117" s="47" t="s">
        <v>19</v>
      </c>
      <c r="G117" s="47" t="s">
        <v>237</v>
      </c>
      <c r="H117" s="47" t="e">
        <f>VLOOKUP(D117,#REF!,7,FALSE)</f>
        <v>#REF!</v>
      </c>
      <c r="I117" s="47" t="e">
        <f>VLOOKUP(H117,#REF!,2,FALSE)</f>
        <v>#REF!</v>
      </c>
    </row>
    <row r="118" spans="1:9" x14ac:dyDescent="0.25">
      <c r="A118" s="47" t="s">
        <v>56</v>
      </c>
      <c r="B118" s="47" t="s">
        <v>47</v>
      </c>
      <c r="C118" s="47" t="s">
        <v>508</v>
      </c>
      <c r="D118" s="47" t="s">
        <v>358</v>
      </c>
      <c r="E118" s="47" t="s">
        <v>1212</v>
      </c>
      <c r="F118" s="47" t="s">
        <v>19</v>
      </c>
      <c r="G118" s="47" t="s">
        <v>24</v>
      </c>
      <c r="H118" s="47" t="e">
        <f>VLOOKUP(D118,#REF!,7,FALSE)</f>
        <v>#REF!</v>
      </c>
      <c r="I118" s="47" t="e">
        <f>VLOOKUP(H118,#REF!,2,FALSE)</f>
        <v>#REF!</v>
      </c>
    </row>
    <row r="119" spans="1:9" x14ac:dyDescent="0.25">
      <c r="A119" s="47" t="s">
        <v>56</v>
      </c>
      <c r="B119" s="47" t="s">
        <v>10</v>
      </c>
      <c r="C119" s="47" t="s">
        <v>688</v>
      </c>
      <c r="D119" s="47" t="s">
        <v>689</v>
      </c>
      <c r="E119" s="47" t="s">
        <v>690</v>
      </c>
      <c r="F119" s="47" t="s">
        <v>19</v>
      </c>
      <c r="G119" s="47" t="s">
        <v>79</v>
      </c>
      <c r="H119" s="47" t="e">
        <f>VLOOKUP(D119,#REF!,7,FALSE)</f>
        <v>#REF!</v>
      </c>
      <c r="I119" s="47" t="e">
        <f>VLOOKUP(H119,#REF!,2,FALSE)</f>
        <v>#REF!</v>
      </c>
    </row>
    <row r="120" spans="1:9" x14ac:dyDescent="0.25">
      <c r="A120" s="47" t="s">
        <v>66</v>
      </c>
      <c r="B120" s="47" t="s">
        <v>10</v>
      </c>
      <c r="C120" s="47" t="s">
        <v>248</v>
      </c>
      <c r="D120" s="47" t="s">
        <v>404</v>
      </c>
      <c r="E120" s="47" t="s">
        <v>405</v>
      </c>
      <c r="F120" s="47" t="s">
        <v>19</v>
      </c>
      <c r="G120" s="47" t="s">
        <v>24</v>
      </c>
      <c r="H120" s="47" t="e">
        <f>VLOOKUP(D120,#REF!,7,FALSE)</f>
        <v>#REF!</v>
      </c>
      <c r="I120" s="47" t="e">
        <f>VLOOKUP(H120,#REF!,2,FALSE)</f>
        <v>#REF!</v>
      </c>
    </row>
    <row r="121" spans="1:9" x14ac:dyDescent="0.25">
      <c r="A121" s="47" t="s">
        <v>216</v>
      </c>
      <c r="B121" s="47" t="s">
        <v>96</v>
      </c>
      <c r="C121" s="47" t="s">
        <v>360</v>
      </c>
      <c r="D121" s="47" t="s">
        <v>361</v>
      </c>
      <c r="E121" s="47" t="s">
        <v>362</v>
      </c>
      <c r="F121" s="47" t="s">
        <v>14</v>
      </c>
      <c r="G121" s="47" t="s">
        <v>65</v>
      </c>
      <c r="H121" s="47" t="e">
        <f>VLOOKUP(D121,#REF!,7,FALSE)</f>
        <v>#REF!</v>
      </c>
      <c r="I121" s="47" t="e">
        <f>VLOOKUP(H121,#REF!,2,FALSE)</f>
        <v>#REF!</v>
      </c>
    </row>
    <row r="122" spans="1:9" x14ac:dyDescent="0.25">
      <c r="A122" s="47" t="s">
        <v>66</v>
      </c>
      <c r="B122" s="47" t="s">
        <v>96</v>
      </c>
      <c r="C122" s="47" t="s">
        <v>476</v>
      </c>
      <c r="D122" s="47" t="s">
        <v>561</v>
      </c>
      <c r="E122" s="47" t="s">
        <v>562</v>
      </c>
      <c r="F122" s="47" t="s">
        <v>14</v>
      </c>
      <c r="G122" s="47" t="s">
        <v>363</v>
      </c>
      <c r="H122" s="47" t="e">
        <f>VLOOKUP(D122,#REF!,7,FALSE)</f>
        <v>#REF!</v>
      </c>
      <c r="I122" s="47" t="e">
        <f>VLOOKUP(H122,#REF!,2,FALSE)</f>
        <v>#REF!</v>
      </c>
    </row>
    <row r="123" spans="1:9" x14ac:dyDescent="0.25">
      <c r="A123" s="47" t="s">
        <v>56</v>
      </c>
      <c r="B123" s="47" t="s">
        <v>96</v>
      </c>
      <c r="C123" s="47" t="s">
        <v>360</v>
      </c>
      <c r="D123" s="47" t="s">
        <v>406</v>
      </c>
      <c r="E123" s="47" t="s">
        <v>23</v>
      </c>
      <c r="F123" s="47" t="s">
        <v>14</v>
      </c>
      <c r="G123" s="47" t="s">
        <v>103</v>
      </c>
      <c r="H123" s="47" t="e">
        <f>VLOOKUP(D123,#REF!,7,FALSE)</f>
        <v>#REF!</v>
      </c>
      <c r="I123" s="47" t="e">
        <f>VLOOKUP(H123,#REF!,2,FALSE)</f>
        <v>#REF!</v>
      </c>
    </row>
    <row r="124" spans="1:9" x14ac:dyDescent="0.25">
      <c r="A124" s="47" t="s">
        <v>216</v>
      </c>
      <c r="B124" s="47" t="s">
        <v>10</v>
      </c>
      <c r="C124" s="47" t="s">
        <v>251</v>
      </c>
      <c r="D124" s="47" t="s">
        <v>647</v>
      </c>
      <c r="E124" s="47" t="s">
        <v>648</v>
      </c>
      <c r="F124" s="47" t="s">
        <v>19</v>
      </c>
      <c r="G124" s="47" t="s">
        <v>237</v>
      </c>
      <c r="H124" s="47" t="e">
        <f>VLOOKUP(D124,#REF!,7,FALSE)</f>
        <v>#REF!</v>
      </c>
      <c r="I124" s="47" t="e">
        <f>VLOOKUP(H124,#REF!,2,FALSE)</f>
        <v>#REF!</v>
      </c>
    </row>
    <row r="125" spans="1:9" x14ac:dyDescent="0.25">
      <c r="A125" s="47" t="s">
        <v>216</v>
      </c>
      <c r="B125" s="47" t="s">
        <v>47</v>
      </c>
      <c r="C125" s="47" t="s">
        <v>1482</v>
      </c>
      <c r="D125" s="47" t="s">
        <v>679</v>
      </c>
      <c r="E125" s="47" t="s">
        <v>680</v>
      </c>
      <c r="F125" s="47" t="s">
        <v>19</v>
      </c>
      <c r="G125" s="47" t="s">
        <v>55</v>
      </c>
      <c r="H125" s="47" t="e">
        <f>VLOOKUP(D125,#REF!,7,FALSE)</f>
        <v>#REF!</v>
      </c>
      <c r="I125" s="47" t="e">
        <f>VLOOKUP(H125,#REF!,2,FALSE)</f>
        <v>#REF!</v>
      </c>
    </row>
    <row r="126" spans="1:9" x14ac:dyDescent="0.25">
      <c r="A126" s="47" t="s">
        <v>216</v>
      </c>
      <c r="B126" s="47" t="s">
        <v>96</v>
      </c>
      <c r="C126" s="47" t="s">
        <v>229</v>
      </c>
      <c r="D126" s="47" t="s">
        <v>715</v>
      </c>
      <c r="E126" s="47" t="s">
        <v>716</v>
      </c>
      <c r="F126" s="47" t="s">
        <v>19</v>
      </c>
      <c r="G126" s="47" t="s">
        <v>112</v>
      </c>
      <c r="H126" s="47" t="e">
        <f>VLOOKUP(D126,#REF!,7,FALSE)</f>
        <v>#REF!</v>
      </c>
      <c r="I126" s="47" t="e">
        <f>VLOOKUP(H126,#REF!,2,FALSE)</f>
        <v>#REF!</v>
      </c>
    </row>
    <row r="127" spans="1:9" x14ac:dyDescent="0.25">
      <c r="A127" s="47" t="s">
        <v>170</v>
      </c>
      <c r="B127" s="47" t="s">
        <v>119</v>
      </c>
      <c r="C127" s="47" t="s">
        <v>1421</v>
      </c>
      <c r="D127" s="47" t="s">
        <v>1425</v>
      </c>
      <c r="E127" s="47" t="s">
        <v>1426</v>
      </c>
      <c r="F127" s="47" t="s">
        <v>37</v>
      </c>
      <c r="G127" s="47" t="s">
        <v>136</v>
      </c>
      <c r="H127" s="47" t="e">
        <f>VLOOKUP(D127,#REF!,7,FALSE)</f>
        <v>#REF!</v>
      </c>
      <c r="I127" s="47" t="e">
        <f>VLOOKUP(H127,#REF!,2,FALSE)</f>
        <v>#REF!</v>
      </c>
    </row>
    <row r="128" spans="1:9" x14ac:dyDescent="0.25">
      <c r="A128" s="47" t="s">
        <v>66</v>
      </c>
      <c r="B128" s="47" t="s">
        <v>10</v>
      </c>
      <c r="C128" s="47" t="s">
        <v>1421</v>
      </c>
      <c r="D128" s="47" t="s">
        <v>1428</v>
      </c>
      <c r="E128" s="47" t="s">
        <v>294</v>
      </c>
      <c r="F128" s="47" t="s">
        <v>37</v>
      </c>
      <c r="G128" s="47" t="s">
        <v>120</v>
      </c>
      <c r="H128" s="47" t="e">
        <f>VLOOKUP(D128,#REF!,7,FALSE)</f>
        <v>#REF!</v>
      </c>
      <c r="I128" s="47" t="e">
        <f>VLOOKUP(H128,#REF!,2,FALSE)</f>
        <v>#REF!</v>
      </c>
    </row>
    <row r="129" spans="1:9" x14ac:dyDescent="0.25">
      <c r="A129" s="47" t="s">
        <v>216</v>
      </c>
      <c r="B129" s="47" t="s">
        <v>10</v>
      </c>
      <c r="C129" s="47" t="s">
        <v>1421</v>
      </c>
      <c r="D129" s="47" t="s">
        <v>1431</v>
      </c>
      <c r="E129" s="47" t="s">
        <v>1432</v>
      </c>
      <c r="F129" s="47" t="s">
        <v>37</v>
      </c>
      <c r="G129" s="47" t="s">
        <v>136</v>
      </c>
      <c r="H129" s="47" t="e">
        <f>VLOOKUP(D129,#REF!,7,FALSE)</f>
        <v>#REF!</v>
      </c>
      <c r="I129" s="47" t="e">
        <f>VLOOKUP(H129,#REF!,2,FALSE)</f>
        <v>#REF!</v>
      </c>
    </row>
    <row r="130" spans="1:9" x14ac:dyDescent="0.25">
      <c r="A130" s="47" t="s">
        <v>216</v>
      </c>
      <c r="B130" s="47" t="s">
        <v>140</v>
      </c>
      <c r="C130" s="47" t="s">
        <v>187</v>
      </c>
      <c r="D130" s="47" t="s">
        <v>364</v>
      </c>
      <c r="E130" s="47" t="s">
        <v>365</v>
      </c>
      <c r="F130" s="47" t="s">
        <v>19</v>
      </c>
      <c r="G130" s="47" t="s">
        <v>55</v>
      </c>
      <c r="H130" s="47" t="e">
        <f>VLOOKUP(D130,#REF!,7,FALSE)</f>
        <v>#REF!</v>
      </c>
      <c r="I130" s="47" t="e">
        <f>VLOOKUP(H130,#REF!,2,FALSE)</f>
        <v>#REF!</v>
      </c>
    </row>
    <row r="131" spans="1:9" x14ac:dyDescent="0.25">
      <c r="A131" s="47" t="s">
        <v>170</v>
      </c>
      <c r="B131" s="47" t="s">
        <v>10</v>
      </c>
      <c r="C131" s="47" t="s">
        <v>52</v>
      </c>
      <c r="D131" s="47" t="s">
        <v>449</v>
      </c>
      <c r="E131" s="47" t="s">
        <v>450</v>
      </c>
      <c r="F131" s="47" t="s">
        <v>19</v>
      </c>
      <c r="G131" s="47" t="s">
        <v>287</v>
      </c>
      <c r="H131" s="47" t="e">
        <f>VLOOKUP(D131,#REF!,7,FALSE)</f>
        <v>#REF!</v>
      </c>
      <c r="I131" s="47" t="e">
        <f>VLOOKUP(H131,#REF!,2,FALSE)</f>
        <v>#REF!</v>
      </c>
    </row>
    <row r="132" spans="1:9" x14ac:dyDescent="0.25">
      <c r="A132" s="47" t="s">
        <v>170</v>
      </c>
      <c r="B132" s="47" t="s">
        <v>96</v>
      </c>
      <c r="C132" s="47" t="s">
        <v>256</v>
      </c>
      <c r="D132" s="47" t="s">
        <v>257</v>
      </c>
      <c r="E132" s="47" t="s">
        <v>258</v>
      </c>
      <c r="F132" s="47" t="s">
        <v>19</v>
      </c>
      <c r="G132" s="47" t="s">
        <v>287</v>
      </c>
      <c r="H132" s="47" t="e">
        <f>VLOOKUP(D132,#REF!,7,FALSE)</f>
        <v>#REF!</v>
      </c>
      <c r="I132" s="47" t="e">
        <f>VLOOKUP(H132,#REF!,2,FALSE)</f>
        <v>#REF!</v>
      </c>
    </row>
    <row r="133" spans="1:9" x14ac:dyDescent="0.25">
      <c r="A133" s="47" t="s">
        <v>216</v>
      </c>
      <c r="B133" s="47" t="s">
        <v>47</v>
      </c>
      <c r="C133" s="47" t="s">
        <v>1251</v>
      </c>
      <c r="D133" s="47" t="s">
        <v>697</v>
      </c>
      <c r="E133" s="47" t="s">
        <v>698</v>
      </c>
      <c r="F133" s="47" t="s">
        <v>19</v>
      </c>
      <c r="G133" s="47" t="s">
        <v>237</v>
      </c>
      <c r="H133" s="47" t="e">
        <f>VLOOKUP(D133,#REF!,7,FALSE)</f>
        <v>#REF!</v>
      </c>
      <c r="I133" s="47" t="e">
        <f>VLOOKUP(H133,#REF!,2,FALSE)</f>
        <v>#REF!</v>
      </c>
    </row>
    <row r="134" spans="1:9" x14ac:dyDescent="0.25">
      <c r="A134" s="47" t="s">
        <v>216</v>
      </c>
      <c r="B134" s="47" t="s">
        <v>96</v>
      </c>
      <c r="C134" s="47" t="s">
        <v>187</v>
      </c>
      <c r="D134" s="47" t="s">
        <v>1216</v>
      </c>
      <c r="E134" s="47" t="s">
        <v>1217</v>
      </c>
      <c r="F134" s="47" t="s">
        <v>19</v>
      </c>
      <c r="G134" s="47" t="s">
        <v>55</v>
      </c>
      <c r="H134" s="47" t="e">
        <f>VLOOKUP(D134,#REF!,7,FALSE)</f>
        <v>#REF!</v>
      </c>
      <c r="I134" s="47" t="e">
        <f>VLOOKUP(H134,#REF!,2,FALSE)</f>
        <v>#REF!</v>
      </c>
    </row>
    <row r="135" spans="1:9" x14ac:dyDescent="0.25">
      <c r="A135" s="47" t="s">
        <v>170</v>
      </c>
      <c r="B135" s="47" t="s">
        <v>10</v>
      </c>
      <c r="C135" s="47" t="s">
        <v>608</v>
      </c>
      <c r="D135" s="47" t="s">
        <v>609</v>
      </c>
      <c r="E135" s="47" t="s">
        <v>610</v>
      </c>
      <c r="F135" s="47" t="s">
        <v>14</v>
      </c>
      <c r="G135" s="47" t="s">
        <v>51</v>
      </c>
      <c r="H135" s="47" t="e">
        <f>VLOOKUP(D135,#REF!,7,FALSE)</f>
        <v>#REF!</v>
      </c>
      <c r="I135" s="47" t="e">
        <f>VLOOKUP(H135,#REF!,2,FALSE)</f>
        <v>#REF!</v>
      </c>
    </row>
    <row r="136" spans="1:9" x14ac:dyDescent="0.25">
      <c r="A136" s="47" t="s">
        <v>216</v>
      </c>
      <c r="B136" s="47" t="s">
        <v>10</v>
      </c>
      <c r="C136" s="47" t="s">
        <v>30</v>
      </c>
      <c r="D136" s="47" t="s">
        <v>31</v>
      </c>
      <c r="E136" s="47" t="s">
        <v>32</v>
      </c>
      <c r="F136" s="47" t="s">
        <v>14</v>
      </c>
      <c r="G136" s="47" t="s">
        <v>51</v>
      </c>
      <c r="H136" s="47" t="e">
        <f>VLOOKUP(D136,#REF!,7,FALSE)</f>
        <v>#REF!</v>
      </c>
      <c r="I136" s="47" t="e">
        <f>VLOOKUP(H136,#REF!,2,FALSE)</f>
        <v>#REF!</v>
      </c>
    </row>
    <row r="137" spans="1:9" x14ac:dyDescent="0.25">
      <c r="A137" s="49" t="s">
        <v>216</v>
      </c>
      <c r="B137" s="47" t="s">
        <v>47</v>
      </c>
      <c r="C137" s="49" t="s">
        <v>156</v>
      </c>
      <c r="D137" s="49" t="s">
        <v>157</v>
      </c>
      <c r="E137" s="49" t="s">
        <v>158</v>
      </c>
      <c r="F137" s="49" t="s">
        <v>14</v>
      </c>
      <c r="G137" s="49" t="s">
        <v>792</v>
      </c>
      <c r="H137" s="49" t="e">
        <f>VLOOKUP(D137,#REF!,7,FALSE)</f>
        <v>#REF!</v>
      </c>
      <c r="I137" s="47" t="e">
        <f>VLOOKUP(H137,#REF!,2,FALSE)</f>
        <v>#REF!</v>
      </c>
    </row>
    <row r="138" spans="1:9" x14ac:dyDescent="0.25">
      <c r="A138" s="47" t="s">
        <v>66</v>
      </c>
      <c r="B138" s="47" t="s">
        <v>10</v>
      </c>
      <c r="C138" s="47" t="s">
        <v>408</v>
      </c>
      <c r="D138" s="47" t="s">
        <v>409</v>
      </c>
      <c r="E138" s="47" t="s">
        <v>410</v>
      </c>
      <c r="F138" s="47" t="s">
        <v>14</v>
      </c>
      <c r="G138" s="47" t="s">
        <v>70</v>
      </c>
      <c r="H138" s="47" t="e">
        <f>VLOOKUP(D138,#REF!,7,FALSE)</f>
        <v>#REF!</v>
      </c>
      <c r="I138" s="47" t="e">
        <f>VLOOKUP(H138,#REF!,2,FALSE)</f>
        <v>#REF!</v>
      </c>
    </row>
    <row r="139" spans="1:9" x14ac:dyDescent="0.25">
      <c r="A139" s="47" t="s">
        <v>56</v>
      </c>
      <c r="B139" s="47" t="s">
        <v>10</v>
      </c>
      <c r="C139" s="47" t="s">
        <v>1218</v>
      </c>
      <c r="D139" s="47" t="s">
        <v>667</v>
      </c>
      <c r="E139" s="47" t="s">
        <v>668</v>
      </c>
      <c r="F139" s="47" t="s">
        <v>14</v>
      </c>
      <c r="G139" s="47" t="s">
        <v>363</v>
      </c>
      <c r="H139" s="47" t="e">
        <f>VLOOKUP(D139,#REF!,7,FALSE)</f>
        <v>#REF!</v>
      </c>
      <c r="I139" s="47" t="e">
        <f>VLOOKUP(H139,#REF!,2,FALSE)</f>
        <v>#REF!</v>
      </c>
    </row>
    <row r="140" spans="1:9" x14ac:dyDescent="0.25">
      <c r="A140" s="47" t="s">
        <v>170</v>
      </c>
      <c r="B140" s="47" t="s">
        <v>10</v>
      </c>
      <c r="C140" s="47" t="s">
        <v>1175</v>
      </c>
      <c r="D140" s="47" t="s">
        <v>192</v>
      </c>
      <c r="E140" s="47" t="s">
        <v>193</v>
      </c>
      <c r="F140" s="47" t="s">
        <v>19</v>
      </c>
      <c r="G140" s="47" t="s">
        <v>20</v>
      </c>
      <c r="H140" s="47" t="e">
        <f>VLOOKUP(D140,#REF!,7,FALSE)</f>
        <v>#REF!</v>
      </c>
      <c r="I140" s="47" t="e">
        <f>VLOOKUP(H140,#REF!,2,FALSE)</f>
        <v>#REF!</v>
      </c>
    </row>
    <row r="141" spans="1:9" x14ac:dyDescent="0.25">
      <c r="A141" s="47" t="s">
        <v>170</v>
      </c>
      <c r="B141" s="47" t="s">
        <v>47</v>
      </c>
      <c r="C141" s="47" t="s">
        <v>221</v>
      </c>
      <c r="D141" s="47" t="s">
        <v>222</v>
      </c>
      <c r="E141" s="47" t="s">
        <v>223</v>
      </c>
      <c r="F141" s="47" t="s">
        <v>19</v>
      </c>
      <c r="G141" s="47" t="s">
        <v>20</v>
      </c>
      <c r="H141" s="47" t="e">
        <f>VLOOKUP(D141,#REF!,7,FALSE)</f>
        <v>#REF!</v>
      </c>
      <c r="I141" s="47" t="e">
        <f>VLOOKUP(H141,#REF!,2,FALSE)</f>
        <v>#REF!</v>
      </c>
    </row>
    <row r="142" spans="1:9" x14ac:dyDescent="0.25">
      <c r="A142" s="47" t="s">
        <v>56</v>
      </c>
      <c r="B142" s="47" t="s">
        <v>10</v>
      </c>
      <c r="C142" s="47" t="s">
        <v>1220</v>
      </c>
      <c r="D142" s="47" t="s">
        <v>192</v>
      </c>
      <c r="E142" s="47" t="s">
        <v>193</v>
      </c>
      <c r="F142" s="47" t="s">
        <v>19</v>
      </c>
      <c r="G142" s="47" t="s">
        <v>20</v>
      </c>
      <c r="H142" s="47" t="e">
        <f>VLOOKUP(D142,#REF!,7,FALSE)</f>
        <v>#REF!</v>
      </c>
      <c r="I142" s="47" t="e">
        <f>VLOOKUP(H142,#REF!,2,FALSE)</f>
        <v>#REF!</v>
      </c>
    </row>
    <row r="143" spans="1:9" x14ac:dyDescent="0.25">
      <c r="A143" s="47" t="s">
        <v>170</v>
      </c>
      <c r="B143" s="47" t="s">
        <v>96</v>
      </c>
      <c r="C143" s="47" t="s">
        <v>248</v>
      </c>
      <c r="D143" s="47" t="s">
        <v>249</v>
      </c>
      <c r="E143" s="47" t="s">
        <v>250</v>
      </c>
      <c r="F143" s="47" t="s">
        <v>19</v>
      </c>
      <c r="G143" s="47" t="s">
        <v>83</v>
      </c>
      <c r="H143" s="47" t="e">
        <f>VLOOKUP(D143,#REF!,7,FALSE)</f>
        <v>#REF!</v>
      </c>
      <c r="I143" s="47" t="e">
        <f>VLOOKUP(H143,#REF!,2,FALSE)</f>
        <v>#REF!</v>
      </c>
    </row>
    <row r="144" spans="1:9" x14ac:dyDescent="0.25">
      <c r="A144" s="47" t="s">
        <v>170</v>
      </c>
      <c r="B144" s="47" t="s">
        <v>10</v>
      </c>
      <c r="C144" s="47" t="s">
        <v>1219</v>
      </c>
      <c r="D144" s="47" t="s">
        <v>385</v>
      </c>
      <c r="E144" s="47" t="s">
        <v>386</v>
      </c>
      <c r="F144" s="47" t="s">
        <v>14</v>
      </c>
      <c r="G144" s="47" t="s">
        <v>20</v>
      </c>
      <c r="H144" s="47" t="e">
        <f>VLOOKUP(D144,#REF!,7,FALSE)</f>
        <v>#REF!</v>
      </c>
      <c r="I144" s="47" t="e">
        <f>VLOOKUP(H144,#REF!,2,FALSE)</f>
        <v>#REF!</v>
      </c>
    </row>
    <row r="145" spans="1:9" x14ac:dyDescent="0.25">
      <c r="A145" s="47" t="s">
        <v>216</v>
      </c>
      <c r="B145" s="47" t="s">
        <v>47</v>
      </c>
      <c r="C145" s="47" t="s">
        <v>217</v>
      </c>
      <c r="D145" s="47" t="s">
        <v>218</v>
      </c>
      <c r="E145" s="47" t="s">
        <v>219</v>
      </c>
      <c r="F145" s="47" t="s">
        <v>14</v>
      </c>
      <c r="G145" s="47" t="s">
        <v>220</v>
      </c>
      <c r="H145" s="47" t="e">
        <f>VLOOKUP(D145,#REF!,7,FALSE)</f>
        <v>#REF!</v>
      </c>
      <c r="I145" s="47" t="e">
        <f>VLOOKUP(H145,#REF!,2,FALSE)</f>
        <v>#REF!</v>
      </c>
    </row>
    <row r="146" spans="1:9" x14ac:dyDescent="0.25">
      <c r="A146" s="47" t="s">
        <v>56</v>
      </c>
      <c r="B146" s="47" t="s">
        <v>47</v>
      </c>
      <c r="C146" s="47" t="s">
        <v>217</v>
      </c>
      <c r="D146" s="47" t="s">
        <v>366</v>
      </c>
      <c r="E146" s="47" t="s">
        <v>367</v>
      </c>
      <c r="F146" s="47" t="s">
        <v>14</v>
      </c>
      <c r="G146" s="47" t="s">
        <v>29</v>
      </c>
      <c r="H146" s="47" t="e">
        <f>VLOOKUP(D146,#REF!,7,FALSE)</f>
        <v>#REF!</v>
      </c>
      <c r="I146" s="47" t="e">
        <f>VLOOKUP(H146,#REF!,2,FALSE)</f>
        <v>#REF!</v>
      </c>
    </row>
    <row r="147" spans="1:9" x14ac:dyDescent="0.25">
      <c r="A147" s="47" t="s">
        <v>66</v>
      </c>
      <c r="B147" s="47" t="s">
        <v>10</v>
      </c>
      <c r="C147" s="47" t="s">
        <v>360</v>
      </c>
      <c r="D147" s="47" t="s">
        <v>590</v>
      </c>
      <c r="E147" s="47" t="s">
        <v>591</v>
      </c>
      <c r="F147" s="47" t="s">
        <v>14</v>
      </c>
      <c r="G147" s="47" t="s">
        <v>220</v>
      </c>
      <c r="H147" s="47" t="e">
        <f>VLOOKUP(D147,#REF!,7,FALSE)</f>
        <v>#REF!</v>
      </c>
      <c r="I147" s="47" t="e">
        <f>VLOOKUP(H147,#REF!,2,FALSE)</f>
        <v>#REF!</v>
      </c>
    </row>
    <row r="148" spans="1:9" x14ac:dyDescent="0.25">
      <c r="A148" s="47" t="s">
        <v>66</v>
      </c>
      <c r="B148" s="47" t="s">
        <v>47</v>
      </c>
      <c r="C148" s="47" t="s">
        <v>281</v>
      </c>
      <c r="D148" s="47" t="s">
        <v>487</v>
      </c>
      <c r="E148" s="47" t="s">
        <v>488</v>
      </c>
      <c r="F148" s="47" t="s">
        <v>14</v>
      </c>
      <c r="G148" s="47" t="s">
        <v>363</v>
      </c>
      <c r="H148" s="47" t="e">
        <f>VLOOKUP(D148,#REF!,7,FALSE)</f>
        <v>#REF!</v>
      </c>
      <c r="I148" s="47" t="e">
        <f>VLOOKUP(H148,#REF!,2,FALSE)</f>
        <v>#REF!</v>
      </c>
    </row>
    <row r="149" spans="1:9" x14ac:dyDescent="0.25">
      <c r="A149" s="47" t="s">
        <v>9</v>
      </c>
      <c r="B149" s="47" t="s">
        <v>47</v>
      </c>
      <c r="C149" s="47" t="s">
        <v>141</v>
      </c>
      <c r="D149" s="47" t="s">
        <v>142</v>
      </c>
      <c r="E149" s="47" t="s">
        <v>143</v>
      </c>
      <c r="F149" s="47" t="s">
        <v>14</v>
      </c>
      <c r="G149" s="47" t="s">
        <v>15</v>
      </c>
      <c r="H149" s="47" t="e">
        <f>VLOOKUP(D149,#REF!,7,FALSE)</f>
        <v>#REF!</v>
      </c>
      <c r="I149" s="47" t="e">
        <f>VLOOKUP(H149,#REF!,2,FALSE)</f>
        <v>#REF!</v>
      </c>
    </row>
    <row r="150" spans="1:9" x14ac:dyDescent="0.25">
      <c r="A150" s="47" t="s">
        <v>56</v>
      </c>
      <c r="B150" s="47" t="s">
        <v>10</v>
      </c>
      <c r="C150" s="47" t="s">
        <v>328</v>
      </c>
      <c r="D150" s="47" t="s">
        <v>329</v>
      </c>
      <c r="E150" s="47" t="s">
        <v>330</v>
      </c>
      <c r="F150" s="47" t="s">
        <v>14</v>
      </c>
      <c r="G150" s="47" t="s">
        <v>61</v>
      </c>
      <c r="H150" s="47" t="e">
        <f>VLOOKUP(D150,#REF!,7,FALSE)</f>
        <v>#REF!</v>
      </c>
      <c r="I150" s="47" t="e">
        <f>VLOOKUP(H150,#REF!,2,FALSE)</f>
        <v>#REF!</v>
      </c>
    </row>
    <row r="151" spans="1:9" x14ac:dyDescent="0.25">
      <c r="A151" s="47" t="s">
        <v>66</v>
      </c>
      <c r="B151" s="47" t="s">
        <v>47</v>
      </c>
      <c r="C151" s="47" t="s">
        <v>493</v>
      </c>
      <c r="D151" s="47" t="s">
        <v>494</v>
      </c>
      <c r="E151" s="47" t="s">
        <v>495</v>
      </c>
      <c r="F151" s="47" t="s">
        <v>14</v>
      </c>
      <c r="G151" s="47" t="s">
        <v>61</v>
      </c>
      <c r="H151" s="47" t="e">
        <f>VLOOKUP(D151,#REF!,7,FALSE)</f>
        <v>#REF!</v>
      </c>
      <c r="I151" s="47" t="e">
        <f>VLOOKUP(H151,#REF!,2,FALSE)</f>
        <v>#REF!</v>
      </c>
    </row>
    <row r="152" spans="1:9" x14ac:dyDescent="0.25">
      <c r="A152" s="47" t="s">
        <v>66</v>
      </c>
      <c r="B152" s="47" t="s">
        <v>96</v>
      </c>
      <c r="C152" s="47" t="s">
        <v>116</v>
      </c>
      <c r="D152" s="47" t="s">
        <v>567</v>
      </c>
      <c r="E152" s="47" t="s">
        <v>568</v>
      </c>
      <c r="F152" s="47" t="s">
        <v>14</v>
      </c>
      <c r="G152" s="47" t="s">
        <v>51</v>
      </c>
      <c r="H152" s="47" t="e">
        <f>VLOOKUP(D152,#REF!,7,FALSE)</f>
        <v>#REF!</v>
      </c>
      <c r="I152" s="47" t="e">
        <f>VLOOKUP(H152,#REF!,2,FALSE)</f>
        <v>#REF!</v>
      </c>
    </row>
    <row r="153" spans="1:9" x14ac:dyDescent="0.25">
      <c r="A153" s="47" t="s">
        <v>9</v>
      </c>
      <c r="B153" s="47" t="s">
        <v>10</v>
      </c>
      <c r="C153" s="47" t="s">
        <v>153</v>
      </c>
      <c r="D153" s="47" t="s">
        <v>154</v>
      </c>
      <c r="E153" s="47" t="s">
        <v>155</v>
      </c>
      <c r="F153" s="47" t="s">
        <v>14</v>
      </c>
      <c r="G153" s="47" t="s">
        <v>46</v>
      </c>
      <c r="H153" s="47" t="e">
        <f>VLOOKUP(D153,#REF!,7,FALSE)</f>
        <v>#REF!</v>
      </c>
      <c r="I153" s="47" t="e">
        <f>VLOOKUP(H153,#REF!,2,FALSE)</f>
        <v>#REF!</v>
      </c>
    </row>
    <row r="154" spans="1:9" x14ac:dyDescent="0.25">
      <c r="A154" s="47" t="s">
        <v>170</v>
      </c>
      <c r="B154" s="47" t="s">
        <v>10</v>
      </c>
      <c r="C154" s="47" t="s">
        <v>194</v>
      </c>
      <c r="D154" s="47" t="s">
        <v>195</v>
      </c>
      <c r="E154" s="47" t="s">
        <v>196</v>
      </c>
      <c r="F154" s="47" t="s">
        <v>14</v>
      </c>
      <c r="G154" s="47" t="s">
        <v>70</v>
      </c>
      <c r="H154" s="47" t="e">
        <f>VLOOKUP(D154,#REF!,7,FALSE)</f>
        <v>#REF!</v>
      </c>
      <c r="I154" s="47" t="e">
        <f>VLOOKUP(H154,#REF!,2,FALSE)</f>
        <v>#REF!</v>
      </c>
    </row>
    <row r="155" spans="1:9" x14ac:dyDescent="0.25">
      <c r="A155" s="47" t="s">
        <v>170</v>
      </c>
      <c r="B155" s="47" t="s">
        <v>47</v>
      </c>
      <c r="C155" s="47" t="s">
        <v>224</v>
      </c>
      <c r="D155" s="47" t="s">
        <v>225</v>
      </c>
      <c r="E155" s="47" t="s">
        <v>226</v>
      </c>
      <c r="F155" s="47" t="s">
        <v>14</v>
      </c>
      <c r="G155" s="47" t="s">
        <v>70</v>
      </c>
      <c r="H155" s="47" t="e">
        <f>VLOOKUP(D155,#REF!,7,FALSE)</f>
        <v>#REF!</v>
      </c>
      <c r="I155" s="47" t="e">
        <f>VLOOKUP(H155,#REF!,2,FALSE)</f>
        <v>#REF!</v>
      </c>
    </row>
    <row r="156" spans="1:9" x14ac:dyDescent="0.25">
      <c r="A156" s="47" t="s">
        <v>170</v>
      </c>
      <c r="B156" s="47" t="s">
        <v>96</v>
      </c>
      <c r="C156" s="47" t="s">
        <v>264</v>
      </c>
      <c r="D156" s="47" t="s">
        <v>265</v>
      </c>
      <c r="E156" s="47" t="s">
        <v>266</v>
      </c>
      <c r="F156" s="47" t="s">
        <v>14</v>
      </c>
      <c r="G156" s="47" t="s">
        <v>267</v>
      </c>
      <c r="H156" s="47" t="e">
        <f>VLOOKUP(D156,#REF!,7,FALSE)</f>
        <v>#REF!</v>
      </c>
      <c r="I156" s="47" t="e">
        <f>VLOOKUP(H156,#REF!,2,FALSE)</f>
        <v>#REF!</v>
      </c>
    </row>
    <row r="157" spans="1:9" x14ac:dyDescent="0.25">
      <c r="A157" s="49" t="s">
        <v>56</v>
      </c>
      <c r="B157" s="47" t="s">
        <v>10</v>
      </c>
      <c r="C157" s="49" t="s">
        <v>238</v>
      </c>
      <c r="D157" s="49" t="s">
        <v>331</v>
      </c>
      <c r="E157" s="47" t="s">
        <v>332</v>
      </c>
      <c r="F157" s="49" t="s">
        <v>14</v>
      </c>
      <c r="G157" s="49" t="s">
        <v>15</v>
      </c>
      <c r="H157" s="49" t="e">
        <f>VLOOKUP(D157,#REF!,7,FALSE)</f>
        <v>#REF!</v>
      </c>
      <c r="I157" s="47" t="e">
        <f>VLOOKUP(H157,#REF!,2,FALSE)</f>
        <v>#REF!</v>
      </c>
    </row>
    <row r="158" spans="1:9" x14ac:dyDescent="0.25">
      <c r="A158" s="47" t="s">
        <v>66</v>
      </c>
      <c r="B158" s="47" t="s">
        <v>96</v>
      </c>
      <c r="C158" s="47" t="s">
        <v>1223</v>
      </c>
      <c r="D158" s="47" t="s">
        <v>1224</v>
      </c>
      <c r="E158" s="47" t="s">
        <v>371</v>
      </c>
      <c r="F158" s="47" t="s">
        <v>14</v>
      </c>
      <c r="G158" s="47" t="s">
        <v>15</v>
      </c>
      <c r="H158" s="47" t="e">
        <f>VLOOKUP(D158,#REF!,7,FALSE)</f>
        <v>#REF!</v>
      </c>
      <c r="I158" s="47" t="e">
        <f>VLOOKUP(H158,#REF!,2,FALSE)</f>
        <v>#REF!</v>
      </c>
    </row>
    <row r="159" spans="1:9" x14ac:dyDescent="0.25">
      <c r="A159" s="47" t="s">
        <v>170</v>
      </c>
      <c r="B159" s="47" t="s">
        <v>96</v>
      </c>
      <c r="C159" s="49" t="s">
        <v>251</v>
      </c>
      <c r="D159" s="47" t="s">
        <v>252</v>
      </c>
      <c r="E159" s="47" t="s">
        <v>253</v>
      </c>
      <c r="F159" s="47" t="s">
        <v>19</v>
      </c>
      <c r="G159" s="47" t="s">
        <v>20</v>
      </c>
      <c r="H159" s="47" t="e">
        <f>VLOOKUP(D159,#REF!,7,FALSE)</f>
        <v>#REF!</v>
      </c>
      <c r="I159" s="47" t="e">
        <f>VLOOKUP(H159,#REF!,2,FALSE)</f>
        <v>#REF!</v>
      </c>
    </row>
    <row r="160" spans="1:9" x14ac:dyDescent="0.25">
      <c r="A160" s="47" t="s">
        <v>170</v>
      </c>
      <c r="B160" s="47" t="s">
        <v>140</v>
      </c>
      <c r="C160" s="47" t="s">
        <v>284</v>
      </c>
      <c r="D160" s="47" t="s">
        <v>285</v>
      </c>
      <c r="E160" s="47" t="s">
        <v>286</v>
      </c>
      <c r="F160" s="47" t="s">
        <v>19</v>
      </c>
      <c r="G160" s="47" t="s">
        <v>287</v>
      </c>
      <c r="H160" s="47" t="e">
        <f>VLOOKUP(D160,#REF!,7,FALSE)</f>
        <v>#REF!</v>
      </c>
      <c r="I160" s="47" t="e">
        <f>VLOOKUP(H160,#REF!,2,FALSE)</f>
        <v>#REF!</v>
      </c>
    </row>
    <row r="161" spans="1:9" x14ac:dyDescent="0.25">
      <c r="A161" s="47" t="s">
        <v>170</v>
      </c>
      <c r="B161" s="47" t="s">
        <v>47</v>
      </c>
      <c r="C161" s="47" t="s">
        <v>284</v>
      </c>
      <c r="D161" s="47" t="s">
        <v>720</v>
      </c>
      <c r="E161" s="47" t="s">
        <v>721</v>
      </c>
      <c r="F161" s="47" t="s">
        <v>19</v>
      </c>
      <c r="G161" s="47" t="s">
        <v>87</v>
      </c>
      <c r="H161" s="47" t="e">
        <f>VLOOKUP(D161,#REF!,7,FALSE)</f>
        <v>#REF!</v>
      </c>
      <c r="I161" s="47" t="e">
        <f>VLOOKUP(H161,#REF!,2,FALSE)</f>
        <v>#REF!</v>
      </c>
    </row>
    <row r="162" spans="1:9" x14ac:dyDescent="0.25">
      <c r="A162" s="47" t="s">
        <v>56</v>
      </c>
      <c r="B162" s="47" t="s">
        <v>47</v>
      </c>
      <c r="C162" s="47" t="s">
        <v>1219</v>
      </c>
      <c r="D162" s="47" t="s">
        <v>463</v>
      </c>
      <c r="E162" s="47" t="s">
        <v>464</v>
      </c>
      <c r="F162" s="47" t="s">
        <v>14</v>
      </c>
      <c r="G162" s="47" t="s">
        <v>287</v>
      </c>
      <c r="H162" s="47" t="e">
        <f>VLOOKUP(D162,#REF!,7,FALSE)</f>
        <v>#REF!</v>
      </c>
      <c r="I162" s="47" t="e">
        <f>VLOOKUP(H162,#REF!,2,FALSE)</f>
        <v>#REF!</v>
      </c>
    </row>
    <row r="163" spans="1:9" x14ac:dyDescent="0.25">
      <c r="A163" s="49" t="s">
        <v>56</v>
      </c>
      <c r="B163" s="49" t="s">
        <v>10</v>
      </c>
      <c r="C163" s="49" t="s">
        <v>133</v>
      </c>
      <c r="D163" s="49" t="s">
        <v>333</v>
      </c>
      <c r="E163" s="47" t="s">
        <v>334</v>
      </c>
      <c r="F163" s="49" t="s">
        <v>37</v>
      </c>
      <c r="G163" s="49" t="s">
        <v>136</v>
      </c>
      <c r="H163" s="49" t="e">
        <f>VLOOKUP(D163,#REF!,7,FALSE)</f>
        <v>#REF!</v>
      </c>
      <c r="I163" s="47" t="e">
        <f>VLOOKUP(H163,#REF!,2,FALSE)</f>
        <v>#REF!</v>
      </c>
    </row>
    <row r="164" spans="1:9" x14ac:dyDescent="0.25">
      <c r="A164" s="47" t="s">
        <v>56</v>
      </c>
      <c r="B164" s="47" t="s">
        <v>128</v>
      </c>
      <c r="C164" s="47" t="s">
        <v>180</v>
      </c>
      <c r="D164" s="47" t="s">
        <v>425</v>
      </c>
      <c r="E164" s="47" t="s">
        <v>426</v>
      </c>
      <c r="F164" s="47" t="s">
        <v>37</v>
      </c>
      <c r="G164" s="47" t="s">
        <v>42</v>
      </c>
      <c r="H164" s="47" t="e">
        <f>VLOOKUP(D164,#REF!,7,FALSE)</f>
        <v>#REF!</v>
      </c>
      <c r="I164" s="47" t="e">
        <f>VLOOKUP(H164,#REF!,2,FALSE)</f>
        <v>#REF!</v>
      </c>
    </row>
    <row r="165" spans="1:9" x14ac:dyDescent="0.25">
      <c r="A165" s="47" t="s">
        <v>66</v>
      </c>
      <c r="B165" s="47" t="s">
        <v>96</v>
      </c>
      <c r="C165" s="47" t="s">
        <v>1194</v>
      </c>
      <c r="D165" s="47" t="s">
        <v>553</v>
      </c>
      <c r="E165" s="47" t="s">
        <v>554</v>
      </c>
      <c r="F165" s="47" t="s">
        <v>28</v>
      </c>
      <c r="G165" s="47" t="s">
        <v>112</v>
      </c>
      <c r="H165" s="47" t="e">
        <f>VLOOKUP(D165,#REF!,7,FALSE)</f>
        <v>#REF!</v>
      </c>
      <c r="I165" s="47" t="e">
        <f>VLOOKUP(H165,#REF!,2,FALSE)</f>
        <v>#REF!</v>
      </c>
    </row>
    <row r="166" spans="1:9" x14ac:dyDescent="0.25">
      <c r="A166" s="47" t="s">
        <v>216</v>
      </c>
      <c r="B166" s="47" t="s">
        <v>10</v>
      </c>
      <c r="C166" s="47" t="s">
        <v>133</v>
      </c>
      <c r="D166" s="47" t="s">
        <v>333</v>
      </c>
      <c r="E166" s="47" t="s">
        <v>334</v>
      </c>
      <c r="F166" s="47" t="s">
        <v>37</v>
      </c>
      <c r="G166" s="47" t="s">
        <v>38</v>
      </c>
      <c r="H166" s="47" t="e">
        <f>VLOOKUP(D166,#REF!,7,FALSE)</f>
        <v>#REF!</v>
      </c>
      <c r="I166" s="47" t="e">
        <f>VLOOKUP(H166,#REF!,2,FALSE)</f>
        <v>#REF!</v>
      </c>
    </row>
    <row r="167" spans="1:9" x14ac:dyDescent="0.25">
      <c r="A167" s="47" t="s">
        <v>216</v>
      </c>
      <c r="B167" s="47" t="s">
        <v>177</v>
      </c>
      <c r="C167" s="47" t="s">
        <v>180</v>
      </c>
      <c r="D167" s="47" t="s">
        <v>425</v>
      </c>
      <c r="E167" s="47" t="s">
        <v>426</v>
      </c>
      <c r="F167" s="47" t="s">
        <v>37</v>
      </c>
      <c r="G167" s="47" t="s">
        <v>38</v>
      </c>
      <c r="H167" s="47" t="e">
        <f>VLOOKUP(D167,#REF!,7,FALSE)</f>
        <v>#REF!</v>
      </c>
      <c r="I167" s="47" t="e">
        <f>VLOOKUP(H167,#REF!,2,FALSE)</f>
        <v>#REF!</v>
      </c>
    </row>
    <row r="168" spans="1:9" x14ac:dyDescent="0.25">
      <c r="A168" s="47" t="s">
        <v>66</v>
      </c>
      <c r="B168" s="47" t="s">
        <v>96</v>
      </c>
      <c r="C168" s="47" t="s">
        <v>76</v>
      </c>
      <c r="D168" s="47" t="s">
        <v>592</v>
      </c>
      <c r="E168" s="47" t="s">
        <v>593</v>
      </c>
      <c r="F168" s="47" t="s">
        <v>28</v>
      </c>
      <c r="G168" s="47" t="s">
        <v>91</v>
      </c>
      <c r="H168" s="47" t="e">
        <f>VLOOKUP(D168,#REF!,7,FALSE)</f>
        <v>#REF!</v>
      </c>
      <c r="I168" s="47" t="e">
        <f>VLOOKUP(H168,#REF!,2,FALSE)</f>
        <v>#REF!</v>
      </c>
    </row>
    <row r="169" spans="1:9" x14ac:dyDescent="0.25">
      <c r="A169" s="47" t="s">
        <v>66</v>
      </c>
      <c r="B169" s="47" t="s">
        <v>140</v>
      </c>
      <c r="C169" s="47" t="s">
        <v>144</v>
      </c>
      <c r="D169" s="47" t="s">
        <v>596</v>
      </c>
      <c r="E169" s="47" t="s">
        <v>597</v>
      </c>
      <c r="F169" s="47" t="s">
        <v>28</v>
      </c>
      <c r="G169" s="47" t="s">
        <v>87</v>
      </c>
      <c r="H169" s="47" t="e">
        <f>VLOOKUP(D169,#REF!,7,FALSE)</f>
        <v>#REF!</v>
      </c>
      <c r="I169" s="47" t="e">
        <f>VLOOKUP(H169,#REF!,2,FALSE)</f>
        <v>#REF!</v>
      </c>
    </row>
    <row r="170" spans="1:9" x14ac:dyDescent="0.25">
      <c r="A170" s="47" t="s">
        <v>66</v>
      </c>
      <c r="B170" s="47" t="s">
        <v>47</v>
      </c>
      <c r="C170" s="47" t="s">
        <v>144</v>
      </c>
      <c r="D170" s="47" t="s">
        <v>197</v>
      </c>
      <c r="E170" s="47" t="s">
        <v>198</v>
      </c>
      <c r="F170" s="47" t="s">
        <v>28</v>
      </c>
      <c r="G170" s="47" t="s">
        <v>87</v>
      </c>
      <c r="H170" s="47" t="e">
        <f>VLOOKUP(D170,#REF!,7,FALSE)</f>
        <v>#REF!</v>
      </c>
      <c r="I170" s="47" t="e">
        <f>VLOOKUP(H170,#REF!,2,FALSE)</f>
        <v>#REF!</v>
      </c>
    </row>
    <row r="171" spans="1:9" x14ac:dyDescent="0.25">
      <c r="A171" s="47" t="s">
        <v>216</v>
      </c>
      <c r="B171" s="47" t="s">
        <v>140</v>
      </c>
      <c r="C171" s="47" t="s">
        <v>144</v>
      </c>
      <c r="D171" s="47" t="s">
        <v>756</v>
      </c>
      <c r="E171" s="47" t="s">
        <v>757</v>
      </c>
      <c r="F171" s="47" t="s">
        <v>28</v>
      </c>
      <c r="G171" s="47" t="s">
        <v>65</v>
      </c>
      <c r="H171" s="47" t="e">
        <f>VLOOKUP(D171,#REF!,7,FALSE)</f>
        <v>#REF!</v>
      </c>
      <c r="I171" s="47" t="e">
        <f>VLOOKUP(H171,#REF!,2,FALSE)</f>
        <v>#REF!</v>
      </c>
    </row>
    <row r="172" spans="1:9" x14ac:dyDescent="0.25">
      <c r="A172" s="47" t="s">
        <v>170</v>
      </c>
      <c r="B172" s="47" t="s">
        <v>47</v>
      </c>
      <c r="C172" s="47" t="s">
        <v>25</v>
      </c>
      <c r="D172" s="47" t="s">
        <v>227</v>
      </c>
      <c r="E172" s="47" t="s">
        <v>228</v>
      </c>
      <c r="F172" s="47" t="s">
        <v>28</v>
      </c>
      <c r="G172" s="47" t="s">
        <v>65</v>
      </c>
      <c r="H172" s="47" t="e">
        <f>VLOOKUP(D172,#REF!,7,FALSE)</f>
        <v>#REF!</v>
      </c>
      <c r="I172" s="47" t="e">
        <f>VLOOKUP(H172,#REF!,2,FALSE)</f>
        <v>#REF!</v>
      </c>
    </row>
    <row r="173" spans="1:9" x14ac:dyDescent="0.25">
      <c r="A173" s="47" t="s">
        <v>170</v>
      </c>
      <c r="B173" s="47" t="s">
        <v>140</v>
      </c>
      <c r="C173" s="47" t="s">
        <v>76</v>
      </c>
      <c r="D173" s="47" t="s">
        <v>288</v>
      </c>
      <c r="E173" s="47" t="s">
        <v>289</v>
      </c>
      <c r="F173" s="47" t="s">
        <v>28</v>
      </c>
      <c r="G173" s="47" t="s">
        <v>29</v>
      </c>
      <c r="H173" s="47" t="e">
        <f>VLOOKUP(D173,#REF!,7,FALSE)</f>
        <v>#REF!</v>
      </c>
      <c r="I173" s="47" t="e">
        <f>VLOOKUP(H173,#REF!,2,FALSE)</f>
        <v>#REF!</v>
      </c>
    </row>
    <row r="174" spans="1:9" x14ac:dyDescent="0.25">
      <c r="A174" s="47" t="s">
        <v>9</v>
      </c>
      <c r="B174" s="47" t="s">
        <v>47</v>
      </c>
      <c r="C174" s="47" t="s">
        <v>501</v>
      </c>
      <c r="D174" s="47" t="s">
        <v>642</v>
      </c>
      <c r="E174" s="47" t="s">
        <v>643</v>
      </c>
      <c r="F174" s="47" t="s">
        <v>28</v>
      </c>
      <c r="G174" s="47" t="s">
        <v>103</v>
      </c>
      <c r="H174" s="47" t="e">
        <f>VLOOKUP(D174,#REF!,7,FALSE)</f>
        <v>#REF!</v>
      </c>
      <c r="I174" s="47" t="e">
        <f>VLOOKUP(H174,#REF!,2,FALSE)</f>
        <v>#REF!</v>
      </c>
    </row>
    <row r="175" spans="1:9" x14ac:dyDescent="0.25">
      <c r="A175" s="47" t="s">
        <v>66</v>
      </c>
      <c r="B175" s="47" t="s">
        <v>47</v>
      </c>
      <c r="C175" s="47" t="s">
        <v>106</v>
      </c>
      <c r="D175" s="47" t="s">
        <v>496</v>
      </c>
      <c r="E175" s="47" t="s">
        <v>497</v>
      </c>
      <c r="F175" s="47" t="s">
        <v>28</v>
      </c>
      <c r="G175" s="47" t="s">
        <v>368</v>
      </c>
      <c r="H175" s="47" t="e">
        <f>VLOOKUP(D175,#REF!,7,FALSE)</f>
        <v>#REF!</v>
      </c>
      <c r="I175" s="47" t="e">
        <f>VLOOKUP(H175,#REF!,2,FALSE)</f>
        <v>#REF!</v>
      </c>
    </row>
    <row r="176" spans="1:9" x14ac:dyDescent="0.25">
      <c r="A176" s="47" t="s">
        <v>66</v>
      </c>
      <c r="B176" s="47" t="s">
        <v>140</v>
      </c>
      <c r="C176" s="47" t="s">
        <v>76</v>
      </c>
      <c r="D176" s="47" t="s">
        <v>499</v>
      </c>
      <c r="E176" s="47" t="s">
        <v>500</v>
      </c>
      <c r="F176" s="47" t="s">
        <v>28</v>
      </c>
      <c r="G176" s="47" t="s">
        <v>55</v>
      </c>
      <c r="H176" s="47" t="e">
        <f>VLOOKUP(D176,#REF!,7,FALSE)</f>
        <v>#REF!</v>
      </c>
      <c r="I176" s="47" t="e">
        <f>VLOOKUP(H176,#REF!,2,FALSE)</f>
        <v>#REF!</v>
      </c>
    </row>
    <row r="177" spans="1:9" x14ac:dyDescent="0.25">
      <c r="A177" s="47" t="s">
        <v>9</v>
      </c>
      <c r="B177" s="47" t="s">
        <v>119</v>
      </c>
      <c r="C177" s="47" t="s">
        <v>39</v>
      </c>
      <c r="D177" s="47" t="s">
        <v>124</v>
      </c>
      <c r="E177" s="47" t="s">
        <v>125</v>
      </c>
      <c r="F177" s="47" t="s">
        <v>37</v>
      </c>
      <c r="G177" s="47" t="s">
        <v>42</v>
      </c>
      <c r="H177" s="47" t="e">
        <f>VLOOKUP(D177,#REF!,7,FALSE)</f>
        <v>#REF!</v>
      </c>
      <c r="I177" s="47" t="e">
        <f>VLOOKUP(H177,#REF!,2,FALSE)</f>
        <v>#REF!</v>
      </c>
    </row>
    <row r="178" spans="1:9" x14ac:dyDescent="0.25">
      <c r="A178" s="49" t="s">
        <v>9</v>
      </c>
      <c r="B178" s="49" t="s">
        <v>177</v>
      </c>
      <c r="C178" s="49" t="s">
        <v>120</v>
      </c>
      <c r="D178" s="49" t="s">
        <v>178</v>
      </c>
      <c r="E178" s="47" t="s">
        <v>179</v>
      </c>
      <c r="F178" s="49" t="s">
        <v>37</v>
      </c>
      <c r="G178" s="49" t="s">
        <v>123</v>
      </c>
      <c r="H178" s="49" t="e">
        <f>VLOOKUP(D178,#REF!,7,FALSE)</f>
        <v>#REF!</v>
      </c>
      <c r="I178" s="47" t="e">
        <f>VLOOKUP(H178,#REF!,2,FALSE)</f>
        <v>#REF!</v>
      </c>
    </row>
    <row r="179" spans="1:9" x14ac:dyDescent="0.25">
      <c r="A179" s="49" t="s">
        <v>9</v>
      </c>
      <c r="B179" s="49" t="s">
        <v>10</v>
      </c>
      <c r="C179" s="50" t="s">
        <v>163</v>
      </c>
      <c r="D179" s="49" t="s">
        <v>300</v>
      </c>
      <c r="E179" s="47" t="s">
        <v>301</v>
      </c>
      <c r="F179" s="49" t="s">
        <v>37</v>
      </c>
      <c r="G179" s="49" t="s">
        <v>132</v>
      </c>
      <c r="H179" s="49" t="e">
        <f>VLOOKUP(D179,#REF!,7,FALSE)</f>
        <v>#REF!</v>
      </c>
      <c r="I179" s="47" t="e">
        <f>VLOOKUP(H179,#REF!,2,FALSE)</f>
        <v>#REF!</v>
      </c>
    </row>
    <row r="180" spans="1:9" x14ac:dyDescent="0.25">
      <c r="A180" s="47" t="s">
        <v>216</v>
      </c>
      <c r="B180" s="49" t="s">
        <v>10</v>
      </c>
      <c r="C180" s="47" t="s">
        <v>163</v>
      </c>
      <c r="D180" s="47" t="s">
        <v>300</v>
      </c>
      <c r="E180" s="47" t="s">
        <v>301</v>
      </c>
      <c r="F180" s="47" t="s">
        <v>37</v>
      </c>
      <c r="G180" s="47" t="s">
        <v>132</v>
      </c>
      <c r="H180" s="47" t="e">
        <f>VLOOKUP(D180,#REF!,7,FALSE)</f>
        <v>#REF!</v>
      </c>
      <c r="I180" s="47" t="e">
        <f>VLOOKUP(H180,#REF!,2,FALSE)</f>
        <v>#REF!</v>
      </c>
    </row>
    <row r="181" spans="1:9" x14ac:dyDescent="0.25">
      <c r="A181" s="47" t="s">
        <v>216</v>
      </c>
      <c r="B181" s="47" t="s">
        <v>119</v>
      </c>
      <c r="C181" s="47" t="s">
        <v>39</v>
      </c>
      <c r="D181" s="47" t="s">
        <v>124</v>
      </c>
      <c r="E181" s="47" t="s">
        <v>125</v>
      </c>
      <c r="F181" s="47" t="s">
        <v>37</v>
      </c>
      <c r="G181" s="47" t="s">
        <v>38</v>
      </c>
      <c r="H181" s="47" t="e">
        <f>VLOOKUP(D181,#REF!,7,FALSE)</f>
        <v>#REF!</v>
      </c>
      <c r="I181" s="47" t="e">
        <f>VLOOKUP(H181,#REF!,2,FALSE)</f>
        <v>#REF!</v>
      </c>
    </row>
    <row r="182" spans="1:9" x14ac:dyDescent="0.25">
      <c r="A182" s="49" t="s">
        <v>216</v>
      </c>
      <c r="B182" s="49" t="s">
        <v>177</v>
      </c>
      <c r="C182" s="49" t="s">
        <v>120</v>
      </c>
      <c r="D182" s="47" t="s">
        <v>178</v>
      </c>
      <c r="E182" s="47" t="s">
        <v>179</v>
      </c>
      <c r="F182" s="49" t="s">
        <v>37</v>
      </c>
      <c r="G182" s="49" t="s">
        <v>123</v>
      </c>
      <c r="H182" s="49" t="e">
        <f>VLOOKUP(D182,#REF!,7,FALSE)</f>
        <v>#REF!</v>
      </c>
      <c r="I182" s="47" t="e">
        <f>VLOOKUP(H182,#REF!,2,FALSE)</f>
        <v>#REF!</v>
      </c>
    </row>
    <row r="183" spans="1:9" x14ac:dyDescent="0.25">
      <c r="A183" s="49" t="s">
        <v>170</v>
      </c>
      <c r="B183" s="49" t="s">
        <v>119</v>
      </c>
      <c r="C183" s="47" t="s">
        <v>163</v>
      </c>
      <c r="D183" s="49" t="s">
        <v>270</v>
      </c>
      <c r="E183" s="47" t="s">
        <v>271</v>
      </c>
      <c r="F183" s="49" t="s">
        <v>37</v>
      </c>
      <c r="G183" s="49" t="s">
        <v>42</v>
      </c>
      <c r="H183" s="49" t="e">
        <f>VLOOKUP(D183,#REF!,7,FALSE)</f>
        <v>#REF!</v>
      </c>
      <c r="I183" s="47" t="e">
        <f>VLOOKUP(H183,#REF!,2,FALSE)</f>
        <v>#REF!</v>
      </c>
    </row>
    <row r="184" spans="1:9" x14ac:dyDescent="0.25">
      <c r="A184" s="47" t="s">
        <v>56</v>
      </c>
      <c r="B184" s="47" t="s">
        <v>177</v>
      </c>
      <c r="C184" s="47" t="s">
        <v>133</v>
      </c>
      <c r="D184" s="47" t="s">
        <v>430</v>
      </c>
      <c r="E184" s="47" t="s">
        <v>431</v>
      </c>
      <c r="F184" s="47" t="s">
        <v>37</v>
      </c>
      <c r="G184" s="47" t="s">
        <v>136</v>
      </c>
      <c r="H184" s="47" t="e">
        <f>VLOOKUP(D184,#REF!,7,FALSE)</f>
        <v>#REF!</v>
      </c>
      <c r="I184" s="47" t="e">
        <f>VLOOKUP(H184,#REF!,2,FALSE)</f>
        <v>#REF!</v>
      </c>
    </row>
    <row r="185" spans="1:9" x14ac:dyDescent="0.25">
      <c r="A185" s="47" t="s">
        <v>66</v>
      </c>
      <c r="B185" s="47" t="s">
        <v>128</v>
      </c>
      <c r="C185" s="47" t="s">
        <v>133</v>
      </c>
      <c r="D185" s="47" t="s">
        <v>430</v>
      </c>
      <c r="E185" s="47" t="s">
        <v>431</v>
      </c>
      <c r="F185" s="47" t="s">
        <v>37</v>
      </c>
      <c r="G185" s="47" t="s">
        <v>136</v>
      </c>
      <c r="H185" s="47" t="e">
        <f>VLOOKUP(D185,#REF!,7,FALSE)</f>
        <v>#REF!</v>
      </c>
      <c r="I185" s="47" t="e">
        <f>VLOOKUP(H185,#REF!,2,FALSE)</f>
        <v>#REF!</v>
      </c>
    </row>
    <row r="186" spans="1:9" x14ac:dyDescent="0.25">
      <c r="A186" s="47" t="s">
        <v>216</v>
      </c>
      <c r="B186" s="47" t="s">
        <v>128</v>
      </c>
      <c r="C186" s="47" t="s">
        <v>163</v>
      </c>
      <c r="D186" s="47" t="s">
        <v>270</v>
      </c>
      <c r="E186" s="47" t="s">
        <v>271</v>
      </c>
      <c r="F186" s="47" t="s">
        <v>37</v>
      </c>
      <c r="G186" s="47" t="s">
        <v>42</v>
      </c>
      <c r="H186" s="47" t="e">
        <f>VLOOKUP(D186,#REF!,7,FALSE)</f>
        <v>#REF!</v>
      </c>
      <c r="I186" s="47" t="e">
        <f>VLOOKUP(H186,#REF!,2,FALSE)</f>
        <v>#REF!</v>
      </c>
    </row>
    <row r="187" spans="1:9" x14ac:dyDescent="0.25">
      <c r="A187" s="49" t="s">
        <v>9</v>
      </c>
      <c r="B187" s="47" t="s">
        <v>128</v>
      </c>
      <c r="C187" s="47" t="s">
        <v>34</v>
      </c>
      <c r="D187" s="47" t="s">
        <v>168</v>
      </c>
      <c r="E187" s="47" t="s">
        <v>169</v>
      </c>
      <c r="F187" s="47" t="s">
        <v>37</v>
      </c>
      <c r="G187" s="47" t="s">
        <v>42</v>
      </c>
      <c r="H187" s="47" t="e">
        <f>VLOOKUP(D187,#REF!,7,FALSE)</f>
        <v>#REF!</v>
      </c>
      <c r="I187" s="47" t="e">
        <f>VLOOKUP(H187,#REF!,2,FALSE)</f>
        <v>#REF!</v>
      </c>
    </row>
    <row r="188" spans="1:9" x14ac:dyDescent="0.25">
      <c r="A188" s="49" t="s">
        <v>9</v>
      </c>
      <c r="B188" s="49" t="s">
        <v>177</v>
      </c>
      <c r="C188" s="49" t="s">
        <v>180</v>
      </c>
      <c r="D188" s="49" t="s">
        <v>181</v>
      </c>
      <c r="E188" s="47" t="s">
        <v>182</v>
      </c>
      <c r="F188" s="49" t="s">
        <v>37</v>
      </c>
      <c r="G188" s="49" t="s">
        <v>132</v>
      </c>
      <c r="H188" s="49" t="e">
        <f>VLOOKUP(D188,#REF!,7,FALSE)</f>
        <v>#REF!</v>
      </c>
      <c r="I188" s="47" t="e">
        <f>VLOOKUP(H188,#REF!,2,FALSE)</f>
        <v>#REF!</v>
      </c>
    </row>
    <row r="189" spans="1:9" x14ac:dyDescent="0.25">
      <c r="A189" s="49" t="s">
        <v>170</v>
      </c>
      <c r="B189" s="47" t="s">
        <v>128</v>
      </c>
      <c r="C189" s="47" t="s">
        <v>129</v>
      </c>
      <c r="D189" s="47" t="s">
        <v>171</v>
      </c>
      <c r="E189" s="47" t="s">
        <v>172</v>
      </c>
      <c r="F189" s="47" t="s">
        <v>37</v>
      </c>
      <c r="G189" s="47" t="s">
        <v>42</v>
      </c>
      <c r="H189" s="47" t="e">
        <f>VLOOKUP(D189,#REF!,7,FALSE)</f>
        <v>#REF!</v>
      </c>
      <c r="I189" s="47" t="e">
        <f>VLOOKUP(H189,#REF!,2,FALSE)</f>
        <v>#REF!</v>
      </c>
    </row>
    <row r="190" spans="1:9" x14ac:dyDescent="0.25">
      <c r="A190" s="49" t="s">
        <v>56</v>
      </c>
      <c r="B190" s="49" t="s">
        <v>10</v>
      </c>
      <c r="C190" s="49" t="s">
        <v>129</v>
      </c>
      <c r="D190" s="49" t="s">
        <v>171</v>
      </c>
      <c r="E190" s="47" t="s">
        <v>172</v>
      </c>
      <c r="F190" s="49" t="s">
        <v>37</v>
      </c>
      <c r="G190" s="49" t="s">
        <v>123</v>
      </c>
      <c r="H190" s="49" t="e">
        <f>VLOOKUP(D190,#REF!,7,FALSE)</f>
        <v>#REF!</v>
      </c>
      <c r="I190" s="47" t="e">
        <f>VLOOKUP(H190,#REF!,2,FALSE)</f>
        <v>#REF!</v>
      </c>
    </row>
    <row r="191" spans="1:9" x14ac:dyDescent="0.25">
      <c r="A191" s="47" t="s">
        <v>56</v>
      </c>
      <c r="B191" s="47" t="s">
        <v>128</v>
      </c>
      <c r="C191" s="47" t="s">
        <v>34</v>
      </c>
      <c r="D191" s="47" t="s">
        <v>168</v>
      </c>
      <c r="E191" s="47" t="s">
        <v>427</v>
      </c>
      <c r="F191" s="47" t="s">
        <v>37</v>
      </c>
      <c r="G191" s="47" t="s">
        <v>38</v>
      </c>
      <c r="H191" s="47" t="e">
        <f>VLOOKUP(D191,#REF!,7,FALSE)</f>
        <v>#REF!</v>
      </c>
      <c r="I191" s="47" t="e">
        <f>VLOOKUP(H191,#REF!,2,FALSE)</f>
        <v>#REF!</v>
      </c>
    </row>
    <row r="192" spans="1:9" x14ac:dyDescent="0.25">
      <c r="A192" s="47" t="s">
        <v>56</v>
      </c>
      <c r="B192" s="47" t="s">
        <v>177</v>
      </c>
      <c r="C192" s="47" t="s">
        <v>180</v>
      </c>
      <c r="D192" s="47" t="s">
        <v>181</v>
      </c>
      <c r="E192" s="47" t="s">
        <v>182</v>
      </c>
      <c r="F192" s="47" t="s">
        <v>37</v>
      </c>
      <c r="G192" s="47" t="s">
        <v>38</v>
      </c>
      <c r="H192" s="47" t="e">
        <f>VLOOKUP(D192,#REF!,7,FALSE)</f>
        <v>#REF!</v>
      </c>
      <c r="I192" s="47" t="e">
        <f>VLOOKUP(H192,#REF!,2,FALSE)</f>
        <v>#REF!</v>
      </c>
    </row>
    <row r="193" spans="1:9" x14ac:dyDescent="0.25">
      <c r="A193" s="47" t="s">
        <v>66</v>
      </c>
      <c r="B193" s="47" t="s">
        <v>47</v>
      </c>
      <c r="C193" s="47" t="s">
        <v>501</v>
      </c>
      <c r="D193" s="47" t="s">
        <v>502</v>
      </c>
      <c r="E193" s="47" t="s">
        <v>503</v>
      </c>
      <c r="F193" s="47" t="s">
        <v>28</v>
      </c>
      <c r="G193" s="47" t="s">
        <v>24</v>
      </c>
      <c r="H193" s="47" t="e">
        <f>VLOOKUP(D193,#REF!,7,FALSE)</f>
        <v>#REF!</v>
      </c>
      <c r="I193" s="47" t="e">
        <f>VLOOKUP(H193,#REF!,2,FALSE)</f>
        <v>#REF!</v>
      </c>
    </row>
    <row r="194" spans="1:9" x14ac:dyDescent="0.25">
      <c r="A194" s="47" t="s">
        <v>66</v>
      </c>
      <c r="B194" s="47" t="s">
        <v>96</v>
      </c>
      <c r="C194" s="47" t="s">
        <v>25</v>
      </c>
      <c r="D194" s="47" t="s">
        <v>555</v>
      </c>
      <c r="E194" s="47" t="s">
        <v>556</v>
      </c>
      <c r="F194" s="47" t="s">
        <v>28</v>
      </c>
      <c r="G194" s="47" t="s">
        <v>220</v>
      </c>
      <c r="H194" s="47" t="e">
        <f>VLOOKUP(D194,#REF!,7,FALSE)</f>
        <v>#REF!</v>
      </c>
      <c r="I194" s="47" t="e">
        <f>VLOOKUP(H194,#REF!,2,FALSE)</f>
        <v>#REF!</v>
      </c>
    </row>
    <row r="195" spans="1:9" x14ac:dyDescent="0.25">
      <c r="A195" s="47" t="s">
        <v>66</v>
      </c>
      <c r="B195" s="47" t="s">
        <v>140</v>
      </c>
      <c r="C195" s="47" t="s">
        <v>390</v>
      </c>
      <c r="D195" s="47" t="s">
        <v>594</v>
      </c>
      <c r="E195" s="47" t="s">
        <v>595</v>
      </c>
      <c r="F195" s="47" t="s">
        <v>28</v>
      </c>
      <c r="G195" s="47" t="s">
        <v>79</v>
      </c>
      <c r="H195" s="47" t="e">
        <f>VLOOKUP(D195,#REF!,7,FALSE)</f>
        <v>#REF!</v>
      </c>
      <c r="I195" s="47" t="e">
        <f>VLOOKUP(H195,#REF!,2,FALSE)</f>
        <v>#REF!</v>
      </c>
    </row>
    <row r="196" spans="1:9" x14ac:dyDescent="0.25">
      <c r="A196" s="47" t="s">
        <v>216</v>
      </c>
      <c r="B196" s="47" t="s">
        <v>140</v>
      </c>
      <c r="C196" s="47" t="s">
        <v>390</v>
      </c>
      <c r="D196" s="47" t="s">
        <v>763</v>
      </c>
      <c r="E196" s="47" t="s">
        <v>764</v>
      </c>
      <c r="F196" s="47" t="s">
        <v>28</v>
      </c>
      <c r="G196" s="47" t="s">
        <v>112</v>
      </c>
      <c r="H196" s="47" t="e">
        <f>VLOOKUP(D196,#REF!,7,FALSE)</f>
        <v>#REF!</v>
      </c>
      <c r="I196" s="47" t="e">
        <f>VLOOKUP(H196,#REF!,2,FALSE)</f>
        <v>#REF!</v>
      </c>
    </row>
    <row r="197" spans="1:9" x14ac:dyDescent="0.25">
      <c r="A197" s="49" t="s">
        <v>9</v>
      </c>
      <c r="B197" s="49" t="s">
        <v>119</v>
      </c>
      <c r="C197" s="47" t="s">
        <v>160</v>
      </c>
      <c r="D197" s="49" t="s">
        <v>183</v>
      </c>
      <c r="E197" s="47" t="s">
        <v>184</v>
      </c>
      <c r="F197" s="49" t="s">
        <v>37</v>
      </c>
      <c r="G197" s="49" t="s">
        <v>136</v>
      </c>
      <c r="H197" s="49" t="e">
        <f>VLOOKUP(D197,#REF!,7,FALSE)</f>
        <v>#REF!</v>
      </c>
      <c r="I197" s="47" t="e">
        <f>VLOOKUP(H197,#REF!,2,FALSE)</f>
        <v>#REF!</v>
      </c>
    </row>
    <row r="198" spans="1:9" x14ac:dyDescent="0.25">
      <c r="A198" s="49" t="s">
        <v>9</v>
      </c>
      <c r="B198" s="49" t="s">
        <v>177</v>
      </c>
      <c r="C198" s="47" t="s">
        <v>160</v>
      </c>
      <c r="D198" s="49" t="s">
        <v>183</v>
      </c>
      <c r="E198" s="47" t="s">
        <v>184</v>
      </c>
      <c r="F198" s="49" t="s">
        <v>37</v>
      </c>
      <c r="G198" s="49" t="s">
        <v>136</v>
      </c>
      <c r="H198" s="49" t="e">
        <f>VLOOKUP(D198,#REF!,7,FALSE)</f>
        <v>#REF!</v>
      </c>
      <c r="I198" s="47" t="e">
        <f>VLOOKUP(H198,#REF!,2,FALSE)</f>
        <v>#REF!</v>
      </c>
    </row>
    <row r="199" spans="1:9" x14ac:dyDescent="0.25">
      <c r="A199" s="49" t="s">
        <v>170</v>
      </c>
      <c r="B199" s="49" t="s">
        <v>119</v>
      </c>
      <c r="C199" s="49" t="s">
        <v>34</v>
      </c>
      <c r="D199" s="49" t="s">
        <v>272</v>
      </c>
      <c r="E199" s="47" t="s">
        <v>273</v>
      </c>
      <c r="F199" s="49" t="s">
        <v>37</v>
      </c>
      <c r="G199" s="49" t="s">
        <v>38</v>
      </c>
      <c r="H199" s="49" t="e">
        <f>VLOOKUP(D199,#REF!,7,FALSE)</f>
        <v>#REF!</v>
      </c>
      <c r="I199" s="47" t="e">
        <f>VLOOKUP(H199,#REF!,2,FALSE)</f>
        <v>#REF!</v>
      </c>
    </row>
    <row r="200" spans="1:9" x14ac:dyDescent="0.25">
      <c r="A200" s="49" t="s">
        <v>170</v>
      </c>
      <c r="B200" s="49" t="s">
        <v>177</v>
      </c>
      <c r="C200" s="49" t="s">
        <v>180</v>
      </c>
      <c r="D200" s="49" t="s">
        <v>302</v>
      </c>
      <c r="E200" s="47" t="s">
        <v>303</v>
      </c>
      <c r="F200" s="49" t="s">
        <v>37</v>
      </c>
      <c r="G200" s="49" t="s">
        <v>38</v>
      </c>
      <c r="H200" s="49" t="e">
        <f>VLOOKUP(D200,#REF!,7,FALSE)</f>
        <v>#REF!</v>
      </c>
      <c r="I200" s="47" t="e">
        <f>VLOOKUP(H200,#REF!,2,FALSE)</f>
        <v>#REF!</v>
      </c>
    </row>
    <row r="201" spans="1:9" x14ac:dyDescent="0.25">
      <c r="A201" s="47" t="s">
        <v>66</v>
      </c>
      <c r="B201" s="47" t="s">
        <v>128</v>
      </c>
      <c r="C201" s="47" t="s">
        <v>180</v>
      </c>
      <c r="D201" s="47" t="s">
        <v>302</v>
      </c>
      <c r="E201" s="47" t="s">
        <v>303</v>
      </c>
      <c r="F201" s="47" t="s">
        <v>37</v>
      </c>
      <c r="G201" s="47" t="s">
        <v>132</v>
      </c>
      <c r="H201" s="47" t="e">
        <f>VLOOKUP(D201,#REF!,7,FALSE)</f>
        <v>#REF!</v>
      </c>
      <c r="I201" s="47" t="e">
        <f>VLOOKUP(H201,#REF!,2,FALSE)</f>
        <v>#REF!</v>
      </c>
    </row>
    <row r="202" spans="1:9" x14ac:dyDescent="0.25">
      <c r="A202" s="47" t="s">
        <v>66</v>
      </c>
      <c r="B202" s="47" t="s">
        <v>177</v>
      </c>
      <c r="C202" s="47" t="s">
        <v>34</v>
      </c>
      <c r="D202" s="47" t="s">
        <v>272</v>
      </c>
      <c r="E202" s="47" t="s">
        <v>273</v>
      </c>
      <c r="F202" s="47" t="s">
        <v>37</v>
      </c>
      <c r="G202" s="47" t="s">
        <v>38</v>
      </c>
      <c r="H202" s="47" t="e">
        <f>VLOOKUP(D202,#REF!,7,FALSE)</f>
        <v>#REF!</v>
      </c>
      <c r="I202" s="47" t="e">
        <f>VLOOKUP(H202,#REF!,2,FALSE)</f>
        <v>#REF!</v>
      </c>
    </row>
    <row r="203" spans="1:9" x14ac:dyDescent="0.25">
      <c r="A203" s="47" t="s">
        <v>170</v>
      </c>
      <c r="B203" s="47" t="s">
        <v>96</v>
      </c>
      <c r="C203" s="49" t="s">
        <v>76</v>
      </c>
      <c r="D203" s="47" t="s">
        <v>254</v>
      </c>
      <c r="E203" s="47" t="s">
        <v>255</v>
      </c>
      <c r="F203" s="47" t="s">
        <v>28</v>
      </c>
      <c r="G203" s="47" t="s">
        <v>29</v>
      </c>
      <c r="H203" s="47" t="e">
        <f>VLOOKUP(D203,#REF!,7,FALSE)</f>
        <v>#REF!</v>
      </c>
      <c r="I203" s="47" t="e">
        <f>VLOOKUP(H203,#REF!,2,FALSE)</f>
        <v>#REF!</v>
      </c>
    </row>
    <row r="204" spans="1:9" x14ac:dyDescent="0.25">
      <c r="A204" s="47" t="s">
        <v>216</v>
      </c>
      <c r="B204" s="47" t="s">
        <v>10</v>
      </c>
      <c r="C204" s="47" t="s">
        <v>444</v>
      </c>
      <c r="D204" s="47" t="s">
        <v>445</v>
      </c>
      <c r="E204" s="47" t="s">
        <v>446</v>
      </c>
      <c r="F204" s="47" t="s">
        <v>28</v>
      </c>
      <c r="G204" s="47" t="s">
        <v>79</v>
      </c>
      <c r="H204" s="47" t="e">
        <f>VLOOKUP(D204,#REF!,7,FALSE)</f>
        <v>#REF!</v>
      </c>
      <c r="I204" s="47" t="e">
        <f>VLOOKUP(H204,#REF!,2,FALSE)</f>
        <v>#REF!</v>
      </c>
    </row>
    <row r="205" spans="1:9" x14ac:dyDescent="0.25">
      <c r="A205" s="47" t="s">
        <v>216</v>
      </c>
      <c r="B205" s="47" t="s">
        <v>96</v>
      </c>
      <c r="C205" s="47" t="s">
        <v>724</v>
      </c>
      <c r="D205" s="47" t="s">
        <v>725</v>
      </c>
      <c r="E205" s="47" t="s">
        <v>726</v>
      </c>
      <c r="F205" s="47" t="s">
        <v>28</v>
      </c>
      <c r="G205" s="47" t="s">
        <v>24</v>
      </c>
      <c r="H205" s="47" t="e">
        <f>VLOOKUP(D205,#REF!,7,FALSE)</f>
        <v>#REF!</v>
      </c>
      <c r="I205" s="47" t="e">
        <f>VLOOKUP(H205,#REF!,2,FALSE)</f>
        <v>#REF!</v>
      </c>
    </row>
    <row r="206" spans="1:9" x14ac:dyDescent="0.25">
      <c r="A206" s="47" t="s">
        <v>170</v>
      </c>
      <c r="B206" s="47" t="s">
        <v>47</v>
      </c>
      <c r="C206" s="47" t="s">
        <v>479</v>
      </c>
      <c r="D206" s="47" t="s">
        <v>727</v>
      </c>
      <c r="E206" s="47" t="s">
        <v>728</v>
      </c>
      <c r="F206" s="47" t="s">
        <v>28</v>
      </c>
      <c r="G206" s="47" t="s">
        <v>220</v>
      </c>
      <c r="H206" s="47" t="e">
        <f>VLOOKUP(D206,#REF!,7,FALSE)</f>
        <v>#REF!</v>
      </c>
      <c r="I206" s="47" t="e">
        <f>VLOOKUP(H206,#REF!,2,FALSE)</f>
        <v>#REF!</v>
      </c>
    </row>
    <row r="207" spans="1:9" x14ac:dyDescent="0.25">
      <c r="A207" s="47" t="s">
        <v>9</v>
      </c>
      <c r="B207" s="47" t="s">
        <v>47</v>
      </c>
      <c r="C207" s="47" t="s">
        <v>80</v>
      </c>
      <c r="D207" s="47" t="s">
        <v>81</v>
      </c>
      <c r="E207" s="47" t="s">
        <v>82</v>
      </c>
      <c r="F207" s="47" t="s">
        <v>28</v>
      </c>
      <c r="G207" s="47" t="s">
        <v>83</v>
      </c>
      <c r="H207" s="47" t="e">
        <f>VLOOKUP(D207,#REF!,7,FALSE)</f>
        <v>#REF!</v>
      </c>
      <c r="I207" s="47" t="e">
        <f>VLOOKUP(H207,#REF!,2,FALSE)</f>
        <v>#REF!</v>
      </c>
    </row>
    <row r="208" spans="1:9" x14ac:dyDescent="0.25">
      <c r="A208" s="47" t="s">
        <v>9</v>
      </c>
      <c r="B208" s="47" t="s">
        <v>96</v>
      </c>
      <c r="C208" s="47" t="s">
        <v>106</v>
      </c>
      <c r="D208" s="47" t="s">
        <v>107</v>
      </c>
      <c r="E208" s="47" t="s">
        <v>108</v>
      </c>
      <c r="F208" s="47" t="s">
        <v>28</v>
      </c>
      <c r="G208" s="47" t="s">
        <v>65</v>
      </c>
      <c r="H208" s="47" t="e">
        <f>VLOOKUP(D208,#REF!,7,FALSE)</f>
        <v>#REF!</v>
      </c>
      <c r="I208" s="47" t="e">
        <f>VLOOKUP(H208,#REF!,2,FALSE)</f>
        <v>#REF!</v>
      </c>
    </row>
    <row r="209" spans="1:9" x14ac:dyDescent="0.25">
      <c r="A209" s="47" t="s">
        <v>56</v>
      </c>
      <c r="B209" s="47" t="s">
        <v>47</v>
      </c>
      <c r="C209" s="47" t="s">
        <v>80</v>
      </c>
      <c r="D209" s="47" t="s">
        <v>372</v>
      </c>
      <c r="E209" s="47" t="s">
        <v>373</v>
      </c>
      <c r="F209" s="47" t="s">
        <v>28</v>
      </c>
      <c r="G209" s="47" t="s">
        <v>83</v>
      </c>
      <c r="H209" s="47" t="e">
        <f>VLOOKUP(D209,#REF!,7,FALSE)</f>
        <v>#REF!</v>
      </c>
      <c r="I209" s="47" t="e">
        <f>VLOOKUP(H209,#REF!,2,FALSE)</f>
        <v>#REF!</v>
      </c>
    </row>
    <row r="210" spans="1:9" x14ac:dyDescent="0.25">
      <c r="A210" s="49" t="s">
        <v>170</v>
      </c>
      <c r="B210" s="49" t="s">
        <v>128</v>
      </c>
      <c r="C210" s="49" t="s">
        <v>133</v>
      </c>
      <c r="D210" s="49" t="s">
        <v>295</v>
      </c>
      <c r="E210" s="47" t="s">
        <v>296</v>
      </c>
      <c r="F210" s="49" t="s">
        <v>37</v>
      </c>
      <c r="G210" s="49" t="s">
        <v>132</v>
      </c>
      <c r="H210" s="49" t="e">
        <f>VLOOKUP(D210,#REF!,7,FALSE)</f>
        <v>#REF!</v>
      </c>
      <c r="I210" s="47" t="e">
        <f>VLOOKUP(H210,#REF!,2,FALSE)</f>
        <v>#REF!</v>
      </c>
    </row>
    <row r="211" spans="1:9" x14ac:dyDescent="0.25">
      <c r="A211" s="49" t="s">
        <v>170</v>
      </c>
      <c r="B211" s="49" t="s">
        <v>177</v>
      </c>
      <c r="C211" s="47" t="s">
        <v>160</v>
      </c>
      <c r="D211" s="49" t="s">
        <v>304</v>
      </c>
      <c r="E211" s="47" t="s">
        <v>305</v>
      </c>
      <c r="F211" s="49" t="s">
        <v>37</v>
      </c>
      <c r="G211" s="49" t="s">
        <v>136</v>
      </c>
      <c r="H211" s="49" t="e">
        <f>VLOOKUP(D211,#REF!,7,FALSE)</f>
        <v>#REF!</v>
      </c>
      <c r="I211" s="47" t="e">
        <f>VLOOKUP(H211,#REF!,2,FALSE)</f>
        <v>#REF!</v>
      </c>
    </row>
    <row r="212" spans="1:9" x14ac:dyDescent="0.25">
      <c r="A212" s="47" t="s">
        <v>216</v>
      </c>
      <c r="B212" s="47" t="s">
        <v>119</v>
      </c>
      <c r="C212" s="47" t="s">
        <v>160</v>
      </c>
      <c r="D212" s="47" t="s">
        <v>304</v>
      </c>
      <c r="E212" s="47" t="s">
        <v>305</v>
      </c>
      <c r="F212" s="47" t="s">
        <v>37</v>
      </c>
      <c r="G212" s="47" t="s">
        <v>123</v>
      </c>
      <c r="H212" s="47" t="e">
        <f>VLOOKUP(D212,#REF!,7,FALSE)</f>
        <v>#REF!</v>
      </c>
      <c r="I212" s="47" t="e">
        <f>VLOOKUP(H212,#REF!,2,FALSE)</f>
        <v>#REF!</v>
      </c>
    </row>
    <row r="213" spans="1:9" x14ac:dyDescent="0.25">
      <c r="A213" s="47" t="s">
        <v>216</v>
      </c>
      <c r="B213" s="47" t="s">
        <v>128</v>
      </c>
      <c r="C213" s="47" t="s">
        <v>133</v>
      </c>
      <c r="D213" s="47" t="s">
        <v>295</v>
      </c>
      <c r="E213" s="47" t="s">
        <v>296</v>
      </c>
      <c r="F213" s="47" t="s">
        <v>37</v>
      </c>
      <c r="G213" s="47" t="s">
        <v>132</v>
      </c>
      <c r="H213" s="47" t="e">
        <f>VLOOKUP(D213,#REF!,7,FALSE)</f>
        <v>#REF!</v>
      </c>
      <c r="I213" s="47" t="e">
        <f>VLOOKUP(H213,#REF!,2,FALSE)</f>
        <v>#REF!</v>
      </c>
    </row>
    <row r="214" spans="1:9" x14ac:dyDescent="0.25">
      <c r="A214" s="47" t="s">
        <v>9</v>
      </c>
      <c r="B214" s="47" t="s">
        <v>96</v>
      </c>
      <c r="C214" s="47" t="s">
        <v>109</v>
      </c>
      <c r="D214" s="47" t="s">
        <v>110</v>
      </c>
      <c r="E214" s="47" t="s">
        <v>111</v>
      </c>
      <c r="F214" s="47" t="s">
        <v>28</v>
      </c>
      <c r="G214" s="47" t="s">
        <v>112</v>
      </c>
      <c r="H214" s="47" t="e">
        <f>VLOOKUP(D214,#REF!,7,FALSE)</f>
        <v>#REF!</v>
      </c>
      <c r="I214" s="47" t="e">
        <f>VLOOKUP(H214,#REF!,2,FALSE)</f>
        <v>#REF!</v>
      </c>
    </row>
    <row r="215" spans="1:9" x14ac:dyDescent="0.25">
      <c r="A215" s="47" t="s">
        <v>9</v>
      </c>
      <c r="B215" s="47" t="s">
        <v>140</v>
      </c>
      <c r="C215" s="45" t="s">
        <v>444</v>
      </c>
      <c r="D215" s="51" t="s">
        <v>148</v>
      </c>
      <c r="E215" s="47" t="s">
        <v>149</v>
      </c>
      <c r="F215" s="47" t="s">
        <v>28</v>
      </c>
      <c r="G215" s="47" t="s">
        <v>65</v>
      </c>
      <c r="H215" s="47" t="e">
        <f>VLOOKUP(D215,#REF!,7,FALSE)</f>
        <v>#REF!</v>
      </c>
      <c r="I215" s="47" t="e">
        <f>VLOOKUP(H215,#REF!,2,FALSE)</f>
        <v>#REF!</v>
      </c>
    </row>
    <row r="216" spans="1:9" x14ac:dyDescent="0.25">
      <c r="A216" s="47" t="s">
        <v>56</v>
      </c>
      <c r="B216" s="47" t="s">
        <v>96</v>
      </c>
      <c r="C216" s="47" t="s">
        <v>517</v>
      </c>
      <c r="D216" s="47" t="s">
        <v>1229</v>
      </c>
      <c r="E216" s="47" t="s">
        <v>780</v>
      </c>
      <c r="F216" s="47" t="s">
        <v>28</v>
      </c>
      <c r="G216" s="47" t="s">
        <v>79</v>
      </c>
      <c r="H216" s="47" t="e">
        <f>VLOOKUP(D216,#REF!,7,FALSE)</f>
        <v>#REF!</v>
      </c>
      <c r="I216" s="47" t="e">
        <f>VLOOKUP(H216,#REF!,2,FALSE)</f>
        <v>#REF!</v>
      </c>
    </row>
    <row r="217" spans="1:9" x14ac:dyDescent="0.25">
      <c r="A217" s="47" t="s">
        <v>216</v>
      </c>
      <c r="B217" s="47" t="s">
        <v>140</v>
      </c>
      <c r="C217" s="47" t="s">
        <v>106</v>
      </c>
      <c r="D217" s="47" t="s">
        <v>765</v>
      </c>
      <c r="E217" s="47" t="s">
        <v>766</v>
      </c>
      <c r="F217" s="47" t="s">
        <v>28</v>
      </c>
      <c r="G217" s="47" t="s">
        <v>287</v>
      </c>
      <c r="H217" s="47" t="e">
        <f>VLOOKUP(D217,#REF!,7,FALSE)</f>
        <v>#REF!</v>
      </c>
      <c r="I217" s="47" t="e">
        <f>VLOOKUP(H217,#REF!,2,FALSE)</f>
        <v>#REF!</v>
      </c>
    </row>
    <row r="218" spans="1:9" x14ac:dyDescent="0.25">
      <c r="A218" s="49" t="s">
        <v>9</v>
      </c>
      <c r="B218" s="49" t="s">
        <v>10</v>
      </c>
      <c r="C218" s="49" t="s">
        <v>34</v>
      </c>
      <c r="D218" s="49" t="s">
        <v>35</v>
      </c>
      <c r="E218" s="47" t="s">
        <v>36</v>
      </c>
      <c r="F218" s="49" t="s">
        <v>37</v>
      </c>
      <c r="G218" s="49" t="s">
        <v>38</v>
      </c>
      <c r="H218" s="49" t="e">
        <f>VLOOKUP(D218,#REF!,7,FALSE)</f>
        <v>#REF!</v>
      </c>
      <c r="I218" s="47" t="e">
        <f>VLOOKUP(H218,#REF!,2,FALSE)</f>
        <v>#REF!</v>
      </c>
    </row>
    <row r="219" spans="1:9" x14ac:dyDescent="0.25">
      <c r="A219" s="49" t="s">
        <v>9</v>
      </c>
      <c r="B219" s="47" t="s">
        <v>128</v>
      </c>
      <c r="C219" s="47" t="s">
        <v>120</v>
      </c>
      <c r="D219" s="47" t="s">
        <v>173</v>
      </c>
      <c r="E219" s="47" t="s">
        <v>174</v>
      </c>
      <c r="F219" s="47" t="s">
        <v>37</v>
      </c>
      <c r="G219" s="47" t="s">
        <v>123</v>
      </c>
      <c r="H219" s="47" t="e">
        <f>VLOOKUP(D219,#REF!,7,FALSE)</f>
        <v>#REF!</v>
      </c>
      <c r="I219" s="47" t="e">
        <f>VLOOKUP(H219,#REF!,2,FALSE)</f>
        <v>#REF!</v>
      </c>
    </row>
    <row r="220" spans="1:9" x14ac:dyDescent="0.25">
      <c r="A220" s="49" t="s">
        <v>170</v>
      </c>
      <c r="B220" s="49" t="s">
        <v>10</v>
      </c>
      <c r="C220" s="47" t="s">
        <v>163</v>
      </c>
      <c r="D220" s="49" t="s">
        <v>201</v>
      </c>
      <c r="E220" s="47" t="s">
        <v>202</v>
      </c>
      <c r="F220" s="49" t="s">
        <v>37</v>
      </c>
      <c r="G220" s="49" t="s">
        <v>42</v>
      </c>
      <c r="H220" s="49" t="e">
        <f>VLOOKUP(D220,#REF!,7,FALSE)</f>
        <v>#REF!</v>
      </c>
      <c r="I220" s="47" t="e">
        <f>VLOOKUP(H220,#REF!,2,FALSE)</f>
        <v>#REF!</v>
      </c>
    </row>
    <row r="221" spans="1:9" x14ac:dyDescent="0.25">
      <c r="A221" s="49" t="s">
        <v>170</v>
      </c>
      <c r="B221" s="49" t="s">
        <v>128</v>
      </c>
      <c r="C221" s="49" t="s">
        <v>34</v>
      </c>
      <c r="D221" s="49" t="s">
        <v>35</v>
      </c>
      <c r="E221" s="47" t="s">
        <v>36</v>
      </c>
      <c r="F221" s="49" t="s">
        <v>37</v>
      </c>
      <c r="G221" s="49" t="s">
        <v>123</v>
      </c>
      <c r="H221" s="49" t="e">
        <f>VLOOKUP(D221,#REF!,7,FALSE)</f>
        <v>#REF!</v>
      </c>
      <c r="I221" s="47" t="e">
        <f>VLOOKUP(H221,#REF!,2,FALSE)</f>
        <v>#REF!</v>
      </c>
    </row>
    <row r="222" spans="1:9" x14ac:dyDescent="0.25">
      <c r="A222" s="47" t="s">
        <v>56</v>
      </c>
      <c r="B222" s="49" t="s">
        <v>10</v>
      </c>
      <c r="C222" s="47" t="s">
        <v>163</v>
      </c>
      <c r="D222" s="47" t="s">
        <v>201</v>
      </c>
      <c r="E222" s="47" t="s">
        <v>202</v>
      </c>
      <c r="F222" s="47" t="s">
        <v>37</v>
      </c>
      <c r="G222" s="47" t="s">
        <v>42</v>
      </c>
      <c r="H222" s="47" t="e">
        <f>VLOOKUP(D222,#REF!,7,FALSE)</f>
        <v>#REF!</v>
      </c>
      <c r="I222" s="47" t="e">
        <f>VLOOKUP(H222,#REF!,2,FALSE)</f>
        <v>#REF!</v>
      </c>
    </row>
    <row r="223" spans="1:9" x14ac:dyDescent="0.25">
      <c r="A223" s="47" t="s">
        <v>56</v>
      </c>
      <c r="B223" s="47" t="s">
        <v>128</v>
      </c>
      <c r="C223" s="47" t="s">
        <v>120</v>
      </c>
      <c r="D223" s="47" t="s">
        <v>173</v>
      </c>
      <c r="E223" s="47" t="s">
        <v>174</v>
      </c>
      <c r="F223" s="47" t="s">
        <v>37</v>
      </c>
      <c r="G223" s="47" t="s">
        <v>123</v>
      </c>
      <c r="H223" s="47" t="e">
        <f>VLOOKUP(D223,#REF!,7,FALSE)</f>
        <v>#REF!</v>
      </c>
      <c r="I223" s="47" t="e">
        <f>VLOOKUP(H223,#REF!,2,FALSE)</f>
        <v>#REF!</v>
      </c>
    </row>
    <row r="224" spans="1:9" x14ac:dyDescent="0.25">
      <c r="A224" s="47" t="s">
        <v>9</v>
      </c>
      <c r="B224" s="47" t="s">
        <v>119</v>
      </c>
      <c r="C224" s="47" t="s">
        <v>34</v>
      </c>
      <c r="D224" s="47" t="s">
        <v>126</v>
      </c>
      <c r="E224" s="47" t="s">
        <v>127</v>
      </c>
      <c r="F224" s="47" t="s">
        <v>37</v>
      </c>
      <c r="G224" s="47" t="s">
        <v>38</v>
      </c>
      <c r="H224" s="47" t="e">
        <f>VLOOKUP(D224,#REF!,7,FALSE)</f>
        <v>#REF!</v>
      </c>
      <c r="I224" s="47" t="e">
        <f>VLOOKUP(H224,#REF!,2,FALSE)</f>
        <v>#REF!</v>
      </c>
    </row>
    <row r="225" spans="1:9" x14ac:dyDescent="0.25">
      <c r="A225" s="47" t="s">
        <v>9</v>
      </c>
      <c r="B225" s="47" t="s">
        <v>159</v>
      </c>
      <c r="C225" s="47" t="s">
        <v>163</v>
      </c>
      <c r="D225" s="47" t="s">
        <v>164</v>
      </c>
      <c r="E225" s="47" t="s">
        <v>165</v>
      </c>
      <c r="F225" s="47" t="s">
        <v>37</v>
      </c>
      <c r="G225" s="47" t="s">
        <v>42</v>
      </c>
      <c r="H225" s="47" t="e">
        <f>VLOOKUP(D225,#REF!,7,FALSE)</f>
        <v>#REF!</v>
      </c>
      <c r="I225" s="47" t="e">
        <f>VLOOKUP(H225,#REF!,2,FALSE)</f>
        <v>#REF!</v>
      </c>
    </row>
    <row r="226" spans="1:9" x14ac:dyDescent="0.25">
      <c r="A226" s="47" t="s">
        <v>56</v>
      </c>
      <c r="B226" s="47" t="s">
        <v>128</v>
      </c>
      <c r="C226" s="47" t="s">
        <v>129</v>
      </c>
      <c r="D226" s="47" t="s">
        <v>130</v>
      </c>
      <c r="E226" s="47" t="s">
        <v>131</v>
      </c>
      <c r="F226" s="47" t="s">
        <v>37</v>
      </c>
      <c r="G226" s="47" t="s">
        <v>132</v>
      </c>
      <c r="H226" s="47" t="e">
        <f>VLOOKUP(D226,#REF!,7,FALSE)</f>
        <v>#REF!</v>
      </c>
      <c r="I226" s="47" t="e">
        <f>VLOOKUP(H226,#REF!,2,FALSE)</f>
        <v>#REF!</v>
      </c>
    </row>
    <row r="227" spans="1:9" x14ac:dyDescent="0.25">
      <c r="A227" s="47" t="s">
        <v>56</v>
      </c>
      <c r="B227" s="47" t="s">
        <v>177</v>
      </c>
      <c r="C227" s="47" t="s">
        <v>129</v>
      </c>
      <c r="D227" s="47" t="s">
        <v>130</v>
      </c>
      <c r="E227" s="47" t="s">
        <v>131</v>
      </c>
      <c r="F227" s="47" t="s">
        <v>37</v>
      </c>
      <c r="G227" s="47" t="s">
        <v>132</v>
      </c>
      <c r="H227" s="47" t="e">
        <f>VLOOKUP(D227,#REF!,7,FALSE)</f>
        <v>#REF!</v>
      </c>
      <c r="I227" s="47" t="e">
        <f>VLOOKUP(H227,#REF!,2,FALSE)</f>
        <v>#REF!</v>
      </c>
    </row>
    <row r="228" spans="1:9" x14ac:dyDescent="0.25">
      <c r="A228" s="47" t="s">
        <v>66</v>
      </c>
      <c r="B228" s="47" t="s">
        <v>119</v>
      </c>
      <c r="C228" s="47" t="s">
        <v>34</v>
      </c>
      <c r="D228" s="47" t="s">
        <v>126</v>
      </c>
      <c r="E228" s="47" t="s">
        <v>127</v>
      </c>
      <c r="F228" s="47" t="s">
        <v>37</v>
      </c>
      <c r="G228" s="47" t="s">
        <v>38</v>
      </c>
      <c r="H228" s="47" t="e">
        <f>VLOOKUP(D228,#REF!,7,FALSE)</f>
        <v>#REF!</v>
      </c>
      <c r="I228" s="47" t="e">
        <f>VLOOKUP(H228,#REF!,2,FALSE)</f>
        <v>#REF!</v>
      </c>
    </row>
    <row r="229" spans="1:9" x14ac:dyDescent="0.25">
      <c r="A229" s="47" t="s">
        <v>66</v>
      </c>
      <c r="B229" s="47" t="s">
        <v>159</v>
      </c>
      <c r="C229" s="47" t="s">
        <v>163</v>
      </c>
      <c r="D229" s="47" t="s">
        <v>164</v>
      </c>
      <c r="E229" s="47" t="s">
        <v>165</v>
      </c>
      <c r="F229" s="47" t="s">
        <v>37</v>
      </c>
      <c r="G229" s="47" t="s">
        <v>42</v>
      </c>
      <c r="H229" s="47" t="e">
        <f>VLOOKUP(D229,#REF!,7,FALSE)</f>
        <v>#REF!</v>
      </c>
      <c r="I229" s="47" t="e">
        <f>VLOOKUP(H229,#REF!,2,FALSE)</f>
        <v>#REF!</v>
      </c>
    </row>
    <row r="230" spans="1:9" x14ac:dyDescent="0.25">
      <c r="A230" s="49" t="s">
        <v>9</v>
      </c>
      <c r="B230" s="47" t="s">
        <v>10</v>
      </c>
      <c r="C230" s="47" t="s">
        <v>39</v>
      </c>
      <c r="D230" s="47" t="s">
        <v>40</v>
      </c>
      <c r="E230" s="47" t="s">
        <v>41</v>
      </c>
      <c r="F230" s="47" t="s">
        <v>37</v>
      </c>
      <c r="G230" s="47" t="s">
        <v>42</v>
      </c>
      <c r="H230" s="47" t="e">
        <f>VLOOKUP(D230,#REF!,7,FALSE)</f>
        <v>#REF!</v>
      </c>
      <c r="I230" s="47" t="e">
        <f>VLOOKUP(H230,#REF!,2,FALSE)</f>
        <v>#REF!</v>
      </c>
    </row>
    <row r="231" spans="1:9" x14ac:dyDescent="0.25">
      <c r="A231" s="49" t="s">
        <v>170</v>
      </c>
      <c r="B231" s="49" t="s">
        <v>10</v>
      </c>
      <c r="C231" s="49" t="s">
        <v>34</v>
      </c>
      <c r="D231" s="49" t="s">
        <v>203</v>
      </c>
      <c r="E231" s="47" t="s">
        <v>204</v>
      </c>
      <c r="F231" s="49" t="s">
        <v>37</v>
      </c>
      <c r="G231" s="49" t="s">
        <v>38</v>
      </c>
      <c r="H231" s="49" t="e">
        <f>VLOOKUP(D231,#REF!,7,FALSE)</f>
        <v>#REF!</v>
      </c>
      <c r="I231" s="47" t="e">
        <f>VLOOKUP(H231,#REF!,2,FALSE)</f>
        <v>#REF!</v>
      </c>
    </row>
    <row r="232" spans="1:9" x14ac:dyDescent="0.25">
      <c r="A232" s="49" t="s">
        <v>170</v>
      </c>
      <c r="B232" s="49" t="s">
        <v>177</v>
      </c>
      <c r="C232" s="49" t="s">
        <v>39</v>
      </c>
      <c r="D232" s="49" t="s">
        <v>306</v>
      </c>
      <c r="E232" s="47" t="s">
        <v>307</v>
      </c>
      <c r="F232" s="49" t="s">
        <v>37</v>
      </c>
      <c r="G232" s="49" t="s">
        <v>308</v>
      </c>
      <c r="H232" s="49" t="e">
        <f>VLOOKUP(D232,#REF!,7,FALSE)</f>
        <v>#REF!</v>
      </c>
      <c r="I232" s="47" t="e">
        <f>VLOOKUP(H232,#REF!,2,FALSE)</f>
        <v>#REF!</v>
      </c>
    </row>
    <row r="233" spans="1:9" x14ac:dyDescent="0.25">
      <c r="A233" s="49" t="s">
        <v>56</v>
      </c>
      <c r="B233" s="49" t="s">
        <v>10</v>
      </c>
      <c r="C233" s="49" t="s">
        <v>34</v>
      </c>
      <c r="D233" s="49" t="s">
        <v>203</v>
      </c>
      <c r="E233" s="47" t="s">
        <v>204</v>
      </c>
      <c r="F233" s="49" t="s">
        <v>37</v>
      </c>
      <c r="G233" s="49" t="s">
        <v>38</v>
      </c>
      <c r="H233" s="49" t="e">
        <f>VLOOKUP(D233,#REF!,7,FALSE)</f>
        <v>#REF!</v>
      </c>
      <c r="I233" s="47" t="e">
        <f>VLOOKUP(H233,#REF!,2,FALSE)</f>
        <v>#REF!</v>
      </c>
    </row>
    <row r="234" spans="1:9" x14ac:dyDescent="0.25">
      <c r="A234" s="49" t="s">
        <v>66</v>
      </c>
      <c r="B234" s="49" t="s">
        <v>10</v>
      </c>
      <c r="C234" s="49" t="s">
        <v>39</v>
      </c>
      <c r="D234" s="49" t="s">
        <v>40</v>
      </c>
      <c r="E234" s="47" t="s">
        <v>41</v>
      </c>
      <c r="F234" s="49" t="s">
        <v>37</v>
      </c>
      <c r="G234" s="49" t="s">
        <v>38</v>
      </c>
      <c r="H234" s="49" t="e">
        <f>VLOOKUP(D234,#REF!,7,FALSE)</f>
        <v>#REF!</v>
      </c>
      <c r="I234" s="47" t="e">
        <f>VLOOKUP(H234,#REF!,2,FALSE)</f>
        <v>#REF!</v>
      </c>
    </row>
    <row r="235" spans="1:9" x14ac:dyDescent="0.25">
      <c r="A235" s="47" t="s">
        <v>66</v>
      </c>
      <c r="B235" s="47" t="s">
        <v>177</v>
      </c>
      <c r="C235" s="47" t="s">
        <v>39</v>
      </c>
      <c r="D235" s="47" t="s">
        <v>306</v>
      </c>
      <c r="E235" s="47" t="s">
        <v>307</v>
      </c>
      <c r="F235" s="47" t="s">
        <v>37</v>
      </c>
      <c r="G235" s="47" t="s">
        <v>42</v>
      </c>
      <c r="H235" s="47" t="e">
        <f>VLOOKUP(D235,#REF!,7,FALSE)</f>
        <v>#REF!</v>
      </c>
      <c r="I235" s="47" t="e">
        <f>VLOOKUP(H235,#REF!,2,FALSE)</f>
        <v>#REF!</v>
      </c>
    </row>
    <row r="236" spans="1:9" x14ac:dyDescent="0.25">
      <c r="A236" s="49" t="s">
        <v>170</v>
      </c>
      <c r="B236" s="49" t="s">
        <v>119</v>
      </c>
      <c r="C236" s="49" t="s">
        <v>180</v>
      </c>
      <c r="D236" s="49" t="s">
        <v>274</v>
      </c>
      <c r="E236" s="47" t="s">
        <v>275</v>
      </c>
      <c r="F236" s="49" t="s">
        <v>37</v>
      </c>
      <c r="G236" s="49" t="s">
        <v>123</v>
      </c>
      <c r="H236" s="49" t="e">
        <f>VLOOKUP(D236,#REF!,7,FALSE)</f>
        <v>#REF!</v>
      </c>
      <c r="I236" s="47" t="e">
        <f>VLOOKUP(H236,#REF!,2,FALSE)</f>
        <v>#REF!</v>
      </c>
    </row>
    <row r="237" spans="1:9" x14ac:dyDescent="0.25">
      <c r="A237" s="49" t="s">
        <v>56</v>
      </c>
      <c r="B237" s="49" t="s">
        <v>10</v>
      </c>
      <c r="C237" s="49" t="s">
        <v>180</v>
      </c>
      <c r="D237" s="49" t="s">
        <v>297</v>
      </c>
      <c r="E237" s="47" t="s">
        <v>298</v>
      </c>
      <c r="F237" s="49" t="s">
        <v>37</v>
      </c>
      <c r="G237" s="49" t="s">
        <v>132</v>
      </c>
      <c r="H237" s="49" t="e">
        <f>VLOOKUP(D237,#REF!,7,FALSE)</f>
        <v>#REF!</v>
      </c>
      <c r="I237" s="47" t="e">
        <f>VLOOKUP(H237,#REF!,2,FALSE)</f>
        <v>#REF!</v>
      </c>
    </row>
    <row r="238" spans="1:9" x14ac:dyDescent="0.25">
      <c r="A238" s="49" t="s">
        <v>170</v>
      </c>
      <c r="B238" s="49" t="s">
        <v>10</v>
      </c>
      <c r="C238" s="49" t="s">
        <v>129</v>
      </c>
      <c r="D238" s="49" t="s">
        <v>309</v>
      </c>
      <c r="E238" s="47" t="s">
        <v>310</v>
      </c>
      <c r="F238" s="49" t="s">
        <v>37</v>
      </c>
      <c r="G238" s="49" t="s">
        <v>311</v>
      </c>
      <c r="H238" s="49" t="e">
        <f>VLOOKUP(D238,#REF!,7,FALSE)</f>
        <v>#REF!</v>
      </c>
      <c r="I238" s="47" t="e">
        <f>VLOOKUP(H238,#REF!,2,FALSE)</f>
        <v>#REF!</v>
      </c>
    </row>
    <row r="239" spans="1:9" x14ac:dyDescent="0.25">
      <c r="A239" s="47" t="s">
        <v>56</v>
      </c>
      <c r="B239" s="49" t="s">
        <v>119</v>
      </c>
      <c r="C239" s="47" t="s">
        <v>180</v>
      </c>
      <c r="D239" s="47" t="s">
        <v>274</v>
      </c>
      <c r="E239" s="47" t="s">
        <v>275</v>
      </c>
      <c r="F239" s="47" t="s">
        <v>37</v>
      </c>
      <c r="G239" s="47" t="s">
        <v>123</v>
      </c>
      <c r="H239" s="47" t="e">
        <f>VLOOKUP(D239,#REF!,7,FALSE)</f>
        <v>#REF!</v>
      </c>
      <c r="I239" s="47" t="e">
        <f>VLOOKUP(H239,#REF!,2,FALSE)</f>
        <v>#REF!</v>
      </c>
    </row>
    <row r="240" spans="1:9" x14ac:dyDescent="0.25">
      <c r="A240" s="47" t="s">
        <v>216</v>
      </c>
      <c r="B240" s="49" t="s">
        <v>119</v>
      </c>
      <c r="C240" s="47" t="s">
        <v>180</v>
      </c>
      <c r="D240" s="47" t="s">
        <v>297</v>
      </c>
      <c r="E240" s="47" t="s">
        <v>298</v>
      </c>
      <c r="F240" s="47" t="s">
        <v>37</v>
      </c>
      <c r="G240" s="47" t="s">
        <v>42</v>
      </c>
      <c r="H240" s="47" t="e">
        <f>VLOOKUP(D240,#REF!,7,FALSE)</f>
        <v>#REF!</v>
      </c>
      <c r="I240" s="47" t="e">
        <f>VLOOKUP(H240,#REF!,2,FALSE)</f>
        <v>#REF!</v>
      </c>
    </row>
    <row r="241" spans="1:9" x14ac:dyDescent="0.25">
      <c r="A241" s="47" t="s">
        <v>56</v>
      </c>
      <c r="B241" s="47" t="s">
        <v>159</v>
      </c>
      <c r="C241" s="47" t="s">
        <v>129</v>
      </c>
      <c r="D241" s="47" t="s">
        <v>309</v>
      </c>
      <c r="E241" s="47" t="s">
        <v>310</v>
      </c>
      <c r="F241" s="47" t="s">
        <v>37</v>
      </c>
      <c r="G241" s="47" t="s">
        <v>132</v>
      </c>
      <c r="H241" s="47" t="e">
        <f>VLOOKUP(D241,#REF!,7,FALSE)</f>
        <v>#REF!</v>
      </c>
      <c r="I241" s="47" t="e">
        <f>VLOOKUP(H241,#REF!,2,FALSE)</f>
        <v>#REF!</v>
      </c>
    </row>
    <row r="242" spans="1:9" x14ac:dyDescent="0.25">
      <c r="A242" s="47" t="s">
        <v>9</v>
      </c>
      <c r="B242" s="47" t="s">
        <v>119</v>
      </c>
      <c r="C242" s="47" t="s">
        <v>133</v>
      </c>
      <c r="D242" s="47" t="s">
        <v>134</v>
      </c>
      <c r="E242" s="47" t="s">
        <v>135</v>
      </c>
      <c r="F242" s="47" t="s">
        <v>37</v>
      </c>
      <c r="G242" s="47" t="s">
        <v>132</v>
      </c>
      <c r="H242" s="47" t="e">
        <f>VLOOKUP(D242,#REF!,7,FALSE)</f>
        <v>#REF!</v>
      </c>
      <c r="I242" s="47" t="e">
        <f>VLOOKUP(H242,#REF!,2,FALSE)</f>
        <v>#REF!</v>
      </c>
    </row>
    <row r="243" spans="1:9" x14ac:dyDescent="0.25">
      <c r="A243" s="49" t="s">
        <v>9</v>
      </c>
      <c r="B243" s="47" t="s">
        <v>128</v>
      </c>
      <c r="C243" s="47" t="s">
        <v>39</v>
      </c>
      <c r="D243" s="47" t="s">
        <v>175</v>
      </c>
      <c r="E243" s="47" t="s">
        <v>176</v>
      </c>
      <c r="F243" s="47" t="s">
        <v>37</v>
      </c>
      <c r="G243" s="47" t="s">
        <v>38</v>
      </c>
      <c r="H243" s="47" t="e">
        <f>VLOOKUP(D243,#REF!,7,FALSE)</f>
        <v>#REF!</v>
      </c>
      <c r="I243" s="47" t="e">
        <f>VLOOKUP(H243,#REF!,2,FALSE)</f>
        <v>#REF!</v>
      </c>
    </row>
    <row r="244" spans="1:9" x14ac:dyDescent="0.25">
      <c r="A244" s="49" t="s">
        <v>170</v>
      </c>
      <c r="B244" s="49" t="s">
        <v>10</v>
      </c>
      <c r="C244" s="47" t="s">
        <v>160</v>
      </c>
      <c r="D244" s="49" t="s">
        <v>199</v>
      </c>
      <c r="E244" s="47" t="s">
        <v>200</v>
      </c>
      <c r="F244" s="49" t="s">
        <v>37</v>
      </c>
      <c r="G244" s="49" t="s">
        <v>136</v>
      </c>
      <c r="H244" s="49" t="e">
        <f>VLOOKUP(D244,#REF!,7,FALSE)</f>
        <v>#REF!</v>
      </c>
      <c r="I244" s="47" t="e">
        <f>VLOOKUP(H244,#REF!,2,FALSE)</f>
        <v>#REF!</v>
      </c>
    </row>
    <row r="245" spans="1:9" x14ac:dyDescent="0.25">
      <c r="A245" s="49" t="s">
        <v>170</v>
      </c>
      <c r="B245" s="49" t="s">
        <v>128</v>
      </c>
      <c r="C245" s="49" t="s">
        <v>39</v>
      </c>
      <c r="D245" s="49" t="s">
        <v>175</v>
      </c>
      <c r="E245" s="47" t="s">
        <v>176</v>
      </c>
      <c r="F245" s="49" t="s">
        <v>37</v>
      </c>
      <c r="G245" s="49" t="s">
        <v>38</v>
      </c>
      <c r="H245" s="49" t="e">
        <f>VLOOKUP(D245,#REF!,7,FALSE)</f>
        <v>#REF!</v>
      </c>
      <c r="I245" s="47" t="e">
        <f>VLOOKUP(H245,#REF!,2,FALSE)</f>
        <v>#REF!</v>
      </c>
    </row>
    <row r="246" spans="1:9" x14ac:dyDescent="0.25">
      <c r="A246" s="49" t="s">
        <v>170</v>
      </c>
      <c r="B246" s="49" t="s">
        <v>177</v>
      </c>
      <c r="C246" s="49" t="s">
        <v>133</v>
      </c>
      <c r="D246" s="49" t="s">
        <v>134</v>
      </c>
      <c r="E246" s="47" t="s">
        <v>135</v>
      </c>
      <c r="F246" s="49" t="s">
        <v>37</v>
      </c>
      <c r="G246" s="49" t="s">
        <v>132</v>
      </c>
      <c r="H246" s="49" t="e">
        <f>VLOOKUP(D246,#REF!,7,FALSE)</f>
        <v>#REF!</v>
      </c>
      <c r="I246" s="47" t="e">
        <f>VLOOKUP(H246,#REF!,2,FALSE)</f>
        <v>#REF!</v>
      </c>
    </row>
    <row r="247" spans="1:9" x14ac:dyDescent="0.25">
      <c r="A247" s="47" t="s">
        <v>66</v>
      </c>
      <c r="B247" s="47" t="s">
        <v>10</v>
      </c>
      <c r="C247" s="47" t="s">
        <v>160</v>
      </c>
      <c r="D247" s="47" t="s">
        <v>199</v>
      </c>
      <c r="E247" s="47" t="s">
        <v>200</v>
      </c>
      <c r="F247" s="47" t="s">
        <v>37</v>
      </c>
      <c r="G247" s="47" t="s">
        <v>136</v>
      </c>
      <c r="H247" s="47" t="e">
        <f>VLOOKUP(D247,#REF!,7,FALSE)</f>
        <v>#REF!</v>
      </c>
      <c r="I247" s="47" t="e">
        <f>VLOOKUP(H247,#REF!,2,FALSE)</f>
        <v>#REF!</v>
      </c>
    </row>
    <row r="248" spans="1:9" x14ac:dyDescent="0.25">
      <c r="A248" s="47" t="s">
        <v>9</v>
      </c>
      <c r="B248" s="49" t="s">
        <v>177</v>
      </c>
      <c r="C248" s="47" t="s">
        <v>39</v>
      </c>
      <c r="D248" s="47" t="s">
        <v>185</v>
      </c>
      <c r="E248" s="47" t="s">
        <v>186</v>
      </c>
      <c r="F248" s="47" t="s">
        <v>37</v>
      </c>
      <c r="G248" s="47" t="s">
        <v>42</v>
      </c>
      <c r="H248" s="47" t="e">
        <f>VLOOKUP(D248,#REF!,7,FALSE)</f>
        <v>#REF!</v>
      </c>
      <c r="I248" s="47" t="e">
        <f>VLOOKUP(H248,#REF!,2,FALSE)</f>
        <v>#REF!</v>
      </c>
    </row>
    <row r="249" spans="1:9" x14ac:dyDescent="0.25">
      <c r="A249" s="47" t="s">
        <v>66</v>
      </c>
      <c r="B249" s="47" t="s">
        <v>119</v>
      </c>
      <c r="C249" s="47" t="s">
        <v>39</v>
      </c>
      <c r="D249" s="47" t="s">
        <v>185</v>
      </c>
      <c r="E249" s="47" t="s">
        <v>186</v>
      </c>
      <c r="F249" s="47" t="s">
        <v>37</v>
      </c>
      <c r="G249" s="47" t="s">
        <v>42</v>
      </c>
      <c r="H249" s="47" t="e">
        <f>VLOOKUP(D249,#REF!,7,FALSE)</f>
        <v>#REF!</v>
      </c>
      <c r="I249" s="47" t="e">
        <f>VLOOKUP(H249,#REF!,2,FALSE)</f>
        <v>#REF!</v>
      </c>
    </row>
    <row r="250" spans="1:9" x14ac:dyDescent="0.25">
      <c r="A250" s="49" t="s">
        <v>66</v>
      </c>
      <c r="B250" s="47" t="s">
        <v>128</v>
      </c>
      <c r="C250" s="49" t="s">
        <v>120</v>
      </c>
      <c r="D250" s="49" t="s">
        <v>623</v>
      </c>
      <c r="E250" s="47" t="s">
        <v>624</v>
      </c>
      <c r="F250" s="49" t="s">
        <v>37</v>
      </c>
      <c r="G250" s="49" t="s">
        <v>123</v>
      </c>
      <c r="H250" s="49" t="e">
        <f>VLOOKUP(D250,#REF!,7,FALSE)</f>
        <v>#REF!</v>
      </c>
      <c r="I250" s="47" t="e">
        <f>VLOOKUP(H250,#REF!,2,FALSE)</f>
        <v>#REF!</v>
      </c>
    </row>
    <row r="251" spans="1:9" x14ac:dyDescent="0.25">
      <c r="A251" s="47" t="s">
        <v>66</v>
      </c>
      <c r="B251" s="47" t="s">
        <v>177</v>
      </c>
      <c r="C251" s="47" t="s">
        <v>120</v>
      </c>
      <c r="D251" s="47" t="s">
        <v>623</v>
      </c>
      <c r="E251" s="47" t="s">
        <v>624</v>
      </c>
      <c r="F251" s="47" t="s">
        <v>37</v>
      </c>
      <c r="G251" s="47" t="s">
        <v>123</v>
      </c>
      <c r="H251" s="47" t="e">
        <f>VLOOKUP(D251,#REF!,7,FALSE)</f>
        <v>#REF!</v>
      </c>
      <c r="I251" s="47" t="e">
        <f>VLOOKUP(H251,#REF!,2,FALSE)</f>
        <v>#REF!</v>
      </c>
    </row>
    <row r="252" spans="1:9" x14ac:dyDescent="0.25">
      <c r="A252" s="47" t="s">
        <v>9</v>
      </c>
      <c r="B252" s="47" t="s">
        <v>96</v>
      </c>
      <c r="C252" s="47" t="s">
        <v>113</v>
      </c>
      <c r="D252" s="47" t="s">
        <v>114</v>
      </c>
      <c r="E252" s="47" t="s">
        <v>115</v>
      </c>
      <c r="F252" s="47" t="s">
        <v>28</v>
      </c>
      <c r="G252" s="47" t="s">
        <v>87</v>
      </c>
      <c r="H252" s="47" t="e">
        <f>VLOOKUP(D252,#REF!,7,FALSE)</f>
        <v>#REF!</v>
      </c>
      <c r="I252" s="47" t="e">
        <f>VLOOKUP(H252,#REF!,2,FALSE)</f>
        <v>#REF!</v>
      </c>
    </row>
    <row r="253" spans="1:9" x14ac:dyDescent="0.25">
      <c r="A253" s="47" t="s">
        <v>9</v>
      </c>
      <c r="B253" s="47" t="s">
        <v>140</v>
      </c>
      <c r="C253" s="47" t="s">
        <v>150</v>
      </c>
      <c r="D253" s="47" t="s">
        <v>151</v>
      </c>
      <c r="E253" s="47" t="s">
        <v>152</v>
      </c>
      <c r="F253" s="47" t="s">
        <v>28</v>
      </c>
      <c r="G253" s="47" t="s">
        <v>87</v>
      </c>
      <c r="H253" s="47" t="e">
        <f>VLOOKUP(D253,#REF!,7,FALSE)</f>
        <v>#REF!</v>
      </c>
      <c r="I253" s="47" t="e">
        <f>VLOOKUP(H253,#REF!,2,FALSE)</f>
        <v>#REF!</v>
      </c>
    </row>
    <row r="254" spans="1:9" x14ac:dyDescent="0.25">
      <c r="A254" s="47" t="s">
        <v>170</v>
      </c>
      <c r="B254" s="47" t="s">
        <v>47</v>
      </c>
      <c r="C254" s="47" t="s">
        <v>504</v>
      </c>
      <c r="D254" s="47" t="s">
        <v>505</v>
      </c>
      <c r="E254" s="47" t="s">
        <v>506</v>
      </c>
      <c r="F254" s="47" t="s">
        <v>28</v>
      </c>
      <c r="G254" s="47" t="s">
        <v>507</v>
      </c>
      <c r="H254" s="47" t="e">
        <f>VLOOKUP(D254,#REF!,7,FALSE)</f>
        <v>#REF!</v>
      </c>
      <c r="I254" s="47" t="e">
        <f>VLOOKUP(H254,#REF!,2,FALSE)</f>
        <v>#REF!</v>
      </c>
    </row>
    <row r="255" spans="1:9" x14ac:dyDescent="0.25">
      <c r="A255" s="47" t="s">
        <v>56</v>
      </c>
      <c r="B255" s="47" t="s">
        <v>47</v>
      </c>
      <c r="C255" s="47" t="s">
        <v>351</v>
      </c>
      <c r="D255" s="47" t="s">
        <v>598</v>
      </c>
      <c r="E255" s="47" t="s">
        <v>599</v>
      </c>
      <c r="F255" s="47" t="s">
        <v>28</v>
      </c>
      <c r="G255" s="47" t="s">
        <v>420</v>
      </c>
      <c r="H255" s="47" t="e">
        <f>VLOOKUP(D255,#REF!,7,FALSE)</f>
        <v>#REF!</v>
      </c>
      <c r="I255" s="47" t="e">
        <f>VLOOKUP(H255,#REF!,2,FALSE)</f>
        <v>#REF!</v>
      </c>
    </row>
    <row r="256" spans="1:9" x14ac:dyDescent="0.25">
      <c r="A256" s="47" t="s">
        <v>56</v>
      </c>
      <c r="B256" s="47" t="s">
        <v>96</v>
      </c>
      <c r="C256" s="47" t="s">
        <v>150</v>
      </c>
      <c r="D256" s="47" t="s">
        <v>557</v>
      </c>
      <c r="E256" s="47" t="s">
        <v>558</v>
      </c>
      <c r="F256" s="47" t="s">
        <v>28</v>
      </c>
      <c r="G256" s="47" t="s">
        <v>507</v>
      </c>
      <c r="H256" s="47" t="e">
        <f>VLOOKUP(D256,#REF!,7,FALSE)</f>
        <v>#REF!</v>
      </c>
      <c r="I256" s="47" t="e">
        <f>VLOOKUP(H256,#REF!,2,FALSE)</f>
        <v>#REF!</v>
      </c>
    </row>
    <row r="257" spans="1:9" x14ac:dyDescent="0.25">
      <c r="A257" s="47" t="s">
        <v>66</v>
      </c>
      <c r="B257" s="47" t="s">
        <v>10</v>
      </c>
      <c r="C257" s="47" t="s">
        <v>1175</v>
      </c>
      <c r="D257" s="47" t="s">
        <v>447</v>
      </c>
      <c r="E257" s="47" t="s">
        <v>448</v>
      </c>
      <c r="F257" s="47" t="s">
        <v>19</v>
      </c>
      <c r="G257" s="47" t="s">
        <v>20</v>
      </c>
      <c r="H257" s="47" t="e">
        <f>VLOOKUP(D257,#REF!,7,FALSE)</f>
        <v>#REF!</v>
      </c>
      <c r="I257" s="47" t="e">
        <f>VLOOKUP(H257,#REF!,2,FALSE)</f>
        <v>#REF!</v>
      </c>
    </row>
    <row r="258" spans="1:9" x14ac:dyDescent="0.25">
      <c r="A258" s="47" t="s">
        <v>66</v>
      </c>
      <c r="B258" s="47" t="s">
        <v>47</v>
      </c>
      <c r="C258" s="47" t="s">
        <v>1483</v>
      </c>
      <c r="D258" s="47" t="s">
        <v>1484</v>
      </c>
      <c r="E258" s="47" t="s">
        <v>510</v>
      </c>
      <c r="F258" s="47" t="s">
        <v>19</v>
      </c>
      <c r="G258" s="47" t="s">
        <v>287</v>
      </c>
      <c r="H258" s="47" t="e">
        <f>VLOOKUP(D258,#REF!,7,FALSE)</f>
        <v>#REF!</v>
      </c>
      <c r="I258" s="47" t="e">
        <f>VLOOKUP(H258,#REF!,2,FALSE)</f>
        <v>#REF!</v>
      </c>
    </row>
    <row r="259" spans="1:9" x14ac:dyDescent="0.25">
      <c r="A259" s="47" t="s">
        <v>66</v>
      </c>
      <c r="B259" s="47" t="s">
        <v>119</v>
      </c>
      <c r="C259" s="47" t="s">
        <v>1185</v>
      </c>
      <c r="D259" s="47" t="s">
        <v>447</v>
      </c>
      <c r="E259" s="47" t="s">
        <v>448</v>
      </c>
      <c r="F259" s="47" t="s">
        <v>19</v>
      </c>
      <c r="G259" s="47" t="s">
        <v>20</v>
      </c>
      <c r="H259" s="47" t="e">
        <f>VLOOKUP(D259,#REF!,7,FALSE)</f>
        <v>#REF!</v>
      </c>
      <c r="I259" s="47" t="e">
        <f>VLOOKUP(H259,#REF!,2,FALSE)</f>
        <v>#REF!</v>
      </c>
    </row>
    <row r="260" spans="1:9" x14ac:dyDescent="0.25">
      <c r="A260" s="47" t="s">
        <v>216</v>
      </c>
      <c r="B260" s="47" t="s">
        <v>10</v>
      </c>
      <c r="C260" s="47" t="s">
        <v>535</v>
      </c>
      <c r="D260" s="47" t="s">
        <v>651</v>
      </c>
      <c r="E260" s="47" t="s">
        <v>652</v>
      </c>
      <c r="F260" s="47" t="s">
        <v>19</v>
      </c>
      <c r="G260" s="47" t="s">
        <v>287</v>
      </c>
      <c r="H260" s="47" t="e">
        <f>VLOOKUP(D260,#REF!,7,FALSE)</f>
        <v>#REF!</v>
      </c>
      <c r="I260" s="47" t="e">
        <f>VLOOKUP(H260,#REF!,2,FALSE)</f>
        <v>#REF!</v>
      </c>
    </row>
    <row r="261" spans="1:9" x14ac:dyDescent="0.25">
      <c r="A261" s="47" t="s">
        <v>216</v>
      </c>
      <c r="B261" s="47" t="s">
        <v>96</v>
      </c>
      <c r="C261" s="47" t="s">
        <v>535</v>
      </c>
      <c r="D261" s="47" t="s">
        <v>1230</v>
      </c>
      <c r="E261" s="47" t="s">
        <v>1231</v>
      </c>
      <c r="F261" s="47" t="s">
        <v>19</v>
      </c>
      <c r="G261" s="47" t="s">
        <v>287</v>
      </c>
      <c r="H261" s="47" t="e">
        <f>VLOOKUP(D261,#REF!,7,FALSE)</f>
        <v>#REF!</v>
      </c>
      <c r="I261" s="47" t="e">
        <f>VLOOKUP(H261,#REF!,2,FALSE)</f>
        <v>#REF!</v>
      </c>
    </row>
    <row r="262" spans="1:9" x14ac:dyDescent="0.25">
      <c r="A262" s="47" t="s">
        <v>216</v>
      </c>
      <c r="B262" s="47" t="s">
        <v>10</v>
      </c>
      <c r="C262" s="47" t="s">
        <v>281</v>
      </c>
      <c r="D262" s="47" t="s">
        <v>282</v>
      </c>
      <c r="E262" s="47" t="s">
        <v>283</v>
      </c>
      <c r="F262" s="47" t="s">
        <v>14</v>
      </c>
      <c r="G262" s="47" t="s">
        <v>220</v>
      </c>
      <c r="H262" s="47" t="e">
        <f>VLOOKUP(D262,#REF!,7,FALSE)</f>
        <v>#REF!</v>
      </c>
      <c r="I262" s="47" t="e">
        <f>VLOOKUP(H262,#REF!,2,FALSE)</f>
        <v>#REF!</v>
      </c>
    </row>
    <row r="263" spans="1:9" x14ac:dyDescent="0.25">
      <c r="A263" s="47" t="s">
        <v>170</v>
      </c>
      <c r="B263" s="47" t="s">
        <v>10</v>
      </c>
      <c r="C263" s="47" t="s">
        <v>325</v>
      </c>
      <c r="D263" s="47" t="s">
        <v>374</v>
      </c>
      <c r="E263" s="47" t="s">
        <v>375</v>
      </c>
      <c r="F263" s="47" t="s">
        <v>14</v>
      </c>
      <c r="G263" s="47" t="s">
        <v>103</v>
      </c>
      <c r="H263" s="47" t="e">
        <f>VLOOKUP(D263,#REF!,7,FALSE)</f>
        <v>#REF!</v>
      </c>
      <c r="I263" s="47" t="e">
        <f>VLOOKUP(H263,#REF!,2,FALSE)</f>
        <v>#REF!</v>
      </c>
    </row>
    <row r="264" spans="1:9" x14ac:dyDescent="0.25">
      <c r="A264" s="47" t="s">
        <v>9</v>
      </c>
      <c r="B264" s="47" t="s">
        <v>10</v>
      </c>
      <c r="C264" s="47" t="s">
        <v>11</v>
      </c>
      <c r="D264" s="47" t="s">
        <v>12</v>
      </c>
      <c r="E264" s="47" t="s">
        <v>13</v>
      </c>
      <c r="F264" s="47" t="s">
        <v>14</v>
      </c>
      <c r="G264" s="47" t="s">
        <v>15</v>
      </c>
      <c r="H264" s="47" t="e">
        <f>VLOOKUP(D264,#REF!,7,FALSE)</f>
        <v>#REF!</v>
      </c>
      <c r="I264" s="47" t="e">
        <f>VLOOKUP(H264,#REF!,2,FALSE)</f>
        <v>#REF!</v>
      </c>
    </row>
    <row r="265" spans="1:9" x14ac:dyDescent="0.25">
      <c r="A265" s="47" t="s">
        <v>9</v>
      </c>
      <c r="B265" s="47" t="s">
        <v>47</v>
      </c>
      <c r="C265" s="47" t="s">
        <v>600</v>
      </c>
      <c r="D265" s="47" t="s">
        <v>601</v>
      </c>
      <c r="E265" s="47" t="s">
        <v>602</v>
      </c>
      <c r="F265" s="47" t="s">
        <v>14</v>
      </c>
      <c r="G265" s="47" t="s">
        <v>33</v>
      </c>
      <c r="H265" s="47" t="e">
        <f>VLOOKUP(D265,#REF!,7,FALSE)</f>
        <v>#REF!</v>
      </c>
      <c r="I265" s="47" t="e">
        <f>VLOOKUP(H265,#REF!,2,FALSE)</f>
        <v>#REF!</v>
      </c>
    </row>
    <row r="266" spans="1:9" x14ac:dyDescent="0.25">
      <c r="A266" s="47" t="s">
        <v>170</v>
      </c>
      <c r="B266" s="47" t="s">
        <v>47</v>
      </c>
      <c r="C266" s="47" t="s">
        <v>229</v>
      </c>
      <c r="D266" s="47" t="s">
        <v>230</v>
      </c>
      <c r="E266" s="47" t="s">
        <v>231</v>
      </c>
      <c r="F266" s="47" t="s">
        <v>19</v>
      </c>
      <c r="G266" s="47" t="s">
        <v>24</v>
      </c>
      <c r="H266" s="47" t="e">
        <f>VLOOKUP(D266,#REF!,7,FALSE)</f>
        <v>#REF!</v>
      </c>
      <c r="I266" s="47" t="e">
        <f>VLOOKUP(H266,#REF!,2,FALSE)</f>
        <v>#REF!</v>
      </c>
    </row>
    <row r="267" spans="1:9" x14ac:dyDescent="0.25">
      <c r="A267" s="47" t="s">
        <v>66</v>
      </c>
      <c r="B267" s="47" t="s">
        <v>96</v>
      </c>
      <c r="C267" s="49" t="s">
        <v>221</v>
      </c>
      <c r="D267" s="47" t="s">
        <v>1485</v>
      </c>
      <c r="E267" s="47" t="s">
        <v>560</v>
      </c>
      <c r="F267" s="47" t="s">
        <v>19</v>
      </c>
      <c r="G267" s="47" t="s">
        <v>20</v>
      </c>
      <c r="H267" s="47" t="e">
        <f>VLOOKUP(D267,#REF!,7,FALSE)</f>
        <v>#REF!</v>
      </c>
      <c r="I267" s="47" t="e">
        <f>VLOOKUP(H267,#REF!,2,FALSE)</f>
        <v>#REF!</v>
      </c>
    </row>
    <row r="268" spans="1:9" x14ac:dyDescent="0.25">
      <c r="A268" s="47" t="s">
        <v>66</v>
      </c>
      <c r="B268" s="47" t="s">
        <v>140</v>
      </c>
      <c r="C268" s="47" t="s">
        <v>1486</v>
      </c>
      <c r="D268" s="47" t="s">
        <v>603</v>
      </c>
      <c r="E268" s="47" t="s">
        <v>604</v>
      </c>
      <c r="F268" s="47" t="s">
        <v>19</v>
      </c>
      <c r="G268" s="47" t="s">
        <v>83</v>
      </c>
      <c r="H268" s="47" t="e">
        <f>VLOOKUP(D268,#REF!,7,FALSE)</f>
        <v>#REF!</v>
      </c>
      <c r="I268" s="47" t="e">
        <f>VLOOKUP(H268,#REF!,2,FALSE)</f>
        <v>#REF!</v>
      </c>
    </row>
    <row r="269" spans="1:9" x14ac:dyDescent="0.25">
      <c r="A269" s="47" t="s">
        <v>66</v>
      </c>
      <c r="B269" s="47" t="s">
        <v>47</v>
      </c>
      <c r="C269" s="47" t="s">
        <v>62</v>
      </c>
      <c r="D269" s="47" t="s">
        <v>551</v>
      </c>
      <c r="E269" s="47" t="s">
        <v>552</v>
      </c>
      <c r="F269" s="47" t="s">
        <v>28</v>
      </c>
      <c r="G269" s="47" t="s">
        <v>507</v>
      </c>
      <c r="H269" s="47" t="e">
        <f>VLOOKUP(D269,#REF!,7,FALSE)</f>
        <v>#REF!</v>
      </c>
      <c r="I269" s="47" t="e">
        <f>VLOOKUP(H269,#REF!,2,FALSE)</f>
        <v>#REF!</v>
      </c>
    </row>
    <row r="270" spans="1:9" x14ac:dyDescent="0.25">
      <c r="A270" s="47" t="s">
        <v>66</v>
      </c>
      <c r="B270" s="47" t="s">
        <v>10</v>
      </c>
      <c r="C270" s="47" t="s">
        <v>106</v>
      </c>
      <c r="D270" s="47" t="s">
        <v>451</v>
      </c>
      <c r="E270" s="47" t="s">
        <v>452</v>
      </c>
      <c r="F270" s="47" t="s">
        <v>28</v>
      </c>
      <c r="G270" s="47" t="s">
        <v>103</v>
      </c>
      <c r="H270" s="47" t="e">
        <f>VLOOKUP(D270,#REF!,7,FALSE)</f>
        <v>#REF!</v>
      </c>
      <c r="I270" s="47" t="e">
        <f>VLOOKUP(H270,#REF!,2,FALSE)</f>
        <v>#REF!</v>
      </c>
    </row>
    <row r="271" spans="1:9" x14ac:dyDescent="0.25">
      <c r="A271" s="47" t="s">
        <v>216</v>
      </c>
      <c r="B271" s="47" t="s">
        <v>10</v>
      </c>
      <c r="C271" s="47" t="s">
        <v>62</v>
      </c>
      <c r="D271" s="47" t="s">
        <v>649</v>
      </c>
      <c r="E271" s="47" t="s">
        <v>650</v>
      </c>
      <c r="F271" s="47" t="s">
        <v>28</v>
      </c>
      <c r="G271" s="47" t="s">
        <v>83</v>
      </c>
      <c r="H271" s="47" t="e">
        <f>VLOOKUP(D271,#REF!,7,FALSE)</f>
        <v>#REF!</v>
      </c>
      <c r="I271" s="47" t="e">
        <f>VLOOKUP(H271,#REF!,2,FALSE)</f>
        <v>#REF!</v>
      </c>
    </row>
    <row r="272" spans="1:9" x14ac:dyDescent="0.25">
      <c r="A272" s="45" t="s">
        <v>216</v>
      </c>
      <c r="B272" s="47" t="s">
        <v>140</v>
      </c>
      <c r="C272" s="47" t="s">
        <v>517</v>
      </c>
      <c r="D272" s="47" t="s">
        <v>767</v>
      </c>
      <c r="E272" s="47" t="s">
        <v>768</v>
      </c>
      <c r="F272" s="47" t="s">
        <v>28</v>
      </c>
      <c r="G272" s="47" t="s">
        <v>79</v>
      </c>
      <c r="H272" s="47" t="e">
        <f>VLOOKUP(D272,#REF!,7,FALSE)</f>
        <v>#REF!</v>
      </c>
      <c r="I272" s="47" t="e">
        <f>VLOOKUP(H272,#REF!,2,FALSE)</f>
        <v>#REF!</v>
      </c>
    </row>
    <row r="273" spans="1:9" x14ac:dyDescent="0.25">
      <c r="A273" s="47" t="s">
        <v>66</v>
      </c>
      <c r="B273" s="47" t="s">
        <v>10</v>
      </c>
      <c r="C273" s="47" t="s">
        <v>1185</v>
      </c>
      <c r="D273" s="47" t="s">
        <v>206</v>
      </c>
      <c r="E273" s="47" t="s">
        <v>207</v>
      </c>
      <c r="F273" s="47" t="s">
        <v>28</v>
      </c>
      <c r="G273" s="47" t="s">
        <v>46</v>
      </c>
      <c r="H273" s="47" t="e">
        <f>VLOOKUP(D273,#REF!,7,FALSE)</f>
        <v>#REF!</v>
      </c>
      <c r="I273" s="47" t="e">
        <f>VLOOKUP(H273,#REF!,2,FALSE)</f>
        <v>#REF!</v>
      </c>
    </row>
    <row r="274" spans="1:9" x14ac:dyDescent="0.25">
      <c r="A274" s="47" t="s">
        <v>66</v>
      </c>
      <c r="B274" s="47" t="s">
        <v>47</v>
      </c>
      <c r="C274" s="47" t="s">
        <v>1487</v>
      </c>
      <c r="D274" s="47" t="s">
        <v>206</v>
      </c>
      <c r="E274" s="47" t="s">
        <v>207</v>
      </c>
      <c r="F274" s="47" t="s">
        <v>28</v>
      </c>
      <c r="G274" s="47" t="s">
        <v>46</v>
      </c>
      <c r="H274" s="47" t="e">
        <f>VLOOKUP(D274,#REF!,7,FALSE)</f>
        <v>#REF!</v>
      </c>
      <c r="I274" s="47" t="e">
        <f>VLOOKUP(H274,#REF!,2,FALSE)</f>
        <v>#REF!</v>
      </c>
    </row>
    <row r="275" spans="1:9" x14ac:dyDescent="0.25">
      <c r="A275" s="47" t="s">
        <v>66</v>
      </c>
      <c r="B275" s="47" t="s">
        <v>96</v>
      </c>
      <c r="C275" s="49" t="s">
        <v>1237</v>
      </c>
      <c r="D275" s="47" t="s">
        <v>259</v>
      </c>
      <c r="E275" s="47" t="s">
        <v>260</v>
      </c>
      <c r="F275" s="47" t="s">
        <v>28</v>
      </c>
      <c r="G275" s="47" t="s">
        <v>46</v>
      </c>
      <c r="H275" s="47" t="e">
        <f>VLOOKUP(D275,#REF!,7,FALSE)</f>
        <v>#REF!</v>
      </c>
      <c r="I275" s="47" t="e">
        <f>VLOOKUP(H275,#REF!,2,FALSE)</f>
        <v>#REF!</v>
      </c>
    </row>
    <row r="276" spans="1:9" x14ac:dyDescent="0.25">
      <c r="A276" s="47" t="s">
        <v>170</v>
      </c>
      <c r="B276" s="47" t="s">
        <v>10</v>
      </c>
      <c r="C276" s="47" t="s">
        <v>471</v>
      </c>
      <c r="D276" s="47" t="s">
        <v>1488</v>
      </c>
      <c r="E276" s="47" t="s">
        <v>207</v>
      </c>
      <c r="F276" s="47" t="s">
        <v>28</v>
      </c>
      <c r="G276" s="47" t="s">
        <v>46</v>
      </c>
      <c r="H276" s="47" t="e">
        <f>VLOOKUP(D276,#REF!,7,FALSE)</f>
        <v>#REF!</v>
      </c>
      <c r="I276" s="47" t="e">
        <f>VLOOKUP(H276,#REF!,2,FALSE)</f>
        <v>#REF!</v>
      </c>
    </row>
    <row r="277" spans="1:9" x14ac:dyDescent="0.25">
      <c r="A277" s="47" t="s">
        <v>216</v>
      </c>
      <c r="B277" s="47" t="s">
        <v>47</v>
      </c>
      <c r="C277" s="47" t="s">
        <v>1238</v>
      </c>
      <c r="D277" s="47" t="s">
        <v>44</v>
      </c>
      <c r="E277" s="47" t="s">
        <v>45</v>
      </c>
      <c r="F277" s="47" t="s">
        <v>28</v>
      </c>
      <c r="G277" s="47" t="s">
        <v>46</v>
      </c>
      <c r="H277" s="47" t="e">
        <f>VLOOKUP(D277,#REF!,7,FALSE)</f>
        <v>#REF!</v>
      </c>
      <c r="I277" s="47" t="e">
        <f>VLOOKUP(H277,#REF!,2,FALSE)</f>
        <v>#REF!</v>
      </c>
    </row>
    <row r="278" spans="1:9" x14ac:dyDescent="0.25">
      <c r="A278" s="47" t="s">
        <v>216</v>
      </c>
      <c r="B278" s="47" t="s">
        <v>96</v>
      </c>
      <c r="C278" s="47" t="s">
        <v>84</v>
      </c>
      <c r="D278" s="47" t="s">
        <v>520</v>
      </c>
      <c r="E278" s="47" t="s">
        <v>521</v>
      </c>
      <c r="F278" s="47" t="s">
        <v>28</v>
      </c>
      <c r="G278" s="47" t="s">
        <v>507</v>
      </c>
      <c r="H278" s="47" t="e">
        <f>VLOOKUP(D278,#REF!,7,FALSE)</f>
        <v>#REF!</v>
      </c>
      <c r="I278" s="47" t="e">
        <f>VLOOKUP(H278,#REF!,2,FALSE)</f>
        <v>#REF!</v>
      </c>
    </row>
    <row r="279" spans="1:9" x14ac:dyDescent="0.25">
      <c r="A279" s="47" t="s">
        <v>170</v>
      </c>
      <c r="B279" s="47" t="s">
        <v>47</v>
      </c>
      <c r="C279" s="49" t="s">
        <v>1219</v>
      </c>
      <c r="D279" s="47" t="s">
        <v>93</v>
      </c>
      <c r="E279" s="47" t="s">
        <v>94</v>
      </c>
      <c r="F279" s="49" t="s">
        <v>14</v>
      </c>
      <c r="G279" s="47" t="s">
        <v>492</v>
      </c>
      <c r="H279" s="47" t="e">
        <f>VLOOKUP(D279,#REF!,7,FALSE)</f>
        <v>#REF!</v>
      </c>
      <c r="I279" s="47" t="e">
        <f>VLOOKUP(H279,#REF!,2,FALSE)</f>
        <v>#REF!</v>
      </c>
    </row>
    <row r="280" spans="1:9" x14ac:dyDescent="0.25">
      <c r="A280" s="47" t="s">
        <v>66</v>
      </c>
      <c r="B280" s="47" t="s">
        <v>10</v>
      </c>
      <c r="C280" s="47" t="s">
        <v>1244</v>
      </c>
      <c r="D280" s="47" t="s">
        <v>490</v>
      </c>
      <c r="E280" s="47" t="s">
        <v>491</v>
      </c>
      <c r="F280" s="47" t="s">
        <v>14</v>
      </c>
      <c r="G280" s="47" t="s">
        <v>492</v>
      </c>
      <c r="H280" s="47" t="e">
        <f>VLOOKUP(D280,#REF!,7,FALSE)</f>
        <v>#REF!</v>
      </c>
      <c r="I280" s="47" t="e">
        <f>VLOOKUP(H280,#REF!,2,FALSE)</f>
        <v>#REF!</v>
      </c>
    </row>
    <row r="281" spans="1:9" x14ac:dyDescent="0.25">
      <c r="A281" s="47" t="s">
        <v>170</v>
      </c>
      <c r="B281" s="47" t="s">
        <v>96</v>
      </c>
      <c r="C281" s="47" t="s">
        <v>1239</v>
      </c>
      <c r="D281" s="47" t="s">
        <v>1240</v>
      </c>
      <c r="E281" s="47" t="s">
        <v>1241</v>
      </c>
      <c r="F281" s="47" t="s">
        <v>14</v>
      </c>
      <c r="G281" s="47" t="s">
        <v>492</v>
      </c>
      <c r="H281" s="47" t="e">
        <f>VLOOKUP(D281,#REF!,7,FALSE)</f>
        <v>#REF!</v>
      </c>
      <c r="I281" s="47" t="e">
        <f>VLOOKUP(H281,#REF!,2,FALSE)</f>
        <v>#REF!</v>
      </c>
    </row>
    <row r="282" spans="1:9" x14ac:dyDescent="0.25">
      <c r="A282" s="47" t="s">
        <v>66</v>
      </c>
      <c r="B282" s="47" t="s">
        <v>47</v>
      </c>
      <c r="C282" s="47" t="s">
        <v>221</v>
      </c>
      <c r="D282" s="47" t="s">
        <v>454</v>
      </c>
      <c r="E282" s="47" t="s">
        <v>455</v>
      </c>
      <c r="F282" s="47" t="s">
        <v>19</v>
      </c>
      <c r="G282" s="47" t="s">
        <v>112</v>
      </c>
      <c r="H282" s="47" t="e">
        <f>VLOOKUP(D282,#REF!,7,FALSE)</f>
        <v>#REF!</v>
      </c>
      <c r="I282" s="47" t="e">
        <f>VLOOKUP(H282,#REF!,2,FALSE)</f>
        <v>#REF!</v>
      </c>
    </row>
    <row r="283" spans="1:9" x14ac:dyDescent="0.25">
      <c r="A283" s="47" t="s">
        <v>66</v>
      </c>
      <c r="B283" s="47" t="s">
        <v>96</v>
      </c>
      <c r="C283" s="47" t="s">
        <v>276</v>
      </c>
      <c r="D283" s="47" t="s">
        <v>563</v>
      </c>
      <c r="E283" s="47" t="s">
        <v>564</v>
      </c>
      <c r="F283" s="47" t="s">
        <v>19</v>
      </c>
      <c r="G283" s="47" t="s">
        <v>55</v>
      </c>
      <c r="H283" s="47" t="e">
        <f>VLOOKUP(D283,#REF!,7,FALSE)</f>
        <v>#REF!</v>
      </c>
      <c r="I283" s="47" t="e">
        <f>VLOOKUP(H283,#REF!,2,FALSE)</f>
        <v>#REF!</v>
      </c>
    </row>
    <row r="284" spans="1:9" x14ac:dyDescent="0.25">
      <c r="A284" s="47" t="s">
        <v>170</v>
      </c>
      <c r="B284" s="47" t="s">
        <v>47</v>
      </c>
      <c r="C284" s="47" t="s">
        <v>1175</v>
      </c>
      <c r="D284" s="47" t="s">
        <v>232</v>
      </c>
      <c r="E284" s="47" t="s">
        <v>233</v>
      </c>
      <c r="F284" s="47" t="s">
        <v>14</v>
      </c>
      <c r="G284" s="47" t="s">
        <v>33</v>
      </c>
      <c r="H284" s="47" t="e">
        <f>VLOOKUP(D284,#REF!,7,FALSE)</f>
        <v>#REF!</v>
      </c>
      <c r="I284" s="47" t="e">
        <f>VLOOKUP(H284,#REF!,2,FALSE)</f>
        <v>#REF!</v>
      </c>
    </row>
    <row r="285" spans="1:9" x14ac:dyDescent="0.25">
      <c r="A285" s="47" t="s">
        <v>170</v>
      </c>
      <c r="B285" s="47" t="s">
        <v>96</v>
      </c>
      <c r="C285" s="47" t="s">
        <v>1246</v>
      </c>
      <c r="D285" s="47" t="s">
        <v>232</v>
      </c>
      <c r="E285" s="47" t="s">
        <v>233</v>
      </c>
      <c r="F285" s="47" t="s">
        <v>14</v>
      </c>
      <c r="G285" s="47" t="s">
        <v>33</v>
      </c>
      <c r="H285" s="47" t="e">
        <f>VLOOKUP(D285,#REF!,7,FALSE)</f>
        <v>#REF!</v>
      </c>
      <c r="I285" s="47" t="e">
        <f>VLOOKUP(H285,#REF!,2,FALSE)</f>
        <v>#REF!</v>
      </c>
    </row>
    <row r="286" spans="1:9" x14ac:dyDescent="0.25">
      <c r="A286" s="47" t="s">
        <v>170</v>
      </c>
      <c r="B286" s="47" t="s">
        <v>140</v>
      </c>
      <c r="C286" s="47" t="s">
        <v>1247</v>
      </c>
      <c r="D286" s="47" t="s">
        <v>291</v>
      </c>
      <c r="E286" s="47" t="s">
        <v>292</v>
      </c>
      <c r="F286" s="47" t="s">
        <v>14</v>
      </c>
      <c r="G286" s="47" t="s">
        <v>33</v>
      </c>
      <c r="H286" s="47" t="e">
        <f>VLOOKUP(D286,#REF!,7,FALSE)</f>
        <v>#REF!</v>
      </c>
      <c r="I286" s="47" t="e">
        <f>VLOOKUP(H286,#REF!,2,FALSE)</f>
        <v>#REF!</v>
      </c>
    </row>
    <row r="287" spans="1:9" x14ac:dyDescent="0.25">
      <c r="A287" s="47" t="s">
        <v>56</v>
      </c>
      <c r="B287" s="47" t="s">
        <v>47</v>
      </c>
      <c r="C287" s="47" t="s">
        <v>376</v>
      </c>
      <c r="D287" s="47" t="s">
        <v>377</v>
      </c>
      <c r="E287" s="47" t="s">
        <v>378</v>
      </c>
      <c r="F287" s="47" t="s">
        <v>14</v>
      </c>
      <c r="G287" s="47" t="s">
        <v>51</v>
      </c>
      <c r="H287" s="47" t="e">
        <f>VLOOKUP(D287,#REF!,7,FALSE)</f>
        <v>#REF!</v>
      </c>
      <c r="I287" s="47" t="e">
        <f>VLOOKUP(H287,#REF!,2,FALSE)</f>
        <v>#REF!</v>
      </c>
    </row>
    <row r="288" spans="1:9" x14ac:dyDescent="0.25">
      <c r="A288" s="47" t="s">
        <v>56</v>
      </c>
      <c r="B288" s="47" t="s">
        <v>96</v>
      </c>
      <c r="C288" s="47" t="s">
        <v>205</v>
      </c>
      <c r="D288" s="47" t="s">
        <v>232</v>
      </c>
      <c r="E288" s="47" t="s">
        <v>233</v>
      </c>
      <c r="F288" s="47" t="s">
        <v>14</v>
      </c>
      <c r="G288" s="47" t="s">
        <v>33</v>
      </c>
      <c r="H288" s="47" t="e">
        <f>VLOOKUP(D288,#REF!,7,FALSE)</f>
        <v>#REF!</v>
      </c>
      <c r="I288" s="47" t="e">
        <f>VLOOKUP(H288,#REF!,2,FALSE)</f>
        <v>#REF!</v>
      </c>
    </row>
    <row r="289" spans="1:9" x14ac:dyDescent="0.25">
      <c r="A289" s="47" t="s">
        <v>66</v>
      </c>
      <c r="B289" s="47" t="s">
        <v>140</v>
      </c>
      <c r="C289" s="47" t="s">
        <v>21</v>
      </c>
      <c r="D289" s="47" t="s">
        <v>208</v>
      </c>
      <c r="E289" s="47" t="s">
        <v>209</v>
      </c>
      <c r="F289" s="47" t="s">
        <v>19</v>
      </c>
      <c r="G289" s="47" t="s">
        <v>287</v>
      </c>
      <c r="H289" s="47" t="e">
        <f>VLOOKUP(D289,#REF!,7,FALSE)</f>
        <v>#REF!</v>
      </c>
      <c r="I289" s="47" t="e">
        <f>VLOOKUP(H289,#REF!,2,FALSE)</f>
        <v>#REF!</v>
      </c>
    </row>
    <row r="290" spans="1:9" x14ac:dyDescent="0.25">
      <c r="A290" s="47" t="s">
        <v>56</v>
      </c>
      <c r="B290" s="47" t="s">
        <v>47</v>
      </c>
      <c r="C290" s="47" t="s">
        <v>379</v>
      </c>
      <c r="D290" s="47" t="s">
        <v>380</v>
      </c>
      <c r="E290" s="47" t="s">
        <v>381</v>
      </c>
      <c r="F290" s="47" t="s">
        <v>19</v>
      </c>
      <c r="G290" s="47" t="s">
        <v>237</v>
      </c>
      <c r="H290" s="47" t="e">
        <f>VLOOKUP(D290,#REF!,7,FALSE)</f>
        <v>#REF!</v>
      </c>
      <c r="I290" s="47" t="e">
        <f>VLOOKUP(H290,#REF!,2,FALSE)</f>
        <v>#REF!</v>
      </c>
    </row>
    <row r="291" spans="1:9" x14ac:dyDescent="0.25">
      <c r="A291" s="47" t="s">
        <v>216</v>
      </c>
      <c r="B291" s="47" t="s">
        <v>47</v>
      </c>
      <c r="C291" s="47" t="s">
        <v>229</v>
      </c>
      <c r="D291" s="47" t="s">
        <v>691</v>
      </c>
      <c r="E291" s="47" t="s">
        <v>692</v>
      </c>
      <c r="F291" s="47" t="s">
        <v>19</v>
      </c>
      <c r="G291" s="47" t="s">
        <v>24</v>
      </c>
      <c r="H291" s="47" t="e">
        <f>VLOOKUP(D291,#REF!,7,FALSE)</f>
        <v>#REF!</v>
      </c>
      <c r="I291" s="47" t="e">
        <f>VLOOKUP(H291,#REF!,2,FALSE)</f>
        <v>#REF!</v>
      </c>
    </row>
    <row r="292" spans="1:9" x14ac:dyDescent="0.25">
      <c r="A292" s="47" t="s">
        <v>216</v>
      </c>
      <c r="B292" s="47" t="s">
        <v>96</v>
      </c>
      <c r="C292" s="47" t="s">
        <v>221</v>
      </c>
      <c r="D292" s="47" t="s">
        <v>729</v>
      </c>
      <c r="E292" s="47" t="s">
        <v>730</v>
      </c>
      <c r="F292" s="47" t="s">
        <v>19</v>
      </c>
      <c r="G292" s="47" t="s">
        <v>20</v>
      </c>
      <c r="H292" s="47" t="e">
        <f>VLOOKUP(D292,#REF!,7,FALSE)</f>
        <v>#REF!</v>
      </c>
      <c r="I292" s="47" t="e">
        <f>VLOOKUP(H292,#REF!,2,FALSE)</f>
        <v>#REF!</v>
      </c>
    </row>
    <row r="293" spans="1:9" x14ac:dyDescent="0.25">
      <c r="A293" s="47" t="s">
        <v>216</v>
      </c>
      <c r="B293" s="47" t="s">
        <v>140</v>
      </c>
      <c r="C293" s="47" t="s">
        <v>21</v>
      </c>
      <c r="D293" s="47" t="s">
        <v>1248</v>
      </c>
      <c r="E293" s="47" t="s">
        <v>1249</v>
      </c>
      <c r="F293" s="49" t="s">
        <v>19</v>
      </c>
      <c r="G293" s="49" t="s">
        <v>507</v>
      </c>
      <c r="H293" s="49" t="e">
        <f>VLOOKUP(D293,#REF!,7,FALSE)</f>
        <v>#REF!</v>
      </c>
      <c r="I293" s="47" t="e">
        <f>VLOOKUP(H293,#REF!,2,FALSE)</f>
        <v>#REF!</v>
      </c>
    </row>
    <row r="294" spans="1:9" x14ac:dyDescent="0.25">
      <c r="A294" s="47" t="s">
        <v>56</v>
      </c>
      <c r="B294" s="47" t="s">
        <v>10</v>
      </c>
      <c r="C294" s="47" t="s">
        <v>337</v>
      </c>
      <c r="D294" s="47" t="s">
        <v>338</v>
      </c>
      <c r="E294" s="47" t="s">
        <v>339</v>
      </c>
      <c r="F294" s="47" t="s">
        <v>19</v>
      </c>
      <c r="G294" s="47" t="s">
        <v>24</v>
      </c>
      <c r="H294" s="47" t="e">
        <f>VLOOKUP(D294,#REF!,7,FALSE)</f>
        <v>#REF!</v>
      </c>
      <c r="I294" s="47" t="e">
        <f>VLOOKUP(H294,#REF!,2,FALSE)</f>
        <v>#REF!</v>
      </c>
    </row>
    <row r="295" spans="1:9" x14ac:dyDescent="0.25">
      <c r="A295" s="47" t="s">
        <v>56</v>
      </c>
      <c r="B295" s="47" t="s">
        <v>47</v>
      </c>
      <c r="C295" s="47" t="s">
        <v>1194</v>
      </c>
      <c r="D295" s="47" t="s">
        <v>416</v>
      </c>
      <c r="E295" s="47" t="s">
        <v>417</v>
      </c>
      <c r="F295" s="47" t="s">
        <v>19</v>
      </c>
      <c r="G295" s="47" t="s">
        <v>65</v>
      </c>
      <c r="H295" s="47" t="e">
        <f>VLOOKUP(D295,#REF!,7,FALSE)</f>
        <v>#REF!</v>
      </c>
      <c r="I295" s="47" t="e">
        <f>VLOOKUP(H295,#REF!,2,FALSE)</f>
        <v>#REF!</v>
      </c>
    </row>
    <row r="296" spans="1:9" x14ac:dyDescent="0.25">
      <c r="A296" s="47" t="s">
        <v>56</v>
      </c>
      <c r="B296" s="47" t="s">
        <v>96</v>
      </c>
      <c r="C296" s="47" t="s">
        <v>413</v>
      </c>
      <c r="D296" s="47" t="s">
        <v>414</v>
      </c>
      <c r="E296" s="47" t="s">
        <v>415</v>
      </c>
      <c r="F296" s="47" t="s">
        <v>19</v>
      </c>
      <c r="G296" s="47" t="s">
        <v>55</v>
      </c>
      <c r="H296" s="47" t="e">
        <f>VLOOKUP(D296,#REF!,7,FALSE)</f>
        <v>#REF!</v>
      </c>
      <c r="I296" s="47" t="e">
        <f>VLOOKUP(H296,#REF!,2,FALSE)</f>
        <v>#REF!</v>
      </c>
    </row>
    <row r="297" spans="1:9" x14ac:dyDescent="0.25">
      <c r="A297" s="47" t="s">
        <v>56</v>
      </c>
      <c r="B297" s="47" t="s">
        <v>47</v>
      </c>
      <c r="C297" s="47" t="s">
        <v>1489</v>
      </c>
      <c r="D297" s="47" t="s">
        <v>1490</v>
      </c>
      <c r="E297" s="47" t="s">
        <v>384</v>
      </c>
      <c r="F297" s="47" t="s">
        <v>28</v>
      </c>
      <c r="G297" s="47" t="s">
        <v>87</v>
      </c>
      <c r="H297" s="47" t="e">
        <f>VLOOKUP(D297,#REF!,7,FALSE)</f>
        <v>#REF!</v>
      </c>
      <c r="I297" s="47" t="e">
        <f>VLOOKUP(H297,#REF!,2,FALSE)</f>
        <v>#REF!</v>
      </c>
    </row>
    <row r="298" spans="1:9" x14ac:dyDescent="0.25">
      <c r="A298" s="47" t="s">
        <v>56</v>
      </c>
      <c r="B298" s="47" t="s">
        <v>96</v>
      </c>
      <c r="C298" s="47" t="s">
        <v>84</v>
      </c>
      <c r="D298" s="47" t="s">
        <v>433</v>
      </c>
      <c r="E298" s="47" t="s">
        <v>434</v>
      </c>
      <c r="F298" s="47" t="s">
        <v>28</v>
      </c>
      <c r="G298" s="47" t="s">
        <v>87</v>
      </c>
      <c r="H298" s="47" t="e">
        <f>VLOOKUP(D298,#REF!,7,FALSE)</f>
        <v>#REF!</v>
      </c>
      <c r="I298" s="47" t="e">
        <f>VLOOKUP(H298,#REF!,2,FALSE)</f>
        <v>#REF!</v>
      </c>
    </row>
    <row r="299" spans="1:9" x14ac:dyDescent="0.25">
      <c r="A299" s="47" t="s">
        <v>66</v>
      </c>
      <c r="B299" s="47" t="s">
        <v>96</v>
      </c>
      <c r="C299" s="47" t="s">
        <v>396</v>
      </c>
      <c r="D299" s="47" t="s">
        <v>565</v>
      </c>
      <c r="E299" s="47" t="s">
        <v>566</v>
      </c>
      <c r="F299" s="47" t="s">
        <v>28</v>
      </c>
      <c r="G299" s="47" t="s">
        <v>420</v>
      </c>
      <c r="H299" s="47" t="e">
        <f>VLOOKUP(D299,#REF!,7,FALSE)</f>
        <v>#REF!</v>
      </c>
      <c r="I299" s="47" t="e">
        <f>VLOOKUP(H299,#REF!,2,FALSE)</f>
        <v>#REF!</v>
      </c>
    </row>
    <row r="300" spans="1:9" x14ac:dyDescent="0.25">
      <c r="A300" s="49" t="s">
        <v>66</v>
      </c>
      <c r="B300" s="47" t="s">
        <v>140</v>
      </c>
      <c r="C300" s="49" t="s">
        <v>150</v>
      </c>
      <c r="D300" s="49" t="s">
        <v>621</v>
      </c>
      <c r="E300" s="49" t="s">
        <v>622</v>
      </c>
      <c r="F300" s="49" t="s">
        <v>28</v>
      </c>
      <c r="G300" s="49" t="s">
        <v>420</v>
      </c>
      <c r="H300" s="49" t="e">
        <f>VLOOKUP(D300,#REF!,7,FALSE)</f>
        <v>#REF!</v>
      </c>
      <c r="I300" s="47" t="e">
        <f>VLOOKUP(H300,#REF!,2,FALSE)</f>
        <v>#REF!</v>
      </c>
    </row>
    <row r="301" spans="1:9" x14ac:dyDescent="0.25">
      <c r="A301" s="47" t="s">
        <v>56</v>
      </c>
      <c r="B301" s="47" t="s">
        <v>96</v>
      </c>
      <c r="C301" s="47" t="s">
        <v>1489</v>
      </c>
      <c r="D301" s="47" t="s">
        <v>418</v>
      </c>
      <c r="E301" s="47" t="s">
        <v>419</v>
      </c>
      <c r="F301" s="47" t="s">
        <v>28</v>
      </c>
      <c r="G301" s="47" t="s">
        <v>420</v>
      </c>
      <c r="H301" s="47" t="e">
        <f>VLOOKUP(D301,#REF!,7,FALSE)</f>
        <v>#REF!</v>
      </c>
      <c r="I301" s="47" t="e">
        <f>VLOOKUP(H301,#REF!,2,FALSE)</f>
        <v>#REF!</v>
      </c>
    </row>
    <row r="302" spans="1:9" x14ac:dyDescent="0.25">
      <c r="A302" s="47" t="s">
        <v>216</v>
      </c>
      <c r="B302" s="47" t="s">
        <v>96</v>
      </c>
      <c r="C302" s="47" t="s">
        <v>351</v>
      </c>
      <c r="D302" s="47" t="s">
        <v>731</v>
      </c>
      <c r="E302" s="47" t="s">
        <v>732</v>
      </c>
      <c r="F302" s="47" t="s">
        <v>28</v>
      </c>
      <c r="G302" s="47" t="s">
        <v>420</v>
      </c>
      <c r="H302" s="47" t="e">
        <f>VLOOKUP(D302,#REF!,7,FALSE)</f>
        <v>#REF!</v>
      </c>
      <c r="I302" s="47" t="e">
        <f>VLOOKUP(H302,#REF!,2,FALSE)</f>
        <v>#REF!</v>
      </c>
    </row>
    <row r="303" spans="1:9" x14ac:dyDescent="0.25">
      <c r="A303" s="47" t="s">
        <v>66</v>
      </c>
      <c r="B303" s="47" t="s">
        <v>96</v>
      </c>
      <c r="C303" s="47" t="s">
        <v>62</v>
      </c>
      <c r="D303" s="47" t="s">
        <v>613</v>
      </c>
      <c r="E303" s="47" t="s">
        <v>614</v>
      </c>
      <c r="F303" s="47" t="s">
        <v>28</v>
      </c>
      <c r="G303" s="47" t="s">
        <v>24</v>
      </c>
      <c r="H303" s="47" t="e">
        <f>VLOOKUP(D303,#REF!,7,FALSE)</f>
        <v>#REF!</v>
      </c>
      <c r="I303" s="47" t="e">
        <f>VLOOKUP(H303,#REF!,2,FALSE)</f>
        <v>#REF!</v>
      </c>
    </row>
    <row r="304" spans="1:9" x14ac:dyDescent="0.25">
      <c r="A304" s="47" t="s">
        <v>216</v>
      </c>
      <c r="B304" s="47" t="s">
        <v>96</v>
      </c>
      <c r="C304" s="47" t="s">
        <v>733</v>
      </c>
      <c r="D304" s="47" t="s">
        <v>734</v>
      </c>
      <c r="E304" s="47" t="s">
        <v>735</v>
      </c>
      <c r="F304" s="47" t="s">
        <v>28</v>
      </c>
      <c r="G304" s="47" t="s">
        <v>79</v>
      </c>
      <c r="H304" s="47" t="e">
        <f>VLOOKUP(D304,#REF!,7,FALSE)</f>
        <v>#REF!</v>
      </c>
      <c r="I304" s="47" t="e">
        <f>VLOOKUP(H304,#REF!,2,FALSE)</f>
        <v>#REF!</v>
      </c>
    </row>
    <row r="305" spans="1:9" x14ac:dyDescent="0.25">
      <c r="A305" s="47" t="s">
        <v>216</v>
      </c>
      <c r="B305" s="47" t="s">
        <v>140</v>
      </c>
      <c r="C305" s="47" t="s">
        <v>479</v>
      </c>
      <c r="D305" s="47" t="s">
        <v>771</v>
      </c>
      <c r="E305" s="47" t="s">
        <v>772</v>
      </c>
      <c r="F305" s="47" t="s">
        <v>28</v>
      </c>
      <c r="G305" s="47" t="s">
        <v>103</v>
      </c>
      <c r="H305" s="47" t="e">
        <f>VLOOKUP(D305,#REF!,7,FALSE)</f>
        <v>#REF!</v>
      </c>
      <c r="I305" s="47" t="e">
        <f>VLOOKUP(H305,#REF!,2,FALSE)</f>
        <v>#REF!</v>
      </c>
    </row>
    <row r="306" spans="1:9" x14ac:dyDescent="0.25">
      <c r="A306" s="47" t="s">
        <v>56</v>
      </c>
      <c r="B306" s="47" t="s">
        <v>47</v>
      </c>
      <c r="C306" s="47" t="s">
        <v>354</v>
      </c>
      <c r="D306" s="47" t="s">
        <v>355</v>
      </c>
      <c r="E306" s="47" t="s">
        <v>356</v>
      </c>
      <c r="F306" s="47" t="s">
        <v>14</v>
      </c>
      <c r="G306" s="47" t="s">
        <v>220</v>
      </c>
      <c r="H306" s="47" t="e">
        <f>VLOOKUP(D306,#REF!,7,FALSE)</f>
        <v>#REF!</v>
      </c>
      <c r="I306" s="47" t="e">
        <f>VLOOKUP(H306,#REF!,2,FALSE)</f>
        <v>#REF!</v>
      </c>
    </row>
    <row r="307" spans="1:9" x14ac:dyDescent="0.25">
      <c r="A307" s="47" t="s">
        <v>56</v>
      </c>
      <c r="B307" s="47" t="s">
        <v>96</v>
      </c>
      <c r="C307" s="47" t="s">
        <v>281</v>
      </c>
      <c r="D307" s="47" t="s">
        <v>399</v>
      </c>
      <c r="E307" s="48" t="s">
        <v>400</v>
      </c>
      <c r="F307" s="47" t="s">
        <v>14</v>
      </c>
      <c r="G307" s="47" t="s">
        <v>29</v>
      </c>
      <c r="H307" s="47" t="e">
        <f>VLOOKUP(D307,#REF!,7,FALSE)</f>
        <v>#REF!</v>
      </c>
      <c r="I307" s="47" t="e">
        <f>VLOOKUP(H307,#REF!,2,FALSE)</f>
        <v>#REF!</v>
      </c>
    </row>
    <row r="308" spans="1:9" x14ac:dyDescent="0.25">
      <c r="A308" s="47" t="s">
        <v>9</v>
      </c>
      <c r="B308" s="47" t="s">
        <v>47</v>
      </c>
      <c r="C308" s="47" t="s">
        <v>276</v>
      </c>
      <c r="D308" s="47" t="s">
        <v>1252</v>
      </c>
      <c r="E308" s="47" t="s">
        <v>1491</v>
      </c>
      <c r="F308" s="47" t="s">
        <v>19</v>
      </c>
      <c r="G308" s="47" t="s">
        <v>79</v>
      </c>
      <c r="H308" s="47" t="e">
        <f>VLOOKUP(D308,#REF!,7,FALSE)</f>
        <v>#REF!</v>
      </c>
      <c r="I308" s="47" t="e">
        <f>VLOOKUP(H308,#REF!,2,FALSE)</f>
        <v>#REF!</v>
      </c>
    </row>
    <row r="309" spans="1:9" x14ac:dyDescent="0.25">
      <c r="A309" s="47" t="s">
        <v>216</v>
      </c>
      <c r="B309" s="47" t="s">
        <v>10</v>
      </c>
      <c r="C309" s="47" t="s">
        <v>187</v>
      </c>
      <c r="D309" s="47" t="s">
        <v>1492</v>
      </c>
      <c r="E309" s="47" t="s">
        <v>1493</v>
      </c>
      <c r="F309" s="47" t="s">
        <v>19</v>
      </c>
      <c r="G309" s="47" t="s">
        <v>55</v>
      </c>
      <c r="H309" s="47" t="e">
        <f>VLOOKUP(D309,#REF!,7,FALSE)</f>
        <v>#REF!</v>
      </c>
      <c r="I309" s="47" t="e">
        <f>VLOOKUP(H309,#REF!,2,FALSE)</f>
        <v>#REF!</v>
      </c>
    </row>
    <row r="310" spans="1:9" x14ac:dyDescent="0.25">
      <c r="A310" s="47" t="s">
        <v>9</v>
      </c>
      <c r="B310" s="47" t="s">
        <v>96</v>
      </c>
      <c r="C310" s="47" t="s">
        <v>187</v>
      </c>
      <c r="D310" s="47" t="s">
        <v>1214</v>
      </c>
      <c r="E310" s="47" t="s">
        <v>1494</v>
      </c>
      <c r="F310" s="47" t="s">
        <v>19</v>
      </c>
      <c r="G310" s="47" t="s">
        <v>79</v>
      </c>
      <c r="H310" s="47" t="e">
        <f>VLOOKUP(D310,#REF!,7,FALSE)</f>
        <v>#REF!</v>
      </c>
      <c r="I310" s="47" t="e">
        <f>VLOOKUP(H310,#REF!,2,FALSE)</f>
        <v>#REF!</v>
      </c>
    </row>
    <row r="311" spans="1:9" x14ac:dyDescent="0.25">
      <c r="A311" s="47" t="s">
        <v>66</v>
      </c>
      <c r="B311" s="47" t="s">
        <v>96</v>
      </c>
      <c r="C311" s="47" t="s">
        <v>251</v>
      </c>
      <c r="D311" s="47" t="s">
        <v>569</v>
      </c>
      <c r="E311" s="47" t="s">
        <v>570</v>
      </c>
      <c r="F311" s="47" t="s">
        <v>19</v>
      </c>
      <c r="G311" s="47" t="s">
        <v>287</v>
      </c>
      <c r="H311" s="47" t="e">
        <f>VLOOKUP(D311,#REF!,7,FALSE)</f>
        <v>#REF!</v>
      </c>
      <c r="I311" s="47" t="e">
        <f>VLOOKUP(H311,#REF!,2,FALSE)</f>
        <v>#REF!</v>
      </c>
    </row>
    <row r="312" spans="1:9" x14ac:dyDescent="0.25">
      <c r="A312" s="47" t="s">
        <v>216</v>
      </c>
      <c r="B312" s="47" t="s">
        <v>47</v>
      </c>
      <c r="C312" s="47" t="s">
        <v>441</v>
      </c>
      <c r="D312" s="47" t="s">
        <v>699</v>
      </c>
      <c r="E312" s="47" t="s">
        <v>700</v>
      </c>
      <c r="F312" s="47" t="s">
        <v>19</v>
      </c>
      <c r="G312" s="47" t="s">
        <v>83</v>
      </c>
      <c r="H312" s="47" t="e">
        <f>VLOOKUP(D312,#REF!,7,FALSE)</f>
        <v>#REF!</v>
      </c>
      <c r="I312" s="47" t="e">
        <f>VLOOKUP(H312,#REF!,2,FALSE)</f>
        <v>#REF!</v>
      </c>
    </row>
    <row r="313" spans="1:9" x14ac:dyDescent="0.25">
      <c r="A313" s="47" t="s">
        <v>216</v>
      </c>
      <c r="B313" s="47" t="s">
        <v>96</v>
      </c>
      <c r="C313" s="47" t="s">
        <v>738</v>
      </c>
      <c r="D313" s="47" t="s">
        <v>739</v>
      </c>
      <c r="E313" s="47" t="s">
        <v>740</v>
      </c>
      <c r="F313" s="47" t="s">
        <v>19</v>
      </c>
      <c r="G313" s="47" t="s">
        <v>237</v>
      </c>
      <c r="H313" s="47" t="e">
        <f>VLOOKUP(D313,#REF!,7,FALSE)</f>
        <v>#REF!</v>
      </c>
      <c r="I313" s="47" t="e">
        <f>VLOOKUP(H313,#REF!,2,FALSE)</f>
        <v>#REF!</v>
      </c>
    </row>
    <row r="314" spans="1:9" x14ac:dyDescent="0.25">
      <c r="A314" s="47" t="s">
        <v>66</v>
      </c>
      <c r="B314" s="47" t="s">
        <v>47</v>
      </c>
      <c r="C314" s="47" t="s">
        <v>688</v>
      </c>
      <c r="D314" s="47" t="s">
        <v>775</v>
      </c>
      <c r="E314" s="47" t="s">
        <v>776</v>
      </c>
      <c r="F314" s="47" t="s">
        <v>19</v>
      </c>
      <c r="G314" s="47" t="s">
        <v>237</v>
      </c>
      <c r="H314" s="47" t="e">
        <f>VLOOKUP(D314,#REF!,7,FALSE)</f>
        <v>#REF!</v>
      </c>
      <c r="I314" s="47" t="e">
        <f>VLOOKUP(H314,#REF!,2,FALSE)</f>
        <v>#REF!</v>
      </c>
    </row>
    <row r="315" spans="1:9" x14ac:dyDescent="0.25">
      <c r="A315" s="47" t="s">
        <v>170</v>
      </c>
      <c r="B315" s="47" t="s">
        <v>128</v>
      </c>
      <c r="C315" s="47" t="s">
        <v>1421</v>
      </c>
      <c r="D315" s="47" t="s">
        <v>1422</v>
      </c>
      <c r="E315" s="47" t="s">
        <v>1423</v>
      </c>
      <c r="F315" s="47" t="s">
        <v>37</v>
      </c>
      <c r="G315" s="47" t="s">
        <v>120</v>
      </c>
      <c r="H315" s="47" t="e">
        <f>VLOOKUP(D315,#REF!,7,FALSE)</f>
        <v>#REF!</v>
      </c>
      <c r="I315" s="47" t="e">
        <f>VLOOKUP(H315,#REF!,2,FALSE)</f>
        <v>#REF!</v>
      </c>
    </row>
    <row r="316" spans="1:9" x14ac:dyDescent="0.25">
      <c r="A316" s="49" t="s">
        <v>216</v>
      </c>
      <c r="B316" s="47" t="s">
        <v>128</v>
      </c>
      <c r="C316" s="47" t="s">
        <v>1421</v>
      </c>
      <c r="D316" s="49" t="s">
        <v>1433</v>
      </c>
      <c r="E316" s="49" t="s">
        <v>1434</v>
      </c>
      <c r="F316" s="47" t="s">
        <v>37</v>
      </c>
      <c r="G316" s="47" t="s">
        <v>120</v>
      </c>
      <c r="H316" s="47" t="e">
        <f>VLOOKUP(D316,#REF!,7,FALSE)</f>
        <v>#REF!</v>
      </c>
      <c r="I316" s="47" t="e">
        <f>VLOOKUP(H316,#REF!,2,FALSE)</f>
        <v>#REF!</v>
      </c>
    </row>
    <row r="317" spans="1:9" x14ac:dyDescent="0.25">
      <c r="A317" s="47" t="s">
        <v>216</v>
      </c>
      <c r="B317" s="47" t="s">
        <v>119</v>
      </c>
      <c r="C317" s="47" t="s">
        <v>1495</v>
      </c>
      <c r="D317" s="47" t="s">
        <v>1496</v>
      </c>
      <c r="E317" s="47" t="s">
        <v>1497</v>
      </c>
      <c r="F317" s="47" t="s">
        <v>37</v>
      </c>
      <c r="G317" s="47" t="s">
        <v>136</v>
      </c>
      <c r="H317" s="47" t="e">
        <f>VLOOKUP(D317,#REF!,7,FALSE)</f>
        <v>#REF!</v>
      </c>
      <c r="I317" s="47" t="e">
        <f>VLOOKUP(H317,#REF!,2,FALSE)</f>
        <v>#REF!</v>
      </c>
    </row>
    <row r="318" spans="1:9" x14ac:dyDescent="0.25">
      <c r="A318" s="47" t="s">
        <v>216</v>
      </c>
      <c r="B318" s="47" t="s">
        <v>140</v>
      </c>
      <c r="C318" s="47" t="s">
        <v>1260</v>
      </c>
      <c r="D318" s="47" t="s">
        <v>1261</v>
      </c>
      <c r="E318" s="47" t="s">
        <v>791</v>
      </c>
      <c r="F318" s="47" t="s">
        <v>19</v>
      </c>
      <c r="G318" s="47" t="s">
        <v>237</v>
      </c>
      <c r="H318" s="47" t="e">
        <f>VLOOKUP(D318,#REF!,7,FALSE)</f>
        <v>#REF!</v>
      </c>
      <c r="I318" s="47" t="e">
        <f>VLOOKUP(H318,#REF!,2,FALSE)</f>
        <v>#REF!</v>
      </c>
    </row>
    <row r="319" spans="1:9" x14ac:dyDescent="0.25">
      <c r="A319" s="47" t="s">
        <v>56</v>
      </c>
      <c r="B319" s="47" t="s">
        <v>10</v>
      </c>
      <c r="C319" s="47" t="s">
        <v>113</v>
      </c>
      <c r="D319" s="47" t="s">
        <v>340</v>
      </c>
      <c r="E319" s="47" t="s">
        <v>341</v>
      </c>
      <c r="F319" s="47" t="s">
        <v>28</v>
      </c>
      <c r="G319" s="47" t="s">
        <v>103</v>
      </c>
      <c r="H319" s="47" t="e">
        <f>VLOOKUP(D319,#REF!,7,FALSE)</f>
        <v>#REF!</v>
      </c>
      <c r="I319" s="47" t="e">
        <f>VLOOKUP(H319,#REF!,2,FALSE)</f>
        <v>#REF!</v>
      </c>
    </row>
    <row r="320" spans="1:9" x14ac:dyDescent="0.25">
      <c r="A320" s="47" t="s">
        <v>66</v>
      </c>
      <c r="B320" s="47" t="s">
        <v>10</v>
      </c>
      <c r="C320" s="47" t="s">
        <v>1489</v>
      </c>
      <c r="D320" s="47" t="s">
        <v>456</v>
      </c>
      <c r="E320" s="47" t="s">
        <v>457</v>
      </c>
      <c r="F320" s="47" t="s">
        <v>28</v>
      </c>
      <c r="G320" s="47" t="s">
        <v>29</v>
      </c>
      <c r="H320" s="47" t="e">
        <f>VLOOKUP(D320,#REF!,7,FALSE)</f>
        <v>#REF!</v>
      </c>
      <c r="I320" s="47" t="e">
        <f>VLOOKUP(H320,#REF!,2,FALSE)</f>
        <v>#REF!</v>
      </c>
    </row>
    <row r="321" spans="1:9" x14ac:dyDescent="0.25">
      <c r="A321" s="47" t="s">
        <v>56</v>
      </c>
      <c r="B321" s="47" t="s">
        <v>47</v>
      </c>
      <c r="C321" s="47" t="s">
        <v>504</v>
      </c>
      <c r="D321" s="47" t="s">
        <v>1498</v>
      </c>
      <c r="E321" s="47" t="s">
        <v>1499</v>
      </c>
      <c r="F321" s="47" t="s">
        <v>28</v>
      </c>
      <c r="G321" s="47" t="s">
        <v>368</v>
      </c>
      <c r="H321" s="47" t="e">
        <f>VLOOKUP(D321,#REF!,7,FALSE)</f>
        <v>#REF!</v>
      </c>
      <c r="I321" s="47" t="e">
        <f>VLOOKUP(H321,#REF!,2,FALSE)</f>
        <v>#REF!</v>
      </c>
    </row>
    <row r="322" spans="1:9" x14ac:dyDescent="0.25">
      <c r="A322" s="47" t="s">
        <v>56</v>
      </c>
      <c r="B322" s="47" t="s">
        <v>96</v>
      </c>
      <c r="C322" s="47" t="s">
        <v>504</v>
      </c>
      <c r="D322" s="47" t="s">
        <v>617</v>
      </c>
      <c r="E322" s="47" t="s">
        <v>618</v>
      </c>
      <c r="F322" s="47" t="s">
        <v>28</v>
      </c>
      <c r="G322" s="47" t="s">
        <v>29</v>
      </c>
      <c r="H322" s="47" t="e">
        <f>VLOOKUP(D322,#REF!,7,FALSE)</f>
        <v>#REF!</v>
      </c>
      <c r="I322" s="47" t="e">
        <f>VLOOKUP(H322,#REF!,2,FALSE)</f>
        <v>#REF!</v>
      </c>
    </row>
    <row r="323" spans="1:9" x14ac:dyDescent="0.25">
      <c r="A323" s="47" t="s">
        <v>216</v>
      </c>
      <c r="B323" s="47" t="s">
        <v>47</v>
      </c>
      <c r="C323" s="47" t="s">
        <v>351</v>
      </c>
      <c r="D323" s="47" t="s">
        <v>777</v>
      </c>
      <c r="E323" s="47" t="s">
        <v>778</v>
      </c>
      <c r="F323" s="47" t="s">
        <v>28</v>
      </c>
      <c r="G323" s="47" t="s">
        <v>87</v>
      </c>
      <c r="H323" s="47" t="e">
        <f>VLOOKUP(D323,#REF!,7,FALSE)</f>
        <v>#REF!</v>
      </c>
      <c r="I323" s="47" t="e">
        <f>VLOOKUP(H323,#REF!,2,FALSE)</f>
        <v>#REF!</v>
      </c>
    </row>
    <row r="324" spans="1:9" x14ac:dyDescent="0.25">
      <c r="A324" s="49" t="s">
        <v>170</v>
      </c>
      <c r="B324" s="49" t="s">
        <v>47</v>
      </c>
      <c r="C324" s="49" t="s">
        <v>238</v>
      </c>
      <c r="D324" s="49" t="s">
        <v>239</v>
      </c>
      <c r="E324" s="47" t="s">
        <v>240</v>
      </c>
      <c r="F324" s="49" t="s">
        <v>14</v>
      </c>
      <c r="G324" s="49" t="s">
        <v>241</v>
      </c>
      <c r="H324" s="49" t="e">
        <f>VLOOKUP(D324,#REF!,7,FALSE)</f>
        <v>#REF!</v>
      </c>
      <c r="I324" s="47" t="e">
        <f>VLOOKUP(H324,#REF!,2,FALSE)</f>
        <v>#REF!</v>
      </c>
    </row>
    <row r="325" spans="1:9" x14ac:dyDescent="0.25">
      <c r="A325" s="49" t="s">
        <v>170</v>
      </c>
      <c r="B325" s="49" t="s">
        <v>96</v>
      </c>
      <c r="C325" s="49" t="s">
        <v>156</v>
      </c>
      <c r="D325" s="49" t="s">
        <v>268</v>
      </c>
      <c r="E325" s="49" t="s">
        <v>269</v>
      </c>
      <c r="F325" s="49" t="s">
        <v>14</v>
      </c>
      <c r="G325" s="49" t="s">
        <v>241</v>
      </c>
      <c r="H325" s="49" t="e">
        <f>VLOOKUP(D325,#REF!,7,FALSE)</f>
        <v>#REF!</v>
      </c>
      <c r="I325" s="47" t="e">
        <f>VLOOKUP(H325,#REF!,2,FALSE)</f>
        <v>#REF!</v>
      </c>
    </row>
    <row r="326" spans="1:9" x14ac:dyDescent="0.25">
      <c r="A326" s="47" t="s">
        <v>66</v>
      </c>
      <c r="B326" s="47" t="s">
        <v>10</v>
      </c>
      <c r="C326" s="47" t="s">
        <v>458</v>
      </c>
      <c r="D326" s="47" t="s">
        <v>459</v>
      </c>
      <c r="E326" s="47" t="s">
        <v>460</v>
      </c>
      <c r="F326" s="47" t="s">
        <v>14</v>
      </c>
      <c r="G326" s="47" t="s">
        <v>267</v>
      </c>
      <c r="H326" s="47" t="e">
        <f>VLOOKUP(D326,#REF!,7,FALSE)</f>
        <v>#REF!</v>
      </c>
      <c r="I326" s="47" t="e">
        <f>VLOOKUP(H326,#REF!,2,FALSE)</f>
        <v>#REF!</v>
      </c>
    </row>
    <row r="327" spans="1:9" x14ac:dyDescent="0.25">
      <c r="A327" s="47" t="s">
        <v>216</v>
      </c>
      <c r="B327" s="47" t="s">
        <v>10</v>
      </c>
      <c r="C327" s="47" t="s">
        <v>525</v>
      </c>
      <c r="D327" s="47" t="s">
        <v>655</v>
      </c>
      <c r="E327" s="47" t="s">
        <v>656</v>
      </c>
      <c r="F327" s="47" t="s">
        <v>14</v>
      </c>
      <c r="G327" s="47" t="s">
        <v>15</v>
      </c>
      <c r="H327" s="47" t="e">
        <f>VLOOKUP(D327,#REF!,7,FALSE)</f>
        <v>#REF!</v>
      </c>
      <c r="I327" s="47" t="e">
        <f>VLOOKUP(H327,#REF!,2,FALSE)</f>
        <v>#REF!</v>
      </c>
    </row>
    <row r="328" spans="1:9" x14ac:dyDescent="0.25">
      <c r="A328" s="47" t="s">
        <v>216</v>
      </c>
      <c r="B328" s="47" t="s">
        <v>47</v>
      </c>
      <c r="C328" s="47" t="s">
        <v>681</v>
      </c>
      <c r="D328" s="47" t="s">
        <v>682</v>
      </c>
      <c r="E328" s="47" t="s">
        <v>683</v>
      </c>
      <c r="F328" s="47" t="s">
        <v>14</v>
      </c>
      <c r="G328" s="47" t="s">
        <v>267</v>
      </c>
      <c r="H328" s="47" t="e">
        <f>VLOOKUP(D328,#REF!,7,FALSE)</f>
        <v>#REF!</v>
      </c>
      <c r="I328" s="47" t="e">
        <f>VLOOKUP(H328,#REF!,2,FALSE)</f>
        <v>#REF!</v>
      </c>
    </row>
    <row r="329" spans="1:9" x14ac:dyDescent="0.25">
      <c r="A329" s="47" t="s">
        <v>56</v>
      </c>
      <c r="B329" s="47" t="s">
        <v>47</v>
      </c>
      <c r="C329" s="47" t="s">
        <v>318</v>
      </c>
      <c r="D329" s="47" t="s">
        <v>319</v>
      </c>
      <c r="E329" s="47" t="s">
        <v>320</v>
      </c>
      <c r="F329" s="47" t="s">
        <v>14</v>
      </c>
      <c r="G329" s="47" t="s">
        <v>792</v>
      </c>
      <c r="H329" s="47" t="e">
        <f>VLOOKUP(D329,#REF!,7,FALSE)</f>
        <v>#REF!</v>
      </c>
      <c r="I329" s="47" t="e">
        <f>VLOOKUP(H329,#REF!,2,FALSE)</f>
        <v>#REF!</v>
      </c>
    </row>
    <row r="330" spans="1:9" x14ac:dyDescent="0.25">
      <c r="A330" s="47" t="s">
        <v>216</v>
      </c>
      <c r="B330" s="47" t="s">
        <v>96</v>
      </c>
      <c r="C330" s="47" t="s">
        <v>217</v>
      </c>
      <c r="D330" s="47" t="s">
        <v>533</v>
      </c>
      <c r="E330" s="47" t="s">
        <v>534</v>
      </c>
      <c r="F330" s="47" t="s">
        <v>14</v>
      </c>
      <c r="G330" s="47" t="s">
        <v>103</v>
      </c>
      <c r="H330" s="47" t="e">
        <f>VLOOKUP(D330,#REF!,7,FALSE)</f>
        <v>#REF!</v>
      </c>
      <c r="I330" s="47" t="e">
        <f>VLOOKUP(H330,#REF!,2,FALSE)</f>
        <v>#REF!</v>
      </c>
    </row>
    <row r="331" spans="1:9" x14ac:dyDescent="0.25">
      <c r="A331" s="47" t="s">
        <v>216</v>
      </c>
      <c r="B331" s="47" t="s">
        <v>96</v>
      </c>
      <c r="C331" s="47" t="s">
        <v>281</v>
      </c>
      <c r="D331" s="47" t="s">
        <v>718</v>
      </c>
      <c r="E331" s="47" t="s">
        <v>1500</v>
      </c>
      <c r="F331" s="47" t="s">
        <v>14</v>
      </c>
      <c r="G331" s="47" t="s">
        <v>29</v>
      </c>
      <c r="H331" s="47" t="e">
        <f>VLOOKUP(D331,#REF!,7,FALSE)</f>
        <v>#REF!</v>
      </c>
      <c r="I331" s="47" t="e">
        <f>VLOOKUP(H331,#REF!,2,FALSE)</f>
        <v>#REF!</v>
      </c>
    </row>
    <row r="332" spans="1:9" x14ac:dyDescent="0.25">
      <c r="A332" s="47" t="s">
        <v>56</v>
      </c>
      <c r="B332" s="47" t="s">
        <v>10</v>
      </c>
      <c r="C332" s="47" t="s">
        <v>217</v>
      </c>
      <c r="D332" s="47" t="s">
        <v>335</v>
      </c>
      <c r="E332" s="47" t="s">
        <v>336</v>
      </c>
      <c r="F332" s="47" t="s">
        <v>14</v>
      </c>
      <c r="G332" s="47" t="s">
        <v>29</v>
      </c>
      <c r="H332" s="47" t="e">
        <f>VLOOKUP(D332,#REF!,7,FALSE)</f>
        <v>#REF!</v>
      </c>
      <c r="I332" s="47" t="e">
        <f>VLOOKUP(H332,#REF!,2,FALSE)</f>
        <v>#REF!</v>
      </c>
    </row>
    <row r="333" spans="1:9" x14ac:dyDescent="0.25">
      <c r="A333" s="47" t="s">
        <v>56</v>
      </c>
      <c r="B333" s="47" t="s">
        <v>10</v>
      </c>
      <c r="C333" s="47" t="s">
        <v>1239</v>
      </c>
      <c r="D333" s="47" t="s">
        <v>1242</v>
      </c>
      <c r="E333" s="47" t="s">
        <v>1243</v>
      </c>
      <c r="F333" s="47" t="s">
        <v>14</v>
      </c>
      <c r="G333" s="47" t="s">
        <v>492</v>
      </c>
      <c r="H333" s="47" t="e">
        <f>VLOOKUP(D333,#REF!,7,FALSE)</f>
        <v>#REF!</v>
      </c>
      <c r="I333" s="47" t="e">
        <f>VLOOKUP(H333,#REF!,2,FALSE)</f>
        <v>#REF!</v>
      </c>
    </row>
    <row r="334" spans="1:9" x14ac:dyDescent="0.25">
      <c r="A334" s="47" t="s">
        <v>66</v>
      </c>
      <c r="B334" s="47" t="s">
        <v>47</v>
      </c>
      <c r="C334" s="47" t="s">
        <v>97</v>
      </c>
      <c r="D334" s="47" t="s">
        <v>769</v>
      </c>
      <c r="E334" s="47" t="s">
        <v>770</v>
      </c>
      <c r="F334" s="47" t="s">
        <v>14</v>
      </c>
      <c r="G334" s="47" t="s">
        <v>241</v>
      </c>
      <c r="H334" s="47" t="e">
        <f>VLOOKUP(D334,#REF!,7,FALSE)</f>
        <v>#REF!</v>
      </c>
      <c r="I334" s="47" t="e">
        <f>VLOOKUP(H334,#REF!,2,FALSE)</f>
        <v>#REF!</v>
      </c>
    </row>
    <row r="335" spans="1:9" x14ac:dyDescent="0.25">
      <c r="A335" s="47" t="s">
        <v>56</v>
      </c>
      <c r="B335" s="47" t="s">
        <v>96</v>
      </c>
      <c r="C335" s="47" t="s">
        <v>1239</v>
      </c>
      <c r="D335" s="47" t="s">
        <v>1258</v>
      </c>
      <c r="E335" s="47" t="s">
        <v>1259</v>
      </c>
      <c r="F335" s="47" t="s">
        <v>14</v>
      </c>
      <c r="G335" s="47" t="s">
        <v>363</v>
      </c>
      <c r="H335" s="47" t="e">
        <f>VLOOKUP(D335,#REF!,7,FALSE)</f>
        <v>#REF!</v>
      </c>
      <c r="I335" s="47" t="e">
        <f>VLOOKUP(H335,#REF!,2,FALSE)</f>
        <v>#REF!</v>
      </c>
    </row>
    <row r="336" spans="1:9" x14ac:dyDescent="0.25">
      <c r="A336" s="47" t="s">
        <v>216</v>
      </c>
      <c r="B336" s="47" t="s">
        <v>10</v>
      </c>
      <c r="C336" s="47" t="s">
        <v>1253</v>
      </c>
      <c r="D336" s="47" t="s">
        <v>1254</v>
      </c>
      <c r="E336" s="47" t="s">
        <v>1255</v>
      </c>
      <c r="F336" s="47" t="s">
        <v>14</v>
      </c>
      <c r="G336" s="47" t="s">
        <v>492</v>
      </c>
      <c r="H336" s="47" t="e">
        <f>VLOOKUP(D336,#REF!,7,FALSE)</f>
        <v>#REF!</v>
      </c>
      <c r="I336" s="47" t="e">
        <f>VLOOKUP(H336,#REF!,2,FALSE)</f>
        <v>#REF!</v>
      </c>
    </row>
    <row r="337" spans="1:9" x14ac:dyDescent="0.25">
      <c r="A337" s="47" t="s">
        <v>216</v>
      </c>
      <c r="B337" s="47" t="s">
        <v>96</v>
      </c>
      <c r="C337" s="47" t="s">
        <v>1253</v>
      </c>
      <c r="D337" s="47" t="s">
        <v>1256</v>
      </c>
      <c r="E337" s="47" t="s">
        <v>1257</v>
      </c>
      <c r="F337" s="47" t="s">
        <v>14</v>
      </c>
      <c r="G337" s="47" t="s">
        <v>492</v>
      </c>
      <c r="H337" s="47" t="e">
        <f>VLOOKUP(D337,#REF!,7,FALSE)</f>
        <v>#REF!</v>
      </c>
      <c r="I337" s="47" t="e">
        <f>VLOOKUP(H337,#REF!,2,FALSE)</f>
        <v>#REF!</v>
      </c>
    </row>
    <row r="338" spans="1:9" x14ac:dyDescent="0.25">
      <c r="A338" s="49" t="s">
        <v>66</v>
      </c>
      <c r="B338" s="47" t="s">
        <v>96</v>
      </c>
      <c r="C338" s="49" t="s">
        <v>1208</v>
      </c>
      <c r="D338" s="49" t="s">
        <v>659</v>
      </c>
      <c r="E338" s="49" t="s">
        <v>660</v>
      </c>
      <c r="F338" s="49" t="s">
        <v>14</v>
      </c>
      <c r="G338" s="47" t="s">
        <v>492</v>
      </c>
      <c r="H338" s="47" t="e">
        <f>VLOOKUP(D338,#REF!,7,FALSE)</f>
        <v>#REF!</v>
      </c>
      <c r="I338" s="47" t="e">
        <f>VLOOKUP(H338,#REF!,2,FALSE)</f>
        <v>#REF!</v>
      </c>
    </row>
    <row r="339" spans="1:9" x14ac:dyDescent="0.25">
      <c r="A339" s="47" t="s">
        <v>216</v>
      </c>
      <c r="B339" s="47" t="s">
        <v>140</v>
      </c>
      <c r="C339" s="47" t="s">
        <v>525</v>
      </c>
      <c r="D339" s="47" t="s">
        <v>526</v>
      </c>
      <c r="E339" s="47" t="s">
        <v>527</v>
      </c>
      <c r="F339" s="47" t="s">
        <v>14</v>
      </c>
      <c r="G339" s="47" t="s">
        <v>33</v>
      </c>
      <c r="H339" s="47" t="e">
        <f>VLOOKUP(D339,#REF!,7,FALSE)</f>
        <v>#REF!</v>
      </c>
      <c r="I339" s="47" t="e">
        <f>VLOOKUP(H339,#REF!,2,FALSE)</f>
        <v>#REF!</v>
      </c>
    </row>
    <row r="340" spans="1:9" x14ac:dyDescent="0.25">
      <c r="A340" s="47" t="s">
        <v>216</v>
      </c>
      <c r="B340" s="47" t="s">
        <v>10</v>
      </c>
      <c r="C340" s="47" t="s">
        <v>573</v>
      </c>
      <c r="D340" s="47" t="s">
        <v>574</v>
      </c>
      <c r="E340" s="47" t="s">
        <v>575</v>
      </c>
      <c r="F340" s="47" t="s">
        <v>14</v>
      </c>
      <c r="G340" s="47" t="s">
        <v>33</v>
      </c>
      <c r="H340" s="47" t="e">
        <f>VLOOKUP(D340,#REF!,7,FALSE)</f>
        <v>#REF!</v>
      </c>
      <c r="I340" s="47" t="e">
        <f>VLOOKUP(H340,#REF!,2,FALSE)</f>
        <v>#REF!</v>
      </c>
    </row>
    <row r="341" spans="1:9" x14ac:dyDescent="0.25">
      <c r="A341" s="47" t="s">
        <v>216</v>
      </c>
      <c r="B341" s="47" t="s">
        <v>47</v>
      </c>
      <c r="C341" s="47" t="s">
        <v>522</v>
      </c>
      <c r="D341" s="47" t="s">
        <v>703</v>
      </c>
      <c r="E341" s="47" t="s">
        <v>704</v>
      </c>
      <c r="F341" s="47" t="s">
        <v>14</v>
      </c>
      <c r="G341" s="47" t="s">
        <v>51</v>
      </c>
      <c r="H341" s="47" t="e">
        <f>VLOOKUP(D341,#REF!,7,FALSE)</f>
        <v>#REF!</v>
      </c>
      <c r="I341" s="47" t="e">
        <f>VLOOKUP(H341,#REF!,2,FALSE)</f>
        <v>#REF!</v>
      </c>
    </row>
    <row r="342" spans="1:9" x14ac:dyDescent="0.25">
      <c r="A342" s="47" t="s">
        <v>216</v>
      </c>
      <c r="B342" s="47" t="s">
        <v>96</v>
      </c>
      <c r="C342" s="47" t="s">
        <v>741</v>
      </c>
      <c r="D342" s="47" t="s">
        <v>742</v>
      </c>
      <c r="E342" s="47" t="s">
        <v>743</v>
      </c>
      <c r="F342" s="47" t="s">
        <v>14</v>
      </c>
      <c r="G342" s="47" t="s">
        <v>33</v>
      </c>
      <c r="H342" s="47" t="e">
        <f>VLOOKUP(D342,#REF!,7,FALSE)</f>
        <v>#REF!</v>
      </c>
      <c r="I342" s="47" t="e">
        <f>VLOOKUP(H342,#REF!,2,FALSE)</f>
        <v>#REF!</v>
      </c>
    </row>
    <row r="343" spans="1:9" x14ac:dyDescent="0.25">
      <c r="A343" s="47" t="s">
        <v>66</v>
      </c>
      <c r="B343" s="47" t="s">
        <v>47</v>
      </c>
      <c r="C343" s="47" t="s">
        <v>528</v>
      </c>
      <c r="D343" s="47" t="s">
        <v>529</v>
      </c>
      <c r="E343" s="47" t="s">
        <v>530</v>
      </c>
      <c r="F343" s="47" t="s">
        <v>19</v>
      </c>
      <c r="G343" s="47" t="s">
        <v>20</v>
      </c>
      <c r="H343" s="47" t="e">
        <f>VLOOKUP(D343,#REF!,7,FALSE)</f>
        <v>#REF!</v>
      </c>
      <c r="I343" s="47" t="e">
        <f>VLOOKUP(H343,#REF!,2,FALSE)</f>
        <v>#REF!</v>
      </c>
    </row>
    <row r="344" spans="1:9" x14ac:dyDescent="0.25">
      <c r="A344" s="47" t="s">
        <v>66</v>
      </c>
      <c r="B344" s="47" t="s">
        <v>47</v>
      </c>
      <c r="C344" s="47" t="s">
        <v>1238</v>
      </c>
      <c r="D344" s="47" t="s">
        <v>538</v>
      </c>
      <c r="E344" s="47" t="s">
        <v>539</v>
      </c>
      <c r="F344" s="47" t="s">
        <v>14</v>
      </c>
      <c r="G344" s="47" t="s">
        <v>51</v>
      </c>
      <c r="H344" s="47" t="e">
        <f>VLOOKUP(D344,#REF!,7,FALSE)</f>
        <v>#REF!</v>
      </c>
      <c r="I344" s="47" t="e">
        <f>VLOOKUP(H344,#REF!,2,FALSE)</f>
        <v>#REF!</v>
      </c>
    </row>
    <row r="345" spans="1:9" x14ac:dyDescent="0.25">
      <c r="A345" s="47" t="s">
        <v>9</v>
      </c>
      <c r="B345" s="47" t="s">
        <v>96</v>
      </c>
      <c r="C345" s="47" t="s">
        <v>194</v>
      </c>
      <c r="D345" s="47" t="s">
        <v>713</v>
      </c>
      <c r="E345" s="47" t="s">
        <v>714</v>
      </c>
      <c r="F345" s="47" t="s">
        <v>14</v>
      </c>
      <c r="G345" s="47" t="s">
        <v>15</v>
      </c>
      <c r="H345" s="47" t="e">
        <f>VLOOKUP(D345,#REF!,7,FALSE)</f>
        <v>#REF!</v>
      </c>
      <c r="I345" s="47" t="e">
        <f>VLOOKUP(H345,#REF!,2,FALSE)</f>
        <v>#REF!</v>
      </c>
    </row>
    <row r="346" spans="1:9" x14ac:dyDescent="0.25">
      <c r="A346" s="47" t="s">
        <v>216</v>
      </c>
      <c r="B346" s="47" t="s">
        <v>47</v>
      </c>
      <c r="C346" s="47" t="s">
        <v>1262</v>
      </c>
      <c r="D346" s="47" t="s">
        <v>1267</v>
      </c>
      <c r="E346" s="47" t="s">
        <v>1268</v>
      </c>
      <c r="F346" s="47" t="s">
        <v>14</v>
      </c>
      <c r="G346" s="47" t="s">
        <v>70</v>
      </c>
      <c r="H346" s="47" t="e">
        <f>VLOOKUP(D346,#REF!,7,FALSE)</f>
        <v>#REF!</v>
      </c>
      <c r="I346" s="47" t="e">
        <f>VLOOKUP(H346,#REF!,2,FALSE)</f>
        <v>#REF!</v>
      </c>
    </row>
    <row r="347" spans="1:9" x14ac:dyDescent="0.25">
      <c r="A347" s="47" t="s">
        <v>66</v>
      </c>
      <c r="B347" s="47" t="s">
        <v>96</v>
      </c>
      <c r="C347" s="47" t="s">
        <v>1262</v>
      </c>
      <c r="D347" s="47" t="s">
        <v>1269</v>
      </c>
      <c r="E347" s="47" t="s">
        <v>1270</v>
      </c>
      <c r="F347" s="47" t="s">
        <v>14</v>
      </c>
      <c r="G347" s="47" t="s">
        <v>70</v>
      </c>
      <c r="H347" s="47" t="e">
        <f>VLOOKUP(D347,#REF!,7,FALSE)</f>
        <v>#REF!</v>
      </c>
      <c r="I347" s="47" t="e">
        <f>VLOOKUP(H347,#REF!,2,FALSE)</f>
        <v>#REF!</v>
      </c>
    </row>
    <row r="348" spans="1:9" x14ac:dyDescent="0.25">
      <c r="A348" s="49" t="s">
        <v>66</v>
      </c>
      <c r="B348" s="47" t="s">
        <v>140</v>
      </c>
      <c r="C348" s="49" t="s">
        <v>387</v>
      </c>
      <c r="D348" s="49" t="s">
        <v>1501</v>
      </c>
      <c r="E348" s="49" t="s">
        <v>389</v>
      </c>
      <c r="F348" s="49" t="s">
        <v>14</v>
      </c>
      <c r="G348" s="49" t="s">
        <v>70</v>
      </c>
      <c r="H348" s="49" t="e">
        <f>VLOOKUP(D348,#REF!,7,FALSE)</f>
        <v>#REF!</v>
      </c>
      <c r="I348" s="47" t="e">
        <f>VLOOKUP(H348,#REF!,2,FALSE)</f>
        <v>#REF!</v>
      </c>
    </row>
    <row r="349" spans="1:9" x14ac:dyDescent="0.25">
      <c r="A349" s="47" t="s">
        <v>56</v>
      </c>
      <c r="B349" s="47" t="s">
        <v>10</v>
      </c>
      <c r="C349" s="47" t="s">
        <v>325</v>
      </c>
      <c r="D349" s="47" t="s">
        <v>1502</v>
      </c>
      <c r="E349" s="47" t="s">
        <v>1455</v>
      </c>
      <c r="F349" s="47" t="s">
        <v>14</v>
      </c>
      <c r="G349" s="47" t="s">
        <v>65</v>
      </c>
      <c r="H349" s="47" t="e">
        <f>VLOOKUP(D349,#REF!,7,FALSE)</f>
        <v>#REF!</v>
      </c>
      <c r="I349" s="47" t="e">
        <f>VLOOKUP(H349,#REF!,2,FALSE)</f>
        <v>#REF!</v>
      </c>
    </row>
    <row r="350" spans="1:9" x14ac:dyDescent="0.25">
      <c r="A350" s="49" t="s">
        <v>216</v>
      </c>
      <c r="B350" s="47" t="s">
        <v>10</v>
      </c>
      <c r="C350" s="49" t="s">
        <v>1503</v>
      </c>
      <c r="D350" s="49" t="s">
        <v>242</v>
      </c>
      <c r="E350" s="49" t="s">
        <v>243</v>
      </c>
      <c r="F350" s="49" t="s">
        <v>14</v>
      </c>
      <c r="G350" s="49" t="s">
        <v>61</v>
      </c>
      <c r="H350" s="49" t="e">
        <f>VLOOKUP(D350,#REF!,7,FALSE)</f>
        <v>#REF!</v>
      </c>
      <c r="I350" s="47" t="e">
        <f>VLOOKUP(H350,#REF!,2,FALSE)</f>
        <v>#REF!</v>
      </c>
    </row>
    <row r="351" spans="1:9" x14ac:dyDescent="0.25">
      <c r="A351" s="47" t="s">
        <v>170</v>
      </c>
      <c r="B351" s="47" t="s">
        <v>96</v>
      </c>
      <c r="C351" s="47" t="s">
        <v>1504</v>
      </c>
      <c r="D351" s="47" t="s">
        <v>397</v>
      </c>
      <c r="E351" s="47" t="s">
        <v>398</v>
      </c>
      <c r="F351" s="47" t="s">
        <v>28</v>
      </c>
      <c r="G351" s="47" t="s">
        <v>420</v>
      </c>
      <c r="H351" s="47" t="e">
        <f>VLOOKUP(D351,#REF!,7,FALSE)</f>
        <v>#REF!</v>
      </c>
      <c r="I351" s="47" t="e">
        <f>VLOOKUP(H351,#REF!,2,FALSE)</f>
        <v>#REF!</v>
      </c>
    </row>
    <row r="352" spans="1:9" x14ac:dyDescent="0.25">
      <c r="A352" s="47" t="s">
        <v>9</v>
      </c>
      <c r="B352" s="47" t="s">
        <v>47</v>
      </c>
      <c r="C352" s="47" t="s">
        <v>1194</v>
      </c>
      <c r="D352" s="47" t="s">
        <v>235</v>
      </c>
      <c r="E352" s="47" t="s">
        <v>236</v>
      </c>
      <c r="F352" s="47" t="s">
        <v>28</v>
      </c>
      <c r="G352" s="47" t="s">
        <v>237</v>
      </c>
      <c r="H352" s="47" t="e">
        <f>VLOOKUP(D352,#REF!,7,FALSE)</f>
        <v>#REF!</v>
      </c>
      <c r="I352" s="47" t="e">
        <f>VLOOKUP(H352,#REF!,2,FALSE)</f>
        <v>#REF!</v>
      </c>
    </row>
    <row r="353" spans="1:9" x14ac:dyDescent="0.25">
      <c r="A353" s="47" t="s">
        <v>216</v>
      </c>
      <c r="B353" s="47" t="s">
        <v>47</v>
      </c>
      <c r="C353" s="47" t="s">
        <v>251</v>
      </c>
      <c r="D353" s="47" t="s">
        <v>677</v>
      </c>
      <c r="E353" s="47" t="s">
        <v>646</v>
      </c>
      <c r="F353" s="47" t="s">
        <v>19</v>
      </c>
      <c r="G353" s="47" t="s">
        <v>20</v>
      </c>
      <c r="H353" s="47" t="e">
        <f>VLOOKUP(D353,#REF!,7,FALSE)</f>
        <v>#REF!</v>
      </c>
      <c r="I353" s="47" t="e">
        <f>VLOOKUP(H353,#REF!,2,FALSE)</f>
        <v>#REF!</v>
      </c>
    </row>
    <row r="354" spans="1:9" x14ac:dyDescent="0.25">
      <c r="A354" s="47" t="s">
        <v>216</v>
      </c>
      <c r="B354" s="47" t="s">
        <v>10</v>
      </c>
      <c r="C354" s="47" t="s">
        <v>351</v>
      </c>
      <c r="D354" s="47" t="s">
        <v>653</v>
      </c>
      <c r="E354" s="47" t="s">
        <v>654</v>
      </c>
      <c r="F354" s="47" t="s">
        <v>28</v>
      </c>
      <c r="G354" s="47" t="s">
        <v>29</v>
      </c>
      <c r="H354" s="47" t="e">
        <f>VLOOKUP(D354,#REF!,7,FALSE)</f>
        <v>#REF!</v>
      </c>
      <c r="I354" s="47" t="e">
        <f>VLOOKUP(H354,#REF!,2,FALSE)</f>
        <v>#REF!</v>
      </c>
    </row>
    <row r="355" spans="1:9" x14ac:dyDescent="0.25">
      <c r="A355" s="47" t="s">
        <v>66</v>
      </c>
      <c r="B355" s="47" t="s">
        <v>128</v>
      </c>
      <c r="C355" s="47" t="s">
        <v>1421</v>
      </c>
      <c r="D355" s="47" t="s">
        <v>1429</v>
      </c>
      <c r="E355" s="47" t="s">
        <v>1430</v>
      </c>
      <c r="F355" s="47" t="s">
        <v>37</v>
      </c>
      <c r="G355" s="47" t="s">
        <v>120</v>
      </c>
      <c r="H355" s="47" t="e">
        <f>VLOOKUP(D355,#REF!,7,FALSE)</f>
        <v>#REF!</v>
      </c>
      <c r="I355" s="47" t="e">
        <f>VLOOKUP(H355,#REF!,2,FALSE)</f>
        <v>#REF!</v>
      </c>
    </row>
    <row r="356" spans="1:9" x14ac:dyDescent="0.25">
      <c r="A356" s="47" t="s">
        <v>216</v>
      </c>
      <c r="B356" s="47" t="s">
        <v>128</v>
      </c>
      <c r="C356" s="47" t="s">
        <v>1495</v>
      </c>
      <c r="D356" s="47" t="s">
        <v>1505</v>
      </c>
      <c r="E356" s="47" t="s">
        <v>1506</v>
      </c>
      <c r="F356" s="47" t="s">
        <v>37</v>
      </c>
      <c r="G356" s="47" t="s">
        <v>136</v>
      </c>
      <c r="H356" s="47" t="e">
        <f>VLOOKUP(D356,#REF!,7,FALSE)</f>
        <v>#REF!</v>
      </c>
      <c r="I356" s="47" t="e">
        <f>VLOOKUP(H356,#REF!,2,FALSE)</f>
        <v>#REF!</v>
      </c>
    </row>
    <row r="357" spans="1:9" x14ac:dyDescent="0.25">
      <c r="A357" s="47" t="s">
        <v>66</v>
      </c>
      <c r="B357" s="47" t="s">
        <v>119</v>
      </c>
      <c r="C357" s="47" t="s">
        <v>1495</v>
      </c>
      <c r="D357" s="47" t="s">
        <v>1507</v>
      </c>
      <c r="E357" s="47" t="s">
        <v>1508</v>
      </c>
      <c r="F357" s="47" t="s">
        <v>37</v>
      </c>
      <c r="G357" s="47" t="s">
        <v>136</v>
      </c>
      <c r="H357" s="47" t="e">
        <f>VLOOKUP(D357,#REF!,7,FALSE)</f>
        <v>#REF!</v>
      </c>
      <c r="I357" s="47" t="e">
        <f>VLOOKUP(H357,#REF!,2,FALSE)</f>
        <v>#REF!</v>
      </c>
    </row>
    <row r="358" spans="1:9" x14ac:dyDescent="0.25">
      <c r="A358" s="47" t="s">
        <v>66</v>
      </c>
      <c r="B358" s="47" t="s">
        <v>177</v>
      </c>
      <c r="C358" s="47" t="s">
        <v>1495</v>
      </c>
      <c r="D358" s="47" t="s">
        <v>1509</v>
      </c>
      <c r="E358" s="47" t="s">
        <v>1510</v>
      </c>
      <c r="F358" s="47" t="s">
        <v>37</v>
      </c>
      <c r="G358" s="47" t="s">
        <v>34</v>
      </c>
      <c r="H358" s="47" t="e">
        <f>VLOOKUP(D358,#REF!,7,FALSE)</f>
        <v>#REF!</v>
      </c>
      <c r="I358" s="47" t="e">
        <f>VLOOKUP(H358,#REF!,2,FALSE)</f>
        <v>#REF!</v>
      </c>
    </row>
    <row r="359" spans="1:9" x14ac:dyDescent="0.25">
      <c r="A359" s="47" t="s">
        <v>56</v>
      </c>
      <c r="B359" s="47" t="s">
        <v>177</v>
      </c>
      <c r="C359" s="47" t="s">
        <v>1495</v>
      </c>
      <c r="D359" s="47" t="s">
        <v>1511</v>
      </c>
      <c r="E359" s="47" t="s">
        <v>1512</v>
      </c>
      <c r="F359" s="47" t="s">
        <v>37</v>
      </c>
      <c r="G359" s="47" t="s">
        <v>34</v>
      </c>
      <c r="H359" s="47" t="e">
        <f>VLOOKUP(D359,#REF!,7,FALSE)</f>
        <v>#REF!</v>
      </c>
      <c r="I359" s="47" t="e">
        <f>VLOOKUP(H359,#REF!,2,FALSE)</f>
        <v>#REF!</v>
      </c>
    </row>
    <row r="360" spans="1:9" x14ac:dyDescent="0.25">
      <c r="A360" s="47" t="s">
        <v>56</v>
      </c>
      <c r="B360" s="47" t="s">
        <v>10</v>
      </c>
      <c r="C360" s="47" t="s">
        <v>1495</v>
      </c>
      <c r="D360" s="47" t="s">
        <v>1513</v>
      </c>
      <c r="E360" s="47" t="s">
        <v>1514</v>
      </c>
      <c r="F360" s="47" t="s">
        <v>37</v>
      </c>
      <c r="G360" s="47" t="s">
        <v>34</v>
      </c>
      <c r="H360" s="47" t="e">
        <f>VLOOKUP(D360,#REF!,7,FALSE)</f>
        <v>#REF!</v>
      </c>
      <c r="I360" s="47" t="e">
        <f>VLOOKUP(H360,#REF!,2,FALSE)</f>
        <v>#REF!</v>
      </c>
    </row>
    <row r="361" spans="1:9" x14ac:dyDescent="0.25">
      <c r="A361" s="47" t="s">
        <v>9</v>
      </c>
      <c r="B361" s="47" t="s">
        <v>47</v>
      </c>
      <c r="C361" s="47" t="s">
        <v>504</v>
      </c>
      <c r="D361" s="47" t="s">
        <v>1515</v>
      </c>
      <c r="E361" s="47" t="s">
        <v>1516</v>
      </c>
      <c r="F361" s="47" t="s">
        <v>28</v>
      </c>
      <c r="G361" s="47" t="s">
        <v>420</v>
      </c>
      <c r="H361" s="47" t="e">
        <f>VLOOKUP(D361,#REF!,7,FALSE)</f>
        <v>#REF!</v>
      </c>
      <c r="I361" s="47" t="e">
        <f>VLOOKUP(H361,#REF!,2,FALSE)</f>
        <v>#REF!</v>
      </c>
    </row>
    <row r="362" spans="1:9" x14ac:dyDescent="0.25">
      <c r="A362" s="47" t="s">
        <v>66</v>
      </c>
      <c r="B362" s="47" t="s">
        <v>47</v>
      </c>
      <c r="C362" s="47" t="s">
        <v>1489</v>
      </c>
      <c r="D362" s="47" t="s">
        <v>1517</v>
      </c>
      <c r="E362" s="47" t="s">
        <v>1518</v>
      </c>
      <c r="F362" s="47" t="s">
        <v>28</v>
      </c>
      <c r="G362" s="47" t="s">
        <v>420</v>
      </c>
      <c r="H362" s="47" t="e">
        <f>VLOOKUP(D362,#REF!,7,FALSE)</f>
        <v>#REF!</v>
      </c>
      <c r="I362" s="47" t="e">
        <f>VLOOKUP(H362,#REF!,2,FALSE)</f>
        <v>#REF!</v>
      </c>
    </row>
    <row r="363" spans="1:9" x14ac:dyDescent="0.25">
      <c r="A363" s="47" t="s">
        <v>9</v>
      </c>
      <c r="B363" s="47" t="s">
        <v>47</v>
      </c>
      <c r="C363" s="47" t="s">
        <v>52</v>
      </c>
      <c r="D363" s="47" t="s">
        <v>262</v>
      </c>
      <c r="E363" s="47" t="s">
        <v>1519</v>
      </c>
      <c r="F363" s="47" t="s">
        <v>28</v>
      </c>
      <c r="G363" s="47" t="s">
        <v>420</v>
      </c>
      <c r="H363" s="47" t="e">
        <f>VLOOKUP(D363,#REF!,7,FALSE)</f>
        <v>#REF!</v>
      </c>
      <c r="I363" s="47" t="e">
        <f>VLOOKUP(H363,#REF!,2,FALSE)</f>
        <v>#REF!</v>
      </c>
    </row>
    <row r="364" spans="1:9" x14ac:dyDescent="0.25">
      <c r="A364" s="47" t="s">
        <v>170</v>
      </c>
      <c r="B364" s="47" t="s">
        <v>47</v>
      </c>
      <c r="C364" s="47" t="s">
        <v>325</v>
      </c>
      <c r="D364" s="47" t="s">
        <v>1030</v>
      </c>
      <c r="E364" s="47" t="s">
        <v>1453</v>
      </c>
      <c r="F364" s="47" t="s">
        <v>14</v>
      </c>
      <c r="G364" s="47" t="s">
        <v>65</v>
      </c>
      <c r="H364" s="47" t="e">
        <f>VLOOKUP(D364,#REF!,7,FALSE)</f>
        <v>#REF!</v>
      </c>
      <c r="I364" s="47" t="e">
        <f>VLOOKUP(H364,#REF!,2,FALSE)</f>
        <v>#REF!</v>
      </c>
    </row>
    <row r="365" spans="1:9" x14ac:dyDescent="0.25">
      <c r="A365" s="47" t="s">
        <v>56</v>
      </c>
      <c r="B365" s="47" t="s">
        <v>10</v>
      </c>
      <c r="C365" s="47" t="s">
        <v>1489</v>
      </c>
      <c r="D365" s="47" t="s">
        <v>1520</v>
      </c>
      <c r="E365" s="47" t="s">
        <v>1521</v>
      </c>
      <c r="F365" s="47" t="s">
        <v>28</v>
      </c>
      <c r="G365" s="47" t="s">
        <v>420</v>
      </c>
      <c r="H365" s="47" t="e">
        <f>VLOOKUP(D365,#REF!,7,FALSE)</f>
        <v>#REF!</v>
      </c>
      <c r="I365" s="47" t="e">
        <f>VLOOKUP(H365,#REF!,2,FALSE)</f>
        <v>#REF!</v>
      </c>
    </row>
    <row r="366" spans="1:9" x14ac:dyDescent="0.25">
      <c r="A366" s="47" t="s">
        <v>781</v>
      </c>
      <c r="B366" s="47" t="s">
        <v>10</v>
      </c>
      <c r="C366" s="47" t="s">
        <v>133</v>
      </c>
      <c r="D366" s="47" t="s">
        <v>333</v>
      </c>
      <c r="E366" s="47" t="s">
        <v>334</v>
      </c>
      <c r="F366" s="47" t="s">
        <v>37</v>
      </c>
      <c r="G366" s="47" t="s">
        <v>132</v>
      </c>
      <c r="H366" s="47" t="e">
        <f>VLOOKUP(D366,#REF!,7,FALSE)</f>
        <v>#REF!</v>
      </c>
      <c r="I366" s="47" t="e">
        <f>VLOOKUP(H366,#REF!,2,FALSE)</f>
        <v>#REF!</v>
      </c>
    </row>
    <row r="367" spans="1:9" x14ac:dyDescent="0.25">
      <c r="A367" s="47" t="s">
        <v>781</v>
      </c>
      <c r="B367" s="47" t="s">
        <v>10</v>
      </c>
      <c r="C367" s="47" t="s">
        <v>136</v>
      </c>
      <c r="D367" s="47" t="s">
        <v>782</v>
      </c>
      <c r="E367" s="47" t="s">
        <v>783</v>
      </c>
      <c r="F367" s="47" t="s">
        <v>37</v>
      </c>
      <c r="G367" s="47" t="s">
        <v>136</v>
      </c>
      <c r="H367" s="47" t="e">
        <f>VLOOKUP(D367,#REF!,7,FALSE)</f>
        <v>#REF!</v>
      </c>
      <c r="I367" s="47" t="e">
        <f>VLOOKUP(H367,#REF!,2,FALSE)</f>
        <v>#REF!</v>
      </c>
    </row>
    <row r="368" spans="1:9" x14ac:dyDescent="0.25">
      <c r="A368" s="47" t="s">
        <v>781</v>
      </c>
      <c r="B368" s="47" t="s">
        <v>10</v>
      </c>
      <c r="C368" s="47" t="s">
        <v>784</v>
      </c>
      <c r="D368" s="47" t="s">
        <v>17</v>
      </c>
      <c r="E368" s="47" t="s">
        <v>18</v>
      </c>
      <c r="F368" s="47" t="s">
        <v>19</v>
      </c>
      <c r="G368" s="47" t="s">
        <v>20</v>
      </c>
      <c r="H368" s="47" t="e">
        <f>VLOOKUP(D368,#REF!,7,FALSE)</f>
        <v>#REF!</v>
      </c>
      <c r="I368" s="47" t="e">
        <f>VLOOKUP(H368,#REF!,2,FALSE)</f>
        <v>#REF!</v>
      </c>
    </row>
    <row r="369" spans="1:9" x14ac:dyDescent="0.25">
      <c r="A369" s="47" t="s">
        <v>781</v>
      </c>
      <c r="B369" s="47" t="s">
        <v>10</v>
      </c>
      <c r="C369" s="47" t="s">
        <v>785</v>
      </c>
      <c r="D369" s="47" t="s">
        <v>628</v>
      </c>
      <c r="E369" s="47" t="s">
        <v>629</v>
      </c>
      <c r="F369" s="47" t="s">
        <v>19</v>
      </c>
      <c r="G369" s="47" t="s">
        <v>79</v>
      </c>
      <c r="H369" s="47" t="e">
        <f>VLOOKUP(D369,#REF!,7,FALSE)</f>
        <v>#REF!</v>
      </c>
      <c r="I369" s="47" t="e">
        <f>VLOOKUP(H369,#REF!,2,FALSE)</f>
        <v>#REF!</v>
      </c>
    </row>
    <row r="370" spans="1:9" x14ac:dyDescent="0.25">
      <c r="A370" s="47" t="s">
        <v>781</v>
      </c>
      <c r="B370" s="47" t="s">
        <v>10</v>
      </c>
      <c r="C370" s="47" t="s">
        <v>786</v>
      </c>
      <c r="D370" s="47" t="s">
        <v>630</v>
      </c>
      <c r="E370" s="47" t="s">
        <v>631</v>
      </c>
      <c r="F370" s="47" t="s">
        <v>14</v>
      </c>
      <c r="G370" s="47" t="s">
        <v>492</v>
      </c>
      <c r="H370" s="47" t="e">
        <f>VLOOKUP(D370,#REF!,7,FALSE)</f>
        <v>#REF!</v>
      </c>
      <c r="I370" s="47" t="e">
        <f>VLOOKUP(H370,#REF!,2,FALSE)</f>
        <v>#REF!</v>
      </c>
    </row>
    <row r="371" spans="1:9" x14ac:dyDescent="0.25">
      <c r="A371" s="47" t="s">
        <v>781</v>
      </c>
      <c r="B371" s="47" t="s">
        <v>10</v>
      </c>
      <c r="C371" s="47" t="s">
        <v>787</v>
      </c>
      <c r="D371" s="47" t="s">
        <v>640</v>
      </c>
      <c r="E371" s="47" t="s">
        <v>788</v>
      </c>
      <c r="F371" s="47" t="s">
        <v>14</v>
      </c>
      <c r="G371" s="47" t="s">
        <v>112</v>
      </c>
      <c r="H371" s="47" t="e">
        <f>VLOOKUP(D371,#REF!,7,FALSE)</f>
        <v>#REF!</v>
      </c>
      <c r="I371" s="47" t="e">
        <f>VLOOKUP(H371,#REF!,2,FALSE)</f>
        <v>#REF!</v>
      </c>
    </row>
    <row r="372" spans="1:9" x14ac:dyDescent="0.25">
      <c r="A372" s="47" t="s">
        <v>781</v>
      </c>
      <c r="B372" s="47" t="s">
        <v>10</v>
      </c>
      <c r="C372" s="47" t="s">
        <v>789</v>
      </c>
      <c r="D372" s="47" t="s">
        <v>790</v>
      </c>
      <c r="E372" s="47" t="s">
        <v>791</v>
      </c>
      <c r="F372" s="47" t="s">
        <v>19</v>
      </c>
      <c r="G372" s="47" t="s">
        <v>70</v>
      </c>
      <c r="H372" s="47" t="e">
        <f>VLOOKUP(D372,#REF!,7,FALSE)</f>
        <v>#REF!</v>
      </c>
      <c r="I372" s="47" t="e">
        <f>VLOOKUP(H372,#REF!,2,FALSE)</f>
        <v>#REF!</v>
      </c>
    </row>
    <row r="373" spans="1:9" x14ac:dyDescent="0.25">
      <c r="A373" s="47" t="s">
        <v>781</v>
      </c>
      <c r="B373" s="47" t="s">
        <v>10</v>
      </c>
      <c r="C373" s="47" t="s">
        <v>163</v>
      </c>
      <c r="D373" s="47" t="s">
        <v>166</v>
      </c>
      <c r="E373" s="47" t="s">
        <v>167</v>
      </c>
      <c r="F373" s="47" t="s">
        <v>37</v>
      </c>
      <c r="G373" s="47" t="s">
        <v>793</v>
      </c>
      <c r="H373" s="47" t="e">
        <f>VLOOKUP(D373,#REF!,7,FALSE)</f>
        <v>#REF!</v>
      </c>
      <c r="I373" s="47" t="e">
        <f>VLOOKUP(H373,#REF!,2,FALSE)</f>
        <v>#REF!</v>
      </c>
    </row>
    <row r="374" spans="1:9" x14ac:dyDescent="0.25">
      <c r="A374" s="47" t="s">
        <v>781</v>
      </c>
      <c r="B374" s="47" t="s">
        <v>10</v>
      </c>
      <c r="C374" s="47" t="s">
        <v>129</v>
      </c>
      <c r="D374" s="47" t="s">
        <v>279</v>
      </c>
      <c r="E374" s="47" t="s">
        <v>280</v>
      </c>
      <c r="F374" s="47" t="s">
        <v>37</v>
      </c>
      <c r="G374" s="47" t="s">
        <v>42</v>
      </c>
      <c r="H374" s="47" t="e">
        <f>VLOOKUP(D374,#REF!,7,FALSE)</f>
        <v>#REF!</v>
      </c>
      <c r="I374" s="47" t="e">
        <f>VLOOKUP(H374,#REF!,2,FALSE)</f>
        <v>#REF!</v>
      </c>
    </row>
    <row r="375" spans="1:9" x14ac:dyDescent="0.25">
      <c r="A375" s="47" t="s">
        <v>781</v>
      </c>
      <c r="B375" s="47" t="s">
        <v>10</v>
      </c>
      <c r="C375" s="47" t="s">
        <v>794</v>
      </c>
      <c r="D375" s="47" t="s">
        <v>795</v>
      </c>
      <c r="E375" s="47" t="s">
        <v>796</v>
      </c>
      <c r="F375" s="47" t="s">
        <v>14</v>
      </c>
      <c r="G375" s="47" t="s">
        <v>220</v>
      </c>
      <c r="H375" s="47" t="e">
        <f>VLOOKUP(D375,#REF!,7,FALSE)</f>
        <v>#REF!</v>
      </c>
      <c r="I375" s="47" t="e">
        <f>VLOOKUP(H375,#REF!,2,FALSE)</f>
        <v>#REF!</v>
      </c>
    </row>
    <row r="376" spans="1:9" x14ac:dyDescent="0.25">
      <c r="A376" s="47" t="s">
        <v>781</v>
      </c>
      <c r="B376" s="47" t="s">
        <v>10</v>
      </c>
      <c r="C376" s="47" t="s">
        <v>797</v>
      </c>
      <c r="D376" s="47" t="s">
        <v>798</v>
      </c>
      <c r="E376" s="47" t="s">
        <v>740</v>
      </c>
      <c r="F376" s="47" t="s">
        <v>19</v>
      </c>
      <c r="G376" s="47" t="s">
        <v>91</v>
      </c>
      <c r="H376" s="47" t="e">
        <f>VLOOKUP(D376,#REF!,7,FALSE)</f>
        <v>#REF!</v>
      </c>
      <c r="I376" s="47" t="e">
        <f>VLOOKUP(H376,#REF!,2,FALSE)</f>
        <v>#REF!</v>
      </c>
    </row>
    <row r="377" spans="1:9" x14ac:dyDescent="0.25">
      <c r="A377" s="47" t="s">
        <v>781</v>
      </c>
      <c r="B377" s="47" t="s">
        <v>10</v>
      </c>
      <c r="C377" s="47" t="s">
        <v>1211</v>
      </c>
      <c r="D377" s="47" t="s">
        <v>800</v>
      </c>
      <c r="E377" s="47" t="s">
        <v>801</v>
      </c>
      <c r="F377" s="47" t="s">
        <v>19</v>
      </c>
      <c r="G377" s="47" t="s">
        <v>46</v>
      </c>
      <c r="H377" s="47" t="e">
        <f>VLOOKUP(D377,#REF!,7,FALSE)</f>
        <v>#REF!</v>
      </c>
      <c r="I377" s="47" t="e">
        <f>VLOOKUP(H377,#REF!,2,FALSE)</f>
        <v>#REF!</v>
      </c>
    </row>
    <row r="378" spans="1:9" x14ac:dyDescent="0.25">
      <c r="A378" s="47" t="s">
        <v>781</v>
      </c>
      <c r="B378" s="47" t="s">
        <v>10</v>
      </c>
      <c r="C378" s="47" t="s">
        <v>802</v>
      </c>
      <c r="D378" s="47" t="s">
        <v>803</v>
      </c>
      <c r="E378" s="47" t="s">
        <v>804</v>
      </c>
      <c r="F378" s="47" t="s">
        <v>14</v>
      </c>
      <c r="G378" s="47" t="s">
        <v>65</v>
      </c>
      <c r="H378" s="47" t="e">
        <f>VLOOKUP(D378,#REF!,7,FALSE)</f>
        <v>#REF!</v>
      </c>
      <c r="I378" s="47" t="e">
        <f>VLOOKUP(H378,#REF!,2,FALSE)</f>
        <v>#REF!</v>
      </c>
    </row>
    <row r="379" spans="1:9" x14ac:dyDescent="0.25">
      <c r="A379" s="47" t="s">
        <v>781</v>
      </c>
      <c r="B379" s="47" t="s">
        <v>10</v>
      </c>
      <c r="C379" s="47" t="s">
        <v>805</v>
      </c>
      <c r="D379" s="47" t="s">
        <v>806</v>
      </c>
      <c r="E379" s="47" t="s">
        <v>807</v>
      </c>
      <c r="F379" s="47" t="s">
        <v>14</v>
      </c>
      <c r="G379" s="47" t="s">
        <v>103</v>
      </c>
      <c r="H379" s="47" t="e">
        <f>VLOOKUP(D379,#REF!,7,FALSE)</f>
        <v>#REF!</v>
      </c>
      <c r="I379" s="47" t="e">
        <f>VLOOKUP(H379,#REF!,2,FALSE)</f>
        <v>#REF!</v>
      </c>
    </row>
    <row r="380" spans="1:9" x14ac:dyDescent="0.25">
      <c r="A380" s="47" t="s">
        <v>781</v>
      </c>
      <c r="B380" s="47" t="s">
        <v>10</v>
      </c>
      <c r="C380" s="47" t="s">
        <v>808</v>
      </c>
      <c r="D380" s="47" t="s">
        <v>809</v>
      </c>
      <c r="E380" s="47" t="s">
        <v>810</v>
      </c>
      <c r="F380" s="47" t="s">
        <v>14</v>
      </c>
      <c r="G380" s="47" t="s">
        <v>29</v>
      </c>
      <c r="H380" s="47" t="e">
        <f>VLOOKUP(D380,#REF!,7,FALSE)</f>
        <v>#REF!</v>
      </c>
      <c r="I380" s="47" t="e">
        <f>VLOOKUP(H380,#REF!,2,FALSE)</f>
        <v>#REF!</v>
      </c>
    </row>
    <row r="381" spans="1:9" x14ac:dyDescent="0.25">
      <c r="A381" s="47" t="s">
        <v>781</v>
      </c>
      <c r="B381" s="47" t="s">
        <v>10</v>
      </c>
      <c r="C381" s="47" t="s">
        <v>811</v>
      </c>
      <c r="D381" s="47" t="s">
        <v>222</v>
      </c>
      <c r="E381" s="47" t="s">
        <v>223</v>
      </c>
      <c r="F381" s="47" t="s">
        <v>19</v>
      </c>
      <c r="G381" s="47" t="s">
        <v>237</v>
      </c>
      <c r="H381" s="47" t="e">
        <f>VLOOKUP(D381,#REF!,7,FALSE)</f>
        <v>#REF!</v>
      </c>
      <c r="I381" s="47" t="e">
        <f>VLOOKUP(H381,#REF!,2,FALSE)</f>
        <v>#REF!</v>
      </c>
    </row>
    <row r="382" spans="1:9" x14ac:dyDescent="0.25">
      <c r="A382" s="47" t="s">
        <v>812</v>
      </c>
      <c r="B382" s="47" t="s">
        <v>47</v>
      </c>
      <c r="C382" s="47" t="s">
        <v>813</v>
      </c>
      <c r="D382" s="47" t="s">
        <v>814</v>
      </c>
      <c r="E382" s="47" t="s">
        <v>815</v>
      </c>
      <c r="F382" s="47" t="s">
        <v>28</v>
      </c>
      <c r="G382" s="47" t="s">
        <v>61</v>
      </c>
      <c r="H382" s="47" t="e">
        <f>VLOOKUP(D382,#REF!,7,FALSE)</f>
        <v>#REF!</v>
      </c>
      <c r="I382" s="47" t="e">
        <f>VLOOKUP(H382,#REF!,2,FALSE)</f>
        <v>#REF!</v>
      </c>
    </row>
    <row r="383" spans="1:9" x14ac:dyDescent="0.25">
      <c r="A383" s="47" t="s">
        <v>781</v>
      </c>
      <c r="B383" s="47" t="s">
        <v>10</v>
      </c>
      <c r="C383" s="47" t="s">
        <v>34</v>
      </c>
      <c r="D383" s="47" t="s">
        <v>168</v>
      </c>
      <c r="E383" s="47" t="s">
        <v>169</v>
      </c>
      <c r="F383" s="47" t="s">
        <v>37</v>
      </c>
      <c r="G383" s="47" t="s">
        <v>38</v>
      </c>
      <c r="H383" s="47" t="e">
        <f>VLOOKUP(D383,#REF!,7,FALSE)</f>
        <v>#REF!</v>
      </c>
      <c r="I383" s="47" t="e">
        <f>VLOOKUP(H383,#REF!,2,FALSE)</f>
        <v>#REF!</v>
      </c>
    </row>
    <row r="384" spans="1:9" x14ac:dyDescent="0.25">
      <c r="A384" s="47" t="s">
        <v>781</v>
      </c>
      <c r="B384" s="47" t="s">
        <v>10</v>
      </c>
      <c r="C384" s="47" t="s">
        <v>823</v>
      </c>
      <c r="D384" s="47" t="s">
        <v>824</v>
      </c>
      <c r="E384" s="47" t="s">
        <v>825</v>
      </c>
      <c r="F384" s="47" t="s">
        <v>37</v>
      </c>
      <c r="G384" s="47" t="s">
        <v>136</v>
      </c>
      <c r="H384" s="47" t="e">
        <f>VLOOKUP(D384,#REF!,7,FALSE)</f>
        <v>#REF!</v>
      </c>
      <c r="I384" s="47" t="e">
        <f>VLOOKUP(H384,#REF!,2,FALSE)</f>
        <v>#REF!</v>
      </c>
    </row>
    <row r="385" spans="1:9" x14ac:dyDescent="0.25">
      <c r="A385" s="47" t="s">
        <v>781</v>
      </c>
      <c r="B385" s="47" t="s">
        <v>10</v>
      </c>
      <c r="C385" s="47" t="s">
        <v>160</v>
      </c>
      <c r="D385" s="47" t="s">
        <v>199</v>
      </c>
      <c r="E385" s="47" t="s">
        <v>200</v>
      </c>
      <c r="F385" s="47" t="s">
        <v>37</v>
      </c>
      <c r="G385" s="47" t="s">
        <v>308</v>
      </c>
      <c r="H385" s="47" t="e">
        <f>VLOOKUP(D385,#REF!,7,FALSE)</f>
        <v>#REF!</v>
      </c>
      <c r="I385" s="47" t="e">
        <f>VLOOKUP(H385,#REF!,2,FALSE)</f>
        <v>#REF!</v>
      </c>
    </row>
    <row r="386" spans="1:9" x14ac:dyDescent="0.25">
      <c r="A386" s="47" t="s">
        <v>781</v>
      </c>
      <c r="B386" s="47" t="s">
        <v>10</v>
      </c>
      <c r="C386" s="47" t="s">
        <v>120</v>
      </c>
      <c r="D386" s="47" t="s">
        <v>173</v>
      </c>
      <c r="E386" s="47" t="s">
        <v>174</v>
      </c>
      <c r="F386" s="47" t="s">
        <v>37</v>
      </c>
      <c r="G386" s="47" t="s">
        <v>123</v>
      </c>
      <c r="H386" s="47" t="e">
        <f>VLOOKUP(D386,#REF!,7,FALSE)</f>
        <v>#REF!</v>
      </c>
      <c r="I386" s="47" t="e">
        <f>VLOOKUP(H386,#REF!,2,FALSE)</f>
        <v>#REF!</v>
      </c>
    </row>
    <row r="387" spans="1:9" x14ac:dyDescent="0.25">
      <c r="A387" s="47" t="s">
        <v>781</v>
      </c>
      <c r="B387" s="47" t="s">
        <v>10</v>
      </c>
      <c r="C387" s="47" t="s">
        <v>39</v>
      </c>
      <c r="D387" s="47" t="s">
        <v>40</v>
      </c>
      <c r="E387" s="47" t="s">
        <v>41</v>
      </c>
      <c r="F387" s="47" t="s">
        <v>37</v>
      </c>
      <c r="G387" s="47" t="s">
        <v>38</v>
      </c>
      <c r="H387" s="47" t="e">
        <f>VLOOKUP(D387,#REF!,7,FALSE)</f>
        <v>#REF!</v>
      </c>
      <c r="I387" s="47" t="e">
        <f>VLOOKUP(H387,#REF!,2,FALSE)</f>
        <v>#REF!</v>
      </c>
    </row>
    <row r="388" spans="1:9" x14ac:dyDescent="0.25">
      <c r="A388" s="47" t="s">
        <v>781</v>
      </c>
      <c r="B388" s="47" t="s">
        <v>10</v>
      </c>
      <c r="C388" s="47" t="s">
        <v>180</v>
      </c>
      <c r="D388" s="47" t="s">
        <v>297</v>
      </c>
      <c r="E388" s="47" t="s">
        <v>298</v>
      </c>
      <c r="F388" s="47" t="s">
        <v>37</v>
      </c>
      <c r="G388" s="47" t="s">
        <v>132</v>
      </c>
      <c r="H388" s="47" t="e">
        <f>VLOOKUP(D388,#REF!,7,FALSE)</f>
        <v>#REF!</v>
      </c>
      <c r="I388" s="47" t="e">
        <f>VLOOKUP(H388,#REF!,2,FALSE)</f>
        <v>#REF!</v>
      </c>
    </row>
    <row r="389" spans="1:9" x14ac:dyDescent="0.25">
      <c r="A389" s="47" t="s">
        <v>781</v>
      </c>
      <c r="B389" s="47" t="s">
        <v>10</v>
      </c>
      <c r="C389" s="47" t="s">
        <v>826</v>
      </c>
      <c r="D389" s="47" t="s">
        <v>374</v>
      </c>
      <c r="E389" s="47" t="s">
        <v>375</v>
      </c>
      <c r="F389" s="47" t="s">
        <v>14</v>
      </c>
      <c r="G389" s="47" t="s">
        <v>407</v>
      </c>
      <c r="H389" s="47" t="e">
        <f>VLOOKUP(D389,#REF!,7,FALSE)</f>
        <v>#REF!</v>
      </c>
      <c r="I389" s="47" t="e">
        <f>VLOOKUP(H389,#REF!,2,FALSE)</f>
        <v>#REF!</v>
      </c>
    </row>
    <row r="390" spans="1:9" x14ac:dyDescent="0.25">
      <c r="A390" s="47" t="s">
        <v>781</v>
      </c>
      <c r="B390" s="47" t="s">
        <v>10</v>
      </c>
      <c r="C390" s="47" t="s">
        <v>827</v>
      </c>
      <c r="D390" s="47" t="s">
        <v>828</v>
      </c>
      <c r="E390" s="47" t="s">
        <v>448</v>
      </c>
      <c r="F390" s="47" t="s">
        <v>19</v>
      </c>
      <c r="G390" s="47" t="s">
        <v>15</v>
      </c>
      <c r="H390" s="47" t="e">
        <f>VLOOKUP(D390,#REF!,7,FALSE)</f>
        <v>#REF!</v>
      </c>
      <c r="I390" s="47" t="e">
        <f>VLOOKUP(H390,#REF!,2,FALSE)</f>
        <v>#REF!</v>
      </c>
    </row>
    <row r="391" spans="1:9" x14ac:dyDescent="0.25">
      <c r="A391" s="47" t="s">
        <v>781</v>
      </c>
      <c r="B391" s="47" t="s">
        <v>10</v>
      </c>
      <c r="C391" s="47" t="s">
        <v>136</v>
      </c>
      <c r="D391" s="47" t="s">
        <v>829</v>
      </c>
      <c r="E391" s="47" t="s">
        <v>830</v>
      </c>
      <c r="F391" s="47" t="s">
        <v>37</v>
      </c>
      <c r="G391" s="47" t="s">
        <v>136</v>
      </c>
      <c r="H391" s="47" t="e">
        <f>VLOOKUP(D391,#REF!,7,FALSE)</f>
        <v>#REF!</v>
      </c>
      <c r="I391" s="47" t="e">
        <f>VLOOKUP(H391,#REF!,2,FALSE)</f>
        <v>#REF!</v>
      </c>
    </row>
    <row r="392" spans="1:9" x14ac:dyDescent="0.25">
      <c r="A392" s="47" t="s">
        <v>781</v>
      </c>
      <c r="B392" s="47" t="s">
        <v>10</v>
      </c>
      <c r="C392" s="47" t="s">
        <v>831</v>
      </c>
      <c r="D392" s="47" t="s">
        <v>832</v>
      </c>
      <c r="E392" s="47" t="s">
        <v>833</v>
      </c>
      <c r="F392" s="47" t="s">
        <v>19</v>
      </c>
      <c r="G392" s="47" t="s">
        <v>241</v>
      </c>
      <c r="H392" s="47" t="e">
        <f>VLOOKUP(D392,#REF!,7,FALSE)</f>
        <v>#REF!</v>
      </c>
      <c r="I392" s="47" t="e">
        <f>VLOOKUP(H392,#REF!,2,FALSE)</f>
        <v>#REF!</v>
      </c>
    </row>
    <row r="393" spans="1:9" x14ac:dyDescent="0.25">
      <c r="A393" s="47" t="s">
        <v>812</v>
      </c>
      <c r="B393" s="47" t="s">
        <v>47</v>
      </c>
      <c r="C393" s="47" t="s">
        <v>787</v>
      </c>
      <c r="D393" s="47" t="s">
        <v>533</v>
      </c>
      <c r="E393" s="47" t="s">
        <v>534</v>
      </c>
      <c r="F393" s="47" t="s">
        <v>14</v>
      </c>
      <c r="G393" s="47" t="s">
        <v>492</v>
      </c>
      <c r="H393" s="47" t="e">
        <f>VLOOKUP(D393,#REF!,7,FALSE)</f>
        <v>#REF!</v>
      </c>
      <c r="I393" s="47" t="e">
        <f>VLOOKUP(H393,#REF!,2,FALSE)</f>
        <v>#REF!</v>
      </c>
    </row>
    <row r="394" spans="1:9" x14ac:dyDescent="0.25">
      <c r="A394" s="47" t="s">
        <v>781</v>
      </c>
      <c r="B394" s="47" t="s">
        <v>47</v>
      </c>
      <c r="C394" s="47" t="s">
        <v>789</v>
      </c>
      <c r="D394" s="47" t="s">
        <v>834</v>
      </c>
      <c r="E394" s="47" t="s">
        <v>835</v>
      </c>
      <c r="F394" s="47" t="s">
        <v>19</v>
      </c>
      <c r="G394" s="47" t="s">
        <v>15</v>
      </c>
      <c r="H394" s="47" t="e">
        <f>VLOOKUP(D394,#REF!,7,FALSE)</f>
        <v>#REF!</v>
      </c>
      <c r="I394" s="47" t="e">
        <f>VLOOKUP(H394,#REF!,2,FALSE)</f>
        <v>#REF!</v>
      </c>
    </row>
    <row r="395" spans="1:9" x14ac:dyDescent="0.25">
      <c r="A395" s="47" t="s">
        <v>781</v>
      </c>
      <c r="B395" s="47" t="s">
        <v>47</v>
      </c>
      <c r="C395" s="47" t="s">
        <v>794</v>
      </c>
      <c r="D395" s="47" t="s">
        <v>836</v>
      </c>
      <c r="E395" s="47" t="s">
        <v>837</v>
      </c>
      <c r="F395" s="47" t="s">
        <v>14</v>
      </c>
      <c r="G395" s="47" t="s">
        <v>220</v>
      </c>
      <c r="H395" s="47" t="e">
        <f>VLOOKUP(D395,#REF!,7,FALSE)</f>
        <v>#REF!</v>
      </c>
      <c r="I395" s="47" t="e">
        <f>VLOOKUP(H395,#REF!,2,FALSE)</f>
        <v>#REF!</v>
      </c>
    </row>
    <row r="396" spans="1:9" x14ac:dyDescent="0.25">
      <c r="A396" s="47" t="s">
        <v>781</v>
      </c>
      <c r="B396" s="47" t="s">
        <v>47</v>
      </c>
      <c r="C396" s="47" t="s">
        <v>838</v>
      </c>
      <c r="D396" s="47" t="s">
        <v>645</v>
      </c>
      <c r="E396" s="47" t="s">
        <v>646</v>
      </c>
      <c r="F396" s="47" t="s">
        <v>14</v>
      </c>
      <c r="G396" s="47" t="s">
        <v>112</v>
      </c>
      <c r="H396" s="47" t="e">
        <f>VLOOKUP(D396,#REF!,7,FALSE)</f>
        <v>#REF!</v>
      </c>
      <c r="I396" s="47" t="e">
        <f>VLOOKUP(H396,#REF!,2,FALSE)</f>
        <v>#REF!</v>
      </c>
    </row>
    <row r="397" spans="1:9" x14ac:dyDescent="0.25">
      <c r="A397" s="47" t="s">
        <v>781</v>
      </c>
      <c r="B397" s="47" t="s">
        <v>47</v>
      </c>
      <c r="C397" s="47" t="s">
        <v>839</v>
      </c>
      <c r="D397" s="47" t="s">
        <v>840</v>
      </c>
      <c r="E397" s="47" t="s">
        <v>841</v>
      </c>
      <c r="F397" s="47" t="s">
        <v>28</v>
      </c>
      <c r="G397" s="47" t="s">
        <v>792</v>
      </c>
      <c r="H397" s="47" t="e">
        <f>VLOOKUP(D397,#REF!,7,FALSE)</f>
        <v>#REF!</v>
      </c>
      <c r="I397" s="47" t="e">
        <f>VLOOKUP(H397,#REF!,2,FALSE)</f>
        <v>#REF!</v>
      </c>
    </row>
    <row r="398" spans="1:9" x14ac:dyDescent="0.25">
      <c r="A398" s="47" t="s">
        <v>781</v>
      </c>
      <c r="B398" s="47" t="s">
        <v>47</v>
      </c>
      <c r="C398" s="47" t="s">
        <v>842</v>
      </c>
      <c r="D398" s="47" t="s">
        <v>843</v>
      </c>
      <c r="E398" s="47" t="s">
        <v>844</v>
      </c>
      <c r="F398" s="47" t="s">
        <v>19</v>
      </c>
      <c r="G398" s="47" t="s">
        <v>91</v>
      </c>
      <c r="H398" s="47" t="e">
        <f>VLOOKUP(D398,#REF!,7,FALSE)</f>
        <v>#REF!</v>
      </c>
      <c r="I398" s="47" t="e">
        <f>VLOOKUP(H398,#REF!,2,FALSE)</f>
        <v>#REF!</v>
      </c>
    </row>
    <row r="399" spans="1:9" x14ac:dyDescent="0.25">
      <c r="A399" s="47" t="s">
        <v>781</v>
      </c>
      <c r="B399" s="47" t="s">
        <v>47</v>
      </c>
      <c r="C399" s="47" t="s">
        <v>805</v>
      </c>
      <c r="D399" s="47" t="s">
        <v>845</v>
      </c>
      <c r="E399" s="47" t="s">
        <v>846</v>
      </c>
      <c r="F399" s="47" t="s">
        <v>14</v>
      </c>
      <c r="G399" s="47" t="s">
        <v>103</v>
      </c>
      <c r="H399" s="47" t="e">
        <f>VLOOKUP(D399,#REF!,7,FALSE)</f>
        <v>#REF!</v>
      </c>
      <c r="I399" s="47" t="e">
        <f>VLOOKUP(H399,#REF!,2,FALSE)</f>
        <v>#REF!</v>
      </c>
    </row>
    <row r="400" spans="1:9" x14ac:dyDescent="0.25">
      <c r="A400" s="47" t="s">
        <v>781</v>
      </c>
      <c r="B400" s="47" t="s">
        <v>47</v>
      </c>
      <c r="C400" s="47" t="s">
        <v>784</v>
      </c>
      <c r="D400" s="47" t="s">
        <v>192</v>
      </c>
      <c r="E400" s="47" t="s">
        <v>193</v>
      </c>
      <c r="F400" s="47" t="s">
        <v>19</v>
      </c>
      <c r="G400" s="47" t="s">
        <v>20</v>
      </c>
      <c r="H400" s="47" t="e">
        <f>VLOOKUP(D400,#REF!,7,FALSE)</f>
        <v>#REF!</v>
      </c>
      <c r="I400" s="47" t="e">
        <f>VLOOKUP(H400,#REF!,2,FALSE)</f>
        <v>#REF!</v>
      </c>
    </row>
    <row r="401" spans="1:9" x14ac:dyDescent="0.25">
      <c r="A401" s="47" t="s">
        <v>781</v>
      </c>
      <c r="B401" s="47" t="s">
        <v>47</v>
      </c>
      <c r="C401" s="47" t="s">
        <v>808</v>
      </c>
      <c r="D401" s="47" t="s">
        <v>761</v>
      </c>
      <c r="E401" s="47" t="s">
        <v>762</v>
      </c>
      <c r="F401" s="47" t="s">
        <v>14</v>
      </c>
      <c r="G401" s="47" t="s">
        <v>29</v>
      </c>
      <c r="H401" s="47" t="e">
        <f>VLOOKUP(D401,#REF!,7,FALSE)</f>
        <v>#REF!</v>
      </c>
      <c r="I401" s="47" t="e">
        <f>VLOOKUP(H401,#REF!,2,FALSE)</f>
        <v>#REF!</v>
      </c>
    </row>
    <row r="402" spans="1:9" x14ac:dyDescent="0.25">
      <c r="A402" s="47" t="s">
        <v>812</v>
      </c>
      <c r="B402" s="47" t="s">
        <v>47</v>
      </c>
      <c r="C402" s="47" t="s">
        <v>847</v>
      </c>
      <c r="D402" s="47" t="s">
        <v>848</v>
      </c>
      <c r="E402" s="47" t="s">
        <v>849</v>
      </c>
      <c r="F402" s="47" t="s">
        <v>19</v>
      </c>
      <c r="G402" s="47" t="s">
        <v>33</v>
      </c>
      <c r="H402" s="47" t="e">
        <f>VLOOKUP(D402,#REF!,7,FALSE)</f>
        <v>#REF!</v>
      </c>
      <c r="I402" s="47" t="e">
        <f>VLOOKUP(H402,#REF!,2,FALSE)</f>
        <v>#REF!</v>
      </c>
    </row>
    <row r="403" spans="1:9" x14ac:dyDescent="0.25">
      <c r="A403" s="47" t="s">
        <v>781</v>
      </c>
      <c r="B403" s="47" t="s">
        <v>10</v>
      </c>
      <c r="C403" s="47" t="s">
        <v>850</v>
      </c>
      <c r="D403" s="47" t="s">
        <v>851</v>
      </c>
      <c r="E403" s="47" t="s">
        <v>852</v>
      </c>
      <c r="F403" s="47" t="s">
        <v>28</v>
      </c>
      <c r="G403" s="47" t="s">
        <v>792</v>
      </c>
      <c r="H403" s="47" t="e">
        <f>VLOOKUP(D403,#REF!,7,FALSE)</f>
        <v>#REF!</v>
      </c>
      <c r="I403" s="47" t="e">
        <f>VLOOKUP(H403,#REF!,2,FALSE)</f>
        <v>#REF!</v>
      </c>
    </row>
    <row r="404" spans="1:9" x14ac:dyDescent="0.25">
      <c r="A404" s="47" t="s">
        <v>812</v>
      </c>
      <c r="B404" s="47" t="s">
        <v>10</v>
      </c>
      <c r="C404" s="47" t="s">
        <v>819</v>
      </c>
      <c r="D404" s="47" t="s">
        <v>853</v>
      </c>
      <c r="E404" s="47" t="s">
        <v>854</v>
      </c>
      <c r="F404" s="47" t="s">
        <v>28</v>
      </c>
      <c r="G404" s="47" t="s">
        <v>70</v>
      </c>
      <c r="H404" s="47" t="e">
        <f>VLOOKUP(D404,#REF!,7,FALSE)</f>
        <v>#REF!</v>
      </c>
      <c r="I404" s="47" t="e">
        <f>VLOOKUP(H404,#REF!,2,FALSE)</f>
        <v>#REF!</v>
      </c>
    </row>
    <row r="405" spans="1:9" x14ac:dyDescent="0.25">
      <c r="A405" s="47" t="s">
        <v>781</v>
      </c>
      <c r="B405" s="47" t="s">
        <v>47</v>
      </c>
      <c r="C405" s="47" t="s">
        <v>855</v>
      </c>
      <c r="D405" s="47" t="s">
        <v>856</v>
      </c>
      <c r="E405" s="47" t="s">
        <v>857</v>
      </c>
      <c r="F405" s="47" t="s">
        <v>28</v>
      </c>
      <c r="G405" s="47" t="s">
        <v>70</v>
      </c>
      <c r="H405" s="47" t="e">
        <f>VLOOKUP(D405,#REF!,7,FALSE)</f>
        <v>#REF!</v>
      </c>
      <c r="I405" s="47" t="e">
        <f>VLOOKUP(H405,#REF!,2,FALSE)</f>
        <v>#REF!</v>
      </c>
    </row>
    <row r="406" spans="1:9" x14ac:dyDescent="0.25">
      <c r="A406" s="47" t="s">
        <v>812</v>
      </c>
      <c r="B406" s="47" t="s">
        <v>96</v>
      </c>
      <c r="C406" s="47" t="s">
        <v>1522</v>
      </c>
      <c r="D406" s="47" t="s">
        <v>817</v>
      </c>
      <c r="E406" s="47" t="s">
        <v>818</v>
      </c>
      <c r="F406" s="47" t="s">
        <v>28</v>
      </c>
      <c r="G406" s="47" t="s">
        <v>79</v>
      </c>
      <c r="H406" s="47" t="e">
        <f>VLOOKUP(D406,#REF!,7,FALSE)</f>
        <v>#REF!</v>
      </c>
      <c r="I406" s="47" t="e">
        <f>VLOOKUP(H406,#REF!,2,FALSE)</f>
        <v>#REF!</v>
      </c>
    </row>
    <row r="407" spans="1:9" x14ac:dyDescent="0.25">
      <c r="A407" s="47" t="s">
        <v>781</v>
      </c>
      <c r="B407" s="47" t="s">
        <v>47</v>
      </c>
      <c r="C407" s="47" t="s">
        <v>847</v>
      </c>
      <c r="D407" s="47" t="s">
        <v>861</v>
      </c>
      <c r="E407" s="47" t="s">
        <v>862</v>
      </c>
      <c r="F407" s="47" t="s">
        <v>19</v>
      </c>
      <c r="G407" s="47" t="s">
        <v>267</v>
      </c>
      <c r="H407" s="47" t="e">
        <f>VLOOKUP(D407,#REF!,7,FALSE)</f>
        <v>#REF!</v>
      </c>
      <c r="I407" s="47" t="e">
        <f>VLOOKUP(H407,#REF!,2,FALSE)</f>
        <v>#REF!</v>
      </c>
    </row>
    <row r="408" spans="1:9" x14ac:dyDescent="0.25">
      <c r="A408" s="47" t="s">
        <v>781</v>
      </c>
      <c r="B408" s="47" t="s">
        <v>47</v>
      </c>
      <c r="C408" s="47" t="s">
        <v>863</v>
      </c>
      <c r="D408" s="47" t="s">
        <v>864</v>
      </c>
      <c r="E408" s="47" t="s">
        <v>865</v>
      </c>
      <c r="F408" s="47" t="s">
        <v>14</v>
      </c>
      <c r="G408" s="47" t="s">
        <v>46</v>
      </c>
      <c r="H408" s="47" t="e">
        <f>VLOOKUP(D408,#REF!,7,FALSE)</f>
        <v>#REF!</v>
      </c>
      <c r="I408" s="47" t="e">
        <f>VLOOKUP(H408,#REF!,2,FALSE)</f>
        <v>#REF!</v>
      </c>
    </row>
    <row r="409" spans="1:9" x14ac:dyDescent="0.25">
      <c r="A409" s="47" t="s">
        <v>781</v>
      </c>
      <c r="B409" s="47" t="s">
        <v>47</v>
      </c>
      <c r="C409" s="47" t="s">
        <v>826</v>
      </c>
      <c r="D409" s="47" t="s">
        <v>866</v>
      </c>
      <c r="E409" s="47" t="s">
        <v>867</v>
      </c>
      <c r="F409" s="47" t="s">
        <v>14</v>
      </c>
      <c r="G409" s="47" t="s">
        <v>368</v>
      </c>
      <c r="H409" s="47" t="e">
        <f>VLOOKUP(D409,#REF!,7,FALSE)</f>
        <v>#REF!</v>
      </c>
      <c r="I409" s="47" t="e">
        <f>VLOOKUP(H409,#REF!,2,FALSE)</f>
        <v>#REF!</v>
      </c>
    </row>
    <row r="410" spans="1:9" x14ac:dyDescent="0.25">
      <c r="A410" s="47" t="s">
        <v>781</v>
      </c>
      <c r="B410" s="47" t="s">
        <v>47</v>
      </c>
      <c r="C410" s="47" t="s">
        <v>786</v>
      </c>
      <c r="D410" s="47" t="s">
        <v>561</v>
      </c>
      <c r="E410" s="47" t="s">
        <v>562</v>
      </c>
      <c r="F410" s="47" t="s">
        <v>14</v>
      </c>
      <c r="G410" s="47" t="s">
        <v>65</v>
      </c>
      <c r="H410" s="47" t="e">
        <f>VLOOKUP(D410,#REF!,7,FALSE)</f>
        <v>#REF!</v>
      </c>
      <c r="I410" s="47" t="e">
        <f>VLOOKUP(H410,#REF!,2,FALSE)</f>
        <v>#REF!</v>
      </c>
    </row>
    <row r="411" spans="1:9" x14ac:dyDescent="0.25">
      <c r="A411" s="47" t="s">
        <v>781</v>
      </c>
      <c r="B411" s="47" t="s">
        <v>47</v>
      </c>
      <c r="C411" s="47" t="s">
        <v>868</v>
      </c>
      <c r="D411" s="47" t="s">
        <v>869</v>
      </c>
      <c r="E411" s="47" t="s">
        <v>870</v>
      </c>
      <c r="F411" s="47" t="s">
        <v>19</v>
      </c>
      <c r="G411" s="47" t="s">
        <v>241</v>
      </c>
      <c r="H411" s="47" t="e">
        <f>VLOOKUP(D411,#REF!,7,FALSE)</f>
        <v>#REF!</v>
      </c>
      <c r="I411" s="47" t="e">
        <f>VLOOKUP(H411,#REF!,2,FALSE)</f>
        <v>#REF!</v>
      </c>
    </row>
    <row r="412" spans="1:9" x14ac:dyDescent="0.25">
      <c r="A412" s="47" t="s">
        <v>781</v>
      </c>
      <c r="B412" s="47" t="s">
        <v>47</v>
      </c>
      <c r="C412" s="47" t="s">
        <v>811</v>
      </c>
      <c r="D412" s="47" t="s">
        <v>729</v>
      </c>
      <c r="E412" s="47" t="s">
        <v>730</v>
      </c>
      <c r="F412" s="47" t="s">
        <v>19</v>
      </c>
      <c r="G412" s="47" t="s">
        <v>237</v>
      </c>
      <c r="H412" s="47" t="e">
        <f>VLOOKUP(D412,#REF!,7,FALSE)</f>
        <v>#REF!</v>
      </c>
      <c r="I412" s="47" t="e">
        <f>VLOOKUP(H412,#REF!,2,FALSE)</f>
        <v>#REF!</v>
      </c>
    </row>
    <row r="413" spans="1:9" x14ac:dyDescent="0.25">
      <c r="A413" s="47" t="s">
        <v>781</v>
      </c>
      <c r="B413" s="47" t="s">
        <v>47</v>
      </c>
      <c r="C413" s="47" t="s">
        <v>785</v>
      </c>
      <c r="D413" s="47" t="s">
        <v>739</v>
      </c>
      <c r="E413" s="47" t="s">
        <v>740</v>
      </c>
      <c r="F413" s="47" t="s">
        <v>19</v>
      </c>
      <c r="G413" s="47" t="s">
        <v>287</v>
      </c>
      <c r="H413" s="47" t="e">
        <f>VLOOKUP(D413,#REF!,7,FALSE)</f>
        <v>#REF!</v>
      </c>
      <c r="I413" s="47" t="e">
        <f>VLOOKUP(H413,#REF!,2,FALSE)</f>
        <v>#REF!</v>
      </c>
    </row>
    <row r="414" spans="1:9" x14ac:dyDescent="0.25">
      <c r="A414" s="47" t="s">
        <v>781</v>
      </c>
      <c r="B414" s="47" t="s">
        <v>96</v>
      </c>
      <c r="C414" s="47" t="s">
        <v>871</v>
      </c>
      <c r="D414" s="47" t="s">
        <v>872</v>
      </c>
      <c r="E414" s="47" t="s">
        <v>873</v>
      </c>
      <c r="F414" s="47" t="s">
        <v>19</v>
      </c>
      <c r="G414" s="47" t="s">
        <v>91</v>
      </c>
      <c r="H414" s="47" t="e">
        <f>VLOOKUP(D414,#REF!,7,FALSE)</f>
        <v>#REF!</v>
      </c>
      <c r="I414" s="47" t="e">
        <f>VLOOKUP(H414,#REF!,2,FALSE)</f>
        <v>#REF!</v>
      </c>
    </row>
    <row r="415" spans="1:9" x14ac:dyDescent="0.25">
      <c r="A415" s="47" t="s">
        <v>781</v>
      </c>
      <c r="B415" s="47" t="s">
        <v>47</v>
      </c>
      <c r="C415" s="47" t="s">
        <v>535</v>
      </c>
      <c r="D415" s="47" t="s">
        <v>661</v>
      </c>
      <c r="E415" s="47" t="s">
        <v>662</v>
      </c>
      <c r="F415" s="47" t="s">
        <v>19</v>
      </c>
      <c r="G415" s="47" t="s">
        <v>79</v>
      </c>
      <c r="H415" s="47" t="e">
        <f>VLOOKUP(D415,#REF!,7,FALSE)</f>
        <v>#REF!</v>
      </c>
      <c r="I415" s="47" t="e">
        <f>VLOOKUP(H415,#REF!,2,FALSE)</f>
        <v>#REF!</v>
      </c>
    </row>
    <row r="416" spans="1:9" x14ac:dyDescent="0.25">
      <c r="A416" s="47" t="s">
        <v>781</v>
      </c>
      <c r="B416" s="47" t="s">
        <v>96</v>
      </c>
      <c r="C416" s="47" t="s">
        <v>850</v>
      </c>
      <c r="D416" s="47" t="s">
        <v>876</v>
      </c>
      <c r="E416" s="47" t="s">
        <v>877</v>
      </c>
      <c r="F416" s="47" t="s">
        <v>28</v>
      </c>
      <c r="G416" s="47" t="s">
        <v>70</v>
      </c>
      <c r="H416" s="47" t="e">
        <f>VLOOKUP(D416,#REF!,7,FALSE)</f>
        <v>#REF!</v>
      </c>
      <c r="I416" s="47" t="e">
        <f>VLOOKUP(H416,#REF!,2,FALSE)</f>
        <v>#REF!</v>
      </c>
    </row>
    <row r="417" spans="1:9" x14ac:dyDescent="0.25">
      <c r="A417" s="47" t="s">
        <v>781</v>
      </c>
      <c r="B417" s="47" t="s">
        <v>96</v>
      </c>
      <c r="C417" s="47" t="s">
        <v>794</v>
      </c>
      <c r="D417" s="47" t="s">
        <v>878</v>
      </c>
      <c r="E417" s="47" t="s">
        <v>879</v>
      </c>
      <c r="F417" s="47" t="s">
        <v>14</v>
      </c>
      <c r="G417" s="47" t="s">
        <v>220</v>
      </c>
      <c r="H417" s="47" t="e">
        <f>VLOOKUP(D417,#REF!,7,FALSE)</f>
        <v>#REF!</v>
      </c>
      <c r="I417" s="47" t="e">
        <f>VLOOKUP(H417,#REF!,2,FALSE)</f>
        <v>#REF!</v>
      </c>
    </row>
    <row r="418" spans="1:9" x14ac:dyDescent="0.25">
      <c r="A418" s="47" t="s">
        <v>781</v>
      </c>
      <c r="B418" s="47" t="s">
        <v>47</v>
      </c>
      <c r="C418" s="47" t="s">
        <v>880</v>
      </c>
      <c r="D418" s="47" t="s">
        <v>881</v>
      </c>
      <c r="E418" s="47" t="s">
        <v>882</v>
      </c>
      <c r="F418" s="47" t="s">
        <v>14</v>
      </c>
      <c r="G418" s="47" t="s">
        <v>363</v>
      </c>
      <c r="H418" s="47" t="e">
        <f>VLOOKUP(D418,#REF!,7,FALSE)</f>
        <v>#REF!</v>
      </c>
      <c r="I418" s="47" t="e">
        <f>VLOOKUP(H418,#REF!,2,FALSE)</f>
        <v>#REF!</v>
      </c>
    </row>
    <row r="419" spans="1:9" x14ac:dyDescent="0.25">
      <c r="A419" s="47" t="s">
        <v>781</v>
      </c>
      <c r="B419" s="47" t="s">
        <v>96</v>
      </c>
      <c r="C419" s="47" t="s">
        <v>883</v>
      </c>
      <c r="D419" s="47" t="s">
        <v>884</v>
      </c>
      <c r="E419" s="47" t="s">
        <v>885</v>
      </c>
      <c r="F419" s="47" t="s">
        <v>19</v>
      </c>
      <c r="G419" s="47" t="s">
        <v>46</v>
      </c>
      <c r="H419" s="47" t="e">
        <f>VLOOKUP(D419,#REF!,7,FALSE)</f>
        <v>#REF!</v>
      </c>
      <c r="I419" s="47" t="e">
        <f>VLOOKUP(H419,#REF!,2,FALSE)</f>
        <v>#REF!</v>
      </c>
    </row>
    <row r="420" spans="1:9" x14ac:dyDescent="0.25">
      <c r="A420" s="47" t="s">
        <v>812</v>
      </c>
      <c r="B420" s="47" t="s">
        <v>10</v>
      </c>
      <c r="C420" s="47" t="s">
        <v>886</v>
      </c>
      <c r="D420" s="47" t="s">
        <v>887</v>
      </c>
      <c r="E420" s="47" t="s">
        <v>888</v>
      </c>
      <c r="F420" s="47" t="s">
        <v>19</v>
      </c>
      <c r="G420" s="47" t="s">
        <v>61</v>
      </c>
      <c r="H420" s="47" t="e">
        <f>VLOOKUP(D420,#REF!,7,FALSE)</f>
        <v>#REF!</v>
      </c>
      <c r="I420" s="47" t="e">
        <f>VLOOKUP(H420,#REF!,2,FALSE)</f>
        <v>#REF!</v>
      </c>
    </row>
    <row r="421" spans="1:9" x14ac:dyDescent="0.25">
      <c r="A421" s="47" t="s">
        <v>781</v>
      </c>
      <c r="B421" s="47" t="s">
        <v>96</v>
      </c>
      <c r="C421" s="47" t="s">
        <v>827</v>
      </c>
      <c r="D421" s="47" t="s">
        <v>889</v>
      </c>
      <c r="E421" s="47" t="s">
        <v>570</v>
      </c>
      <c r="F421" s="47" t="s">
        <v>19</v>
      </c>
      <c r="G421" s="47" t="s">
        <v>15</v>
      </c>
      <c r="H421" s="47" t="e">
        <f>VLOOKUP(D421,#REF!,7,FALSE)</f>
        <v>#REF!</v>
      </c>
      <c r="I421" s="47" t="e">
        <f>VLOOKUP(H421,#REF!,2,FALSE)</f>
        <v>#REF!</v>
      </c>
    </row>
    <row r="422" spans="1:9" x14ac:dyDescent="0.25">
      <c r="A422" s="47" t="s">
        <v>781</v>
      </c>
      <c r="B422" s="47" t="s">
        <v>96</v>
      </c>
      <c r="C422" s="47" t="s">
        <v>890</v>
      </c>
      <c r="D422" s="47" t="s">
        <v>891</v>
      </c>
      <c r="E422" s="47" t="s">
        <v>892</v>
      </c>
      <c r="F422" s="47" t="s">
        <v>14</v>
      </c>
      <c r="G422" s="47" t="s">
        <v>103</v>
      </c>
      <c r="H422" s="47" t="e">
        <f>VLOOKUP(D422,#REF!,7,FALSE)</f>
        <v>#REF!</v>
      </c>
      <c r="I422" s="47" t="e">
        <f>VLOOKUP(H422,#REF!,2,FALSE)</f>
        <v>#REF!</v>
      </c>
    </row>
    <row r="423" spans="1:9" x14ac:dyDescent="0.25">
      <c r="A423" s="47" t="s">
        <v>812</v>
      </c>
      <c r="B423" s="47" t="s">
        <v>47</v>
      </c>
      <c r="C423" s="47" t="s">
        <v>786</v>
      </c>
      <c r="D423" s="47" t="s">
        <v>893</v>
      </c>
      <c r="E423" s="47" t="s">
        <v>894</v>
      </c>
      <c r="F423" s="47" t="s">
        <v>14</v>
      </c>
      <c r="G423" s="47" t="s">
        <v>29</v>
      </c>
      <c r="H423" s="47" t="e">
        <f>VLOOKUP(D423,#REF!,7,FALSE)</f>
        <v>#REF!</v>
      </c>
      <c r="I423" s="47" t="e">
        <f>VLOOKUP(H423,#REF!,2,FALSE)</f>
        <v>#REF!</v>
      </c>
    </row>
    <row r="424" spans="1:9" x14ac:dyDescent="0.25">
      <c r="A424" s="47" t="s">
        <v>781</v>
      </c>
      <c r="B424" s="47" t="s">
        <v>96</v>
      </c>
      <c r="C424" s="47" t="s">
        <v>786</v>
      </c>
      <c r="D424" s="47" t="s">
        <v>895</v>
      </c>
      <c r="E424" s="47" t="s">
        <v>896</v>
      </c>
      <c r="F424" s="47" t="s">
        <v>14</v>
      </c>
      <c r="G424" s="47" t="s">
        <v>368</v>
      </c>
      <c r="H424" s="47" t="e">
        <f>VLOOKUP(D424,#REF!,7,FALSE)</f>
        <v>#REF!</v>
      </c>
      <c r="I424" s="47" t="e">
        <f>VLOOKUP(H424,#REF!,2,FALSE)</f>
        <v>#REF!</v>
      </c>
    </row>
    <row r="425" spans="1:9" x14ac:dyDescent="0.25">
      <c r="A425" s="47" t="s">
        <v>812</v>
      </c>
      <c r="B425" s="47" t="s">
        <v>140</v>
      </c>
      <c r="C425" s="47" t="s">
        <v>819</v>
      </c>
      <c r="D425" s="47" t="s">
        <v>897</v>
      </c>
      <c r="E425" s="47" t="s">
        <v>898</v>
      </c>
      <c r="F425" s="47" t="s">
        <v>28</v>
      </c>
      <c r="G425" s="47" t="s">
        <v>70</v>
      </c>
      <c r="H425" s="47" t="e">
        <f>VLOOKUP(D425,#REF!,7,FALSE)</f>
        <v>#REF!</v>
      </c>
      <c r="I425" s="47" t="e">
        <f>VLOOKUP(H425,#REF!,2,FALSE)</f>
        <v>#REF!</v>
      </c>
    </row>
    <row r="426" spans="1:9" x14ac:dyDescent="0.25">
      <c r="A426" s="47" t="s">
        <v>781</v>
      </c>
      <c r="B426" s="47" t="s">
        <v>96</v>
      </c>
      <c r="C426" s="47" t="s">
        <v>899</v>
      </c>
      <c r="D426" s="47" t="s">
        <v>900</v>
      </c>
      <c r="E426" s="47" t="s">
        <v>901</v>
      </c>
      <c r="F426" s="47" t="s">
        <v>28</v>
      </c>
      <c r="G426" s="47" t="s">
        <v>267</v>
      </c>
      <c r="H426" s="47" t="e">
        <f>VLOOKUP(D426,#REF!,7,FALSE)</f>
        <v>#REF!</v>
      </c>
      <c r="I426" s="47" t="e">
        <f>VLOOKUP(H426,#REF!,2,FALSE)</f>
        <v>#REF!</v>
      </c>
    </row>
    <row r="427" spans="1:9" x14ac:dyDescent="0.25">
      <c r="A427" s="47" t="s">
        <v>781</v>
      </c>
      <c r="B427" s="47" t="s">
        <v>47</v>
      </c>
      <c r="C427" s="47" t="s">
        <v>858</v>
      </c>
      <c r="D427" s="47" t="s">
        <v>902</v>
      </c>
      <c r="E427" s="47" t="s">
        <v>903</v>
      </c>
      <c r="F427" s="47" t="s">
        <v>28</v>
      </c>
      <c r="G427" s="47" t="s">
        <v>79</v>
      </c>
      <c r="H427" s="47" t="e">
        <f>VLOOKUP(D427,#REF!,7,FALSE)</f>
        <v>#REF!</v>
      </c>
      <c r="I427" s="47" t="e">
        <f>VLOOKUP(H427,#REF!,2,FALSE)</f>
        <v>#REF!</v>
      </c>
    </row>
    <row r="428" spans="1:9" x14ac:dyDescent="0.25">
      <c r="A428" s="47" t="s">
        <v>781</v>
      </c>
      <c r="B428" s="47" t="s">
        <v>96</v>
      </c>
      <c r="C428" s="47" t="s">
        <v>904</v>
      </c>
      <c r="D428" s="47" t="s">
        <v>905</v>
      </c>
      <c r="E428" s="47" t="s">
        <v>726</v>
      </c>
      <c r="F428" s="47" t="s">
        <v>28</v>
      </c>
      <c r="G428" s="47" t="s">
        <v>55</v>
      </c>
      <c r="H428" s="47" t="e">
        <f>VLOOKUP(D428,#REF!,7,FALSE)</f>
        <v>#REF!</v>
      </c>
      <c r="I428" s="47" t="e">
        <f>VLOOKUP(H428,#REF!,2,FALSE)</f>
        <v>#REF!</v>
      </c>
    </row>
    <row r="429" spans="1:9" x14ac:dyDescent="0.25">
      <c r="A429" s="47" t="s">
        <v>812</v>
      </c>
      <c r="B429" s="47" t="s">
        <v>96</v>
      </c>
      <c r="C429" s="47" t="s">
        <v>819</v>
      </c>
      <c r="D429" s="47" t="s">
        <v>906</v>
      </c>
      <c r="E429" s="47" t="s">
        <v>907</v>
      </c>
      <c r="F429" s="47" t="s">
        <v>28</v>
      </c>
      <c r="G429" s="47" t="s">
        <v>822</v>
      </c>
      <c r="H429" s="47" t="e">
        <f>VLOOKUP(D429,#REF!,7,FALSE)</f>
        <v>#REF!</v>
      </c>
      <c r="I429" s="47" t="e">
        <f>VLOOKUP(H429,#REF!,2,FALSE)</f>
        <v>#REF!</v>
      </c>
    </row>
    <row r="430" spans="1:9" x14ac:dyDescent="0.25">
      <c r="A430" s="47" t="s">
        <v>781</v>
      </c>
      <c r="B430" s="47" t="s">
        <v>47</v>
      </c>
      <c r="C430" s="47" t="s">
        <v>908</v>
      </c>
      <c r="D430" s="47" t="s">
        <v>909</v>
      </c>
      <c r="E430" s="47" t="s">
        <v>910</v>
      </c>
      <c r="F430" s="47" t="s">
        <v>28</v>
      </c>
      <c r="G430" s="47" t="s">
        <v>822</v>
      </c>
      <c r="H430" s="47" t="e">
        <f>VLOOKUP(D430,#REF!,7,FALSE)</f>
        <v>#REF!</v>
      </c>
      <c r="I430" s="47" t="e">
        <f>VLOOKUP(H430,#REF!,2,FALSE)</f>
        <v>#REF!</v>
      </c>
    </row>
    <row r="431" spans="1:9" x14ac:dyDescent="0.25">
      <c r="A431" s="47" t="s">
        <v>781</v>
      </c>
      <c r="B431" s="47" t="s">
        <v>140</v>
      </c>
      <c r="C431" s="47" t="s">
        <v>808</v>
      </c>
      <c r="D431" s="47" t="s">
        <v>911</v>
      </c>
      <c r="E431" s="47" t="s">
        <v>912</v>
      </c>
      <c r="F431" s="47" t="s">
        <v>14</v>
      </c>
      <c r="G431" s="47" t="s">
        <v>492</v>
      </c>
      <c r="H431" s="47" t="e">
        <f>VLOOKUP(D431,#REF!,7,FALSE)</f>
        <v>#REF!</v>
      </c>
      <c r="I431" s="47" t="e">
        <f>VLOOKUP(H431,#REF!,2,FALSE)</f>
        <v>#REF!</v>
      </c>
    </row>
    <row r="432" spans="1:9" x14ac:dyDescent="0.25">
      <c r="A432" s="47" t="s">
        <v>781</v>
      </c>
      <c r="B432" s="47" t="s">
        <v>96</v>
      </c>
      <c r="C432" s="47" t="s">
        <v>913</v>
      </c>
      <c r="D432" s="47" t="s">
        <v>206</v>
      </c>
      <c r="E432" s="47" t="s">
        <v>207</v>
      </c>
      <c r="F432" s="47" t="s">
        <v>28</v>
      </c>
      <c r="G432" s="47" t="s">
        <v>112</v>
      </c>
      <c r="H432" s="47" t="e">
        <f>VLOOKUP(D432,#REF!,7,FALSE)</f>
        <v>#REF!</v>
      </c>
      <c r="I432" s="47" t="e">
        <f>VLOOKUP(H432,#REF!,2,FALSE)</f>
        <v>#REF!</v>
      </c>
    </row>
    <row r="433" spans="1:9" x14ac:dyDescent="0.25">
      <c r="A433" s="47" t="s">
        <v>781</v>
      </c>
      <c r="B433" s="47" t="s">
        <v>96</v>
      </c>
      <c r="C433" s="47" t="s">
        <v>914</v>
      </c>
      <c r="D433" s="47" t="s">
        <v>915</v>
      </c>
      <c r="E433" s="47" t="s">
        <v>916</v>
      </c>
      <c r="F433" s="47" t="s">
        <v>19</v>
      </c>
      <c r="G433" s="47" t="s">
        <v>792</v>
      </c>
      <c r="H433" s="47" t="e">
        <f>VLOOKUP(D433,#REF!,7,FALSE)</f>
        <v>#REF!</v>
      </c>
      <c r="I433" s="47" t="e">
        <f>VLOOKUP(H433,#REF!,2,FALSE)</f>
        <v>#REF!</v>
      </c>
    </row>
    <row r="434" spans="1:9" x14ac:dyDescent="0.25">
      <c r="A434" s="47" t="s">
        <v>781</v>
      </c>
      <c r="B434" s="47" t="s">
        <v>96</v>
      </c>
      <c r="C434" s="47" t="s">
        <v>868</v>
      </c>
      <c r="D434" s="47" t="s">
        <v>917</v>
      </c>
      <c r="E434" s="47" t="s">
        <v>918</v>
      </c>
      <c r="F434" s="47" t="s">
        <v>19</v>
      </c>
      <c r="G434" s="47" t="s">
        <v>33</v>
      </c>
      <c r="H434" s="47" t="e">
        <f>VLOOKUP(D434,#REF!,7,FALSE)</f>
        <v>#REF!</v>
      </c>
      <c r="I434" s="47" t="e">
        <f>VLOOKUP(H434,#REF!,2,FALSE)</f>
        <v>#REF!</v>
      </c>
    </row>
    <row r="435" spans="1:9" x14ac:dyDescent="0.25">
      <c r="A435" s="47" t="s">
        <v>781</v>
      </c>
      <c r="B435" s="47" t="s">
        <v>96</v>
      </c>
      <c r="C435" s="47" t="s">
        <v>919</v>
      </c>
      <c r="D435" s="47" t="s">
        <v>569</v>
      </c>
      <c r="E435" s="47" t="s">
        <v>570</v>
      </c>
      <c r="F435" s="47" t="s">
        <v>19</v>
      </c>
      <c r="G435" s="47" t="s">
        <v>83</v>
      </c>
      <c r="H435" s="47" t="e">
        <f>VLOOKUP(D435,#REF!,7,FALSE)</f>
        <v>#REF!</v>
      </c>
      <c r="I435" s="47" t="e">
        <f>VLOOKUP(H435,#REF!,2,FALSE)</f>
        <v>#REF!</v>
      </c>
    </row>
    <row r="436" spans="1:9" x14ac:dyDescent="0.25">
      <c r="A436" s="47" t="s">
        <v>781</v>
      </c>
      <c r="B436" s="47" t="s">
        <v>96</v>
      </c>
      <c r="C436" s="47" t="s">
        <v>920</v>
      </c>
      <c r="D436" s="47" t="s">
        <v>921</v>
      </c>
      <c r="E436" s="47" t="s">
        <v>922</v>
      </c>
      <c r="F436" s="47" t="s">
        <v>19</v>
      </c>
      <c r="G436" s="47" t="s">
        <v>61</v>
      </c>
      <c r="H436" s="47" t="e">
        <f>VLOOKUP(D436,#REF!,7,FALSE)</f>
        <v>#REF!</v>
      </c>
      <c r="I436" s="47" t="e">
        <f>VLOOKUP(H436,#REF!,2,FALSE)</f>
        <v>#REF!</v>
      </c>
    </row>
    <row r="437" spans="1:9" x14ac:dyDescent="0.25">
      <c r="A437" s="47" t="s">
        <v>781</v>
      </c>
      <c r="B437" s="47" t="s">
        <v>140</v>
      </c>
      <c r="C437" s="47" t="s">
        <v>785</v>
      </c>
      <c r="D437" s="47" t="s">
        <v>529</v>
      </c>
      <c r="E437" s="47" t="s">
        <v>530</v>
      </c>
      <c r="F437" s="47" t="s">
        <v>19</v>
      </c>
      <c r="G437" s="47" t="s">
        <v>287</v>
      </c>
      <c r="H437" s="47" t="e">
        <f>VLOOKUP(D437,#REF!,7,FALSE)</f>
        <v>#REF!</v>
      </c>
      <c r="I437" s="47" t="e">
        <f>VLOOKUP(H437,#REF!,2,FALSE)</f>
        <v>#REF!</v>
      </c>
    </row>
    <row r="438" spans="1:9" x14ac:dyDescent="0.25">
      <c r="A438" s="47" t="s">
        <v>781</v>
      </c>
      <c r="B438" s="47" t="s">
        <v>10</v>
      </c>
      <c r="C438" s="47" t="s">
        <v>401</v>
      </c>
      <c r="D438" s="47" t="s">
        <v>402</v>
      </c>
      <c r="E438" s="47" t="s">
        <v>403</v>
      </c>
      <c r="F438" s="47" t="s">
        <v>19</v>
      </c>
      <c r="G438" s="47" t="s">
        <v>87</v>
      </c>
      <c r="H438" s="47" t="e">
        <f>VLOOKUP(D438,#REF!,7,FALSE)</f>
        <v>#REF!</v>
      </c>
      <c r="I438" s="47" t="e">
        <f>VLOOKUP(H438,#REF!,2,FALSE)</f>
        <v>#REF!</v>
      </c>
    </row>
    <row r="439" spans="1:9" x14ac:dyDescent="0.25">
      <c r="A439" s="47" t="s">
        <v>781</v>
      </c>
      <c r="B439" s="47" t="s">
        <v>119</v>
      </c>
      <c r="C439" s="47" t="s">
        <v>120</v>
      </c>
      <c r="D439" s="47" t="s">
        <v>121</v>
      </c>
      <c r="E439" s="47" t="s">
        <v>122</v>
      </c>
      <c r="F439" s="47" t="s">
        <v>37</v>
      </c>
      <c r="G439" s="47" t="s">
        <v>123</v>
      </c>
      <c r="H439" s="47" t="e">
        <f>VLOOKUP(D439,#REF!,7,FALSE)</f>
        <v>#REF!</v>
      </c>
      <c r="I439" s="47" t="e">
        <f>VLOOKUP(H439,#REF!,2,FALSE)</f>
        <v>#REF!</v>
      </c>
    </row>
    <row r="440" spans="1:9" x14ac:dyDescent="0.25">
      <c r="A440" s="47" t="s">
        <v>781</v>
      </c>
      <c r="B440" s="47" t="s">
        <v>119</v>
      </c>
      <c r="C440" s="47" t="s">
        <v>129</v>
      </c>
      <c r="D440" s="47" t="s">
        <v>279</v>
      </c>
      <c r="E440" s="47" t="s">
        <v>280</v>
      </c>
      <c r="F440" s="47" t="s">
        <v>37</v>
      </c>
      <c r="G440" s="47" t="s">
        <v>42</v>
      </c>
      <c r="H440" s="47" t="e">
        <f>VLOOKUP(D440,#REF!,7,FALSE)</f>
        <v>#REF!</v>
      </c>
      <c r="I440" s="47" t="e">
        <f>VLOOKUP(H440,#REF!,2,FALSE)</f>
        <v>#REF!</v>
      </c>
    </row>
    <row r="441" spans="1:9" x14ac:dyDescent="0.25">
      <c r="A441" s="47" t="s">
        <v>781</v>
      </c>
      <c r="B441" s="47" t="s">
        <v>119</v>
      </c>
      <c r="C441" s="47" t="s">
        <v>823</v>
      </c>
      <c r="D441" s="47" t="s">
        <v>924</v>
      </c>
      <c r="E441" s="47" t="s">
        <v>925</v>
      </c>
      <c r="F441" s="47" t="s">
        <v>37</v>
      </c>
      <c r="G441" s="47" t="s">
        <v>136</v>
      </c>
      <c r="H441" s="47" t="e">
        <f>VLOOKUP(D441,#REF!,7,FALSE)</f>
        <v>#REF!</v>
      </c>
      <c r="I441" s="47" t="e">
        <f>VLOOKUP(H441,#REF!,2,FALSE)</f>
        <v>#REF!</v>
      </c>
    </row>
    <row r="442" spans="1:9" x14ac:dyDescent="0.25">
      <c r="A442" s="47" t="s">
        <v>781</v>
      </c>
      <c r="B442" s="47" t="s">
        <v>119</v>
      </c>
      <c r="C442" s="47" t="s">
        <v>163</v>
      </c>
      <c r="D442" s="47" t="s">
        <v>270</v>
      </c>
      <c r="E442" s="47" t="s">
        <v>271</v>
      </c>
      <c r="F442" s="47" t="s">
        <v>37</v>
      </c>
      <c r="G442" s="47" t="s">
        <v>793</v>
      </c>
      <c r="H442" s="47" t="e">
        <f>VLOOKUP(D442,#REF!,7,FALSE)</f>
        <v>#REF!</v>
      </c>
      <c r="I442" s="47" t="e">
        <f>VLOOKUP(H442,#REF!,2,FALSE)</f>
        <v>#REF!</v>
      </c>
    </row>
    <row r="443" spans="1:9" x14ac:dyDescent="0.25">
      <c r="A443" s="47" t="s">
        <v>781</v>
      </c>
      <c r="B443" s="47" t="s">
        <v>119</v>
      </c>
      <c r="C443" s="47" t="s">
        <v>34</v>
      </c>
      <c r="D443" s="47" t="s">
        <v>126</v>
      </c>
      <c r="E443" s="47" t="s">
        <v>127</v>
      </c>
      <c r="F443" s="47" t="s">
        <v>37</v>
      </c>
      <c r="G443" s="47" t="s">
        <v>38</v>
      </c>
      <c r="H443" s="47" t="e">
        <f>VLOOKUP(D443,#REF!,7,FALSE)</f>
        <v>#REF!</v>
      </c>
      <c r="I443" s="47" t="e">
        <f>VLOOKUP(H443,#REF!,2,FALSE)</f>
        <v>#REF!</v>
      </c>
    </row>
    <row r="444" spans="1:9" x14ac:dyDescent="0.25">
      <c r="A444" s="47" t="s">
        <v>781</v>
      </c>
      <c r="B444" s="47" t="s">
        <v>119</v>
      </c>
      <c r="C444" s="47" t="s">
        <v>39</v>
      </c>
      <c r="D444" s="47" t="s">
        <v>306</v>
      </c>
      <c r="E444" s="47" t="s">
        <v>307</v>
      </c>
      <c r="F444" s="47" t="s">
        <v>37</v>
      </c>
      <c r="G444" s="47" t="s">
        <v>38</v>
      </c>
      <c r="H444" s="47" t="e">
        <f>VLOOKUP(D444,#REF!,7,FALSE)</f>
        <v>#REF!</v>
      </c>
      <c r="I444" s="47" t="e">
        <f>VLOOKUP(H444,#REF!,2,FALSE)</f>
        <v>#REF!</v>
      </c>
    </row>
    <row r="445" spans="1:9" x14ac:dyDescent="0.25">
      <c r="A445" s="47" t="s">
        <v>781</v>
      </c>
      <c r="B445" s="47" t="s">
        <v>119</v>
      </c>
      <c r="C445" s="47" t="s">
        <v>180</v>
      </c>
      <c r="D445" s="47" t="s">
        <v>274</v>
      </c>
      <c r="E445" s="47" t="s">
        <v>275</v>
      </c>
      <c r="F445" s="47" t="s">
        <v>37</v>
      </c>
      <c r="G445" s="47" t="s">
        <v>132</v>
      </c>
      <c r="H445" s="47" t="e">
        <f>VLOOKUP(D445,#REF!,7,FALSE)</f>
        <v>#REF!</v>
      </c>
      <c r="I445" s="47" t="e">
        <f>VLOOKUP(H445,#REF!,2,FALSE)</f>
        <v>#REF!</v>
      </c>
    </row>
    <row r="446" spans="1:9" x14ac:dyDescent="0.25">
      <c r="A446" s="47" t="s">
        <v>781</v>
      </c>
      <c r="B446" s="47" t="s">
        <v>119</v>
      </c>
      <c r="C446" s="47" t="s">
        <v>160</v>
      </c>
      <c r="D446" s="47" t="s">
        <v>183</v>
      </c>
      <c r="E446" s="47" t="s">
        <v>184</v>
      </c>
      <c r="F446" s="47" t="s">
        <v>37</v>
      </c>
      <c r="G446" s="47" t="s">
        <v>308</v>
      </c>
      <c r="H446" s="47" t="e">
        <f>VLOOKUP(D446,#REF!,7,FALSE)</f>
        <v>#REF!</v>
      </c>
      <c r="I446" s="47" t="e">
        <f>VLOOKUP(H446,#REF!,2,FALSE)</f>
        <v>#REF!</v>
      </c>
    </row>
    <row r="447" spans="1:9" x14ac:dyDescent="0.25">
      <c r="A447" s="47" t="s">
        <v>781</v>
      </c>
      <c r="B447" s="47" t="s">
        <v>140</v>
      </c>
      <c r="C447" s="47" t="s">
        <v>839</v>
      </c>
      <c r="D447" s="47" t="s">
        <v>926</v>
      </c>
      <c r="E447" s="47" t="s">
        <v>927</v>
      </c>
      <c r="F447" s="47" t="s">
        <v>28</v>
      </c>
      <c r="G447" s="47" t="s">
        <v>15</v>
      </c>
      <c r="H447" s="47" t="e">
        <f>VLOOKUP(D447,#REF!,7,FALSE)</f>
        <v>#REF!</v>
      </c>
      <c r="I447" s="47" t="e">
        <f>VLOOKUP(H447,#REF!,2,FALSE)</f>
        <v>#REF!</v>
      </c>
    </row>
    <row r="448" spans="1:9" x14ac:dyDescent="0.25">
      <c r="A448" s="47" t="s">
        <v>781</v>
      </c>
      <c r="B448" s="47" t="s">
        <v>140</v>
      </c>
      <c r="C448" s="47" t="s">
        <v>805</v>
      </c>
      <c r="D448" s="47" t="s">
        <v>709</v>
      </c>
      <c r="E448" s="47" t="s">
        <v>928</v>
      </c>
      <c r="F448" s="47" t="s">
        <v>14</v>
      </c>
      <c r="G448" s="47" t="s">
        <v>103</v>
      </c>
      <c r="H448" s="47" t="e">
        <f>VLOOKUP(D448,#REF!,7,FALSE)</f>
        <v>#REF!</v>
      </c>
      <c r="I448" s="47" t="e">
        <f>VLOOKUP(H448,#REF!,2,FALSE)</f>
        <v>#REF!</v>
      </c>
    </row>
    <row r="449" spans="1:9" x14ac:dyDescent="0.25">
      <c r="A449" s="47" t="s">
        <v>781</v>
      </c>
      <c r="B449" s="47" t="s">
        <v>140</v>
      </c>
      <c r="C449" s="47" t="s">
        <v>826</v>
      </c>
      <c r="D449" s="47" t="s">
        <v>1232</v>
      </c>
      <c r="E449" s="47" t="s">
        <v>751</v>
      </c>
      <c r="F449" s="47" t="s">
        <v>14</v>
      </c>
      <c r="G449" s="47" t="s">
        <v>65</v>
      </c>
      <c r="H449" s="47" t="e">
        <f>VLOOKUP(D449,#REF!,7,FALSE)</f>
        <v>#REF!</v>
      </c>
      <c r="I449" s="47" t="e">
        <f>VLOOKUP(H449,#REF!,2,FALSE)</f>
        <v>#REF!</v>
      </c>
    </row>
    <row r="450" spans="1:9" x14ac:dyDescent="0.25">
      <c r="A450" s="47" t="s">
        <v>781</v>
      </c>
      <c r="B450" s="47" t="s">
        <v>140</v>
      </c>
      <c r="C450" s="47" t="s">
        <v>1203</v>
      </c>
      <c r="D450" s="47" t="s">
        <v>930</v>
      </c>
      <c r="E450" s="47" t="s">
        <v>931</v>
      </c>
      <c r="F450" s="47" t="s">
        <v>19</v>
      </c>
      <c r="G450" s="47" t="s">
        <v>91</v>
      </c>
      <c r="H450" s="47" t="e">
        <f>VLOOKUP(D450,#REF!,7,FALSE)</f>
        <v>#REF!</v>
      </c>
      <c r="I450" s="47" t="e">
        <f>VLOOKUP(H450,#REF!,2,FALSE)</f>
        <v>#REF!</v>
      </c>
    </row>
    <row r="451" spans="1:9" x14ac:dyDescent="0.25">
      <c r="A451" s="47" t="s">
        <v>781</v>
      </c>
      <c r="B451" s="47" t="s">
        <v>140</v>
      </c>
      <c r="C451" s="47" t="s">
        <v>932</v>
      </c>
      <c r="D451" s="47" t="s">
        <v>933</v>
      </c>
      <c r="E451" s="47" t="s">
        <v>934</v>
      </c>
      <c r="F451" s="47" t="s">
        <v>19</v>
      </c>
      <c r="G451" s="47" t="s">
        <v>61</v>
      </c>
      <c r="H451" s="47" t="e">
        <f>VLOOKUP(D451,#REF!,7,FALSE)</f>
        <v>#REF!</v>
      </c>
      <c r="I451" s="47" t="e">
        <f>VLOOKUP(H451,#REF!,2,FALSE)</f>
        <v>#REF!</v>
      </c>
    </row>
    <row r="452" spans="1:9" x14ac:dyDescent="0.25">
      <c r="A452" s="47" t="s">
        <v>781</v>
      </c>
      <c r="B452" s="47" t="s">
        <v>140</v>
      </c>
      <c r="C452" s="47" t="s">
        <v>880</v>
      </c>
      <c r="D452" s="47" t="s">
        <v>935</v>
      </c>
      <c r="E452" s="47" t="s">
        <v>936</v>
      </c>
      <c r="F452" s="47" t="s">
        <v>14</v>
      </c>
      <c r="G452" s="47" t="s">
        <v>220</v>
      </c>
      <c r="H452" s="47" t="e">
        <f>VLOOKUP(D452,#REF!,7,FALSE)</f>
        <v>#REF!</v>
      </c>
      <c r="I452" s="47" t="e">
        <f>VLOOKUP(H452,#REF!,2,FALSE)</f>
        <v>#REF!</v>
      </c>
    </row>
    <row r="453" spans="1:9" x14ac:dyDescent="0.25">
      <c r="A453" s="47" t="s">
        <v>781</v>
      </c>
      <c r="B453" s="47" t="s">
        <v>140</v>
      </c>
      <c r="C453" s="47" t="s">
        <v>813</v>
      </c>
      <c r="D453" s="47" t="s">
        <v>937</v>
      </c>
      <c r="E453" s="47" t="s">
        <v>938</v>
      </c>
      <c r="F453" s="47" t="s">
        <v>14</v>
      </c>
      <c r="G453" s="47" t="s">
        <v>792</v>
      </c>
      <c r="H453" s="47" t="e">
        <f>VLOOKUP(D453,#REF!,7,FALSE)</f>
        <v>#REF!</v>
      </c>
      <c r="I453" s="47" t="e">
        <f>VLOOKUP(H453,#REF!,2,FALSE)</f>
        <v>#REF!</v>
      </c>
    </row>
    <row r="454" spans="1:9" x14ac:dyDescent="0.25">
      <c r="A454" s="47" t="s">
        <v>781</v>
      </c>
      <c r="B454" s="47" t="s">
        <v>96</v>
      </c>
      <c r="C454" s="47" t="s">
        <v>802</v>
      </c>
      <c r="D454" s="47" t="s">
        <v>939</v>
      </c>
      <c r="E454" s="47" t="s">
        <v>940</v>
      </c>
      <c r="F454" s="47" t="s">
        <v>14</v>
      </c>
      <c r="G454" s="47" t="s">
        <v>65</v>
      </c>
      <c r="H454" s="47" t="e">
        <f>VLOOKUP(D454,#REF!,7,FALSE)</f>
        <v>#REF!</v>
      </c>
      <c r="I454" s="47" t="e">
        <f>VLOOKUP(H454,#REF!,2,FALSE)</f>
        <v>#REF!</v>
      </c>
    </row>
    <row r="455" spans="1:9" x14ac:dyDescent="0.25">
      <c r="A455" s="47" t="s">
        <v>781</v>
      </c>
      <c r="B455" s="47" t="s">
        <v>140</v>
      </c>
      <c r="C455" s="47" t="s">
        <v>787</v>
      </c>
      <c r="D455" s="47" t="s">
        <v>941</v>
      </c>
      <c r="E455" s="47" t="s">
        <v>942</v>
      </c>
      <c r="F455" s="47" t="s">
        <v>14</v>
      </c>
      <c r="G455" s="47" t="s">
        <v>112</v>
      </c>
      <c r="H455" s="47" t="e">
        <f>VLOOKUP(D455,#REF!,7,FALSE)</f>
        <v>#REF!</v>
      </c>
      <c r="I455" s="47" t="e">
        <f>VLOOKUP(H455,#REF!,2,FALSE)</f>
        <v>#REF!</v>
      </c>
    </row>
    <row r="456" spans="1:9" x14ac:dyDescent="0.25">
      <c r="A456" s="47" t="s">
        <v>781</v>
      </c>
      <c r="B456" s="47" t="s">
        <v>943</v>
      </c>
      <c r="C456" s="47" t="s">
        <v>831</v>
      </c>
      <c r="D456" s="47" t="s">
        <v>944</v>
      </c>
      <c r="E456" s="47" t="s">
        <v>945</v>
      </c>
      <c r="F456" s="47" t="s">
        <v>19</v>
      </c>
      <c r="G456" s="47" t="s">
        <v>792</v>
      </c>
      <c r="H456" s="47" t="e">
        <f>VLOOKUP(D456,#REF!,7,FALSE)</f>
        <v>#REF!</v>
      </c>
      <c r="I456" s="47" t="e">
        <f>VLOOKUP(H456,#REF!,2,FALSE)</f>
        <v>#REF!</v>
      </c>
    </row>
    <row r="457" spans="1:9" x14ac:dyDescent="0.25">
      <c r="A457" s="47" t="s">
        <v>812</v>
      </c>
      <c r="B457" s="47" t="s">
        <v>140</v>
      </c>
      <c r="C457" s="47" t="s">
        <v>816</v>
      </c>
      <c r="D457" s="47" t="s">
        <v>946</v>
      </c>
      <c r="E457" s="47" t="s">
        <v>947</v>
      </c>
      <c r="F457" s="47" t="s">
        <v>28</v>
      </c>
      <c r="G457" s="47" t="s">
        <v>267</v>
      </c>
      <c r="H457" s="47" t="e">
        <f>VLOOKUP(D457,#REF!,7,FALSE)</f>
        <v>#REF!</v>
      </c>
      <c r="I457" s="47" t="e">
        <f>VLOOKUP(H457,#REF!,2,FALSE)</f>
        <v>#REF!</v>
      </c>
    </row>
    <row r="458" spans="1:9" x14ac:dyDescent="0.25">
      <c r="A458" s="47" t="s">
        <v>812</v>
      </c>
      <c r="B458" s="47" t="s">
        <v>47</v>
      </c>
      <c r="C458" s="47" t="s">
        <v>904</v>
      </c>
      <c r="D458" s="47" t="s">
        <v>948</v>
      </c>
      <c r="E458" s="47" t="s">
        <v>949</v>
      </c>
      <c r="F458" s="47" t="s">
        <v>28</v>
      </c>
      <c r="G458" s="47" t="s">
        <v>55</v>
      </c>
      <c r="H458" s="47" t="e">
        <f>VLOOKUP(D458,#REF!,7,FALSE)</f>
        <v>#REF!</v>
      </c>
      <c r="I458" s="47" t="e">
        <f>VLOOKUP(H458,#REF!,2,FALSE)</f>
        <v>#REF!</v>
      </c>
    </row>
    <row r="459" spans="1:9" x14ac:dyDescent="0.25">
      <c r="A459" s="47" t="s">
        <v>781</v>
      </c>
      <c r="B459" s="47" t="s">
        <v>96</v>
      </c>
      <c r="C459" s="47" t="s">
        <v>858</v>
      </c>
      <c r="D459" s="47" t="s">
        <v>950</v>
      </c>
      <c r="E459" s="47" t="s">
        <v>951</v>
      </c>
      <c r="F459" s="47" t="s">
        <v>28</v>
      </c>
      <c r="G459" s="47" t="s">
        <v>79</v>
      </c>
      <c r="H459" s="47" t="e">
        <f>VLOOKUP(D459,#REF!,7,FALSE)</f>
        <v>#REF!</v>
      </c>
      <c r="I459" s="47" t="e">
        <f>VLOOKUP(H459,#REF!,2,FALSE)</f>
        <v>#REF!</v>
      </c>
    </row>
    <row r="460" spans="1:9" x14ac:dyDescent="0.25">
      <c r="A460" s="47" t="s">
        <v>781</v>
      </c>
      <c r="B460" s="47" t="s">
        <v>96</v>
      </c>
      <c r="C460" s="47" t="s">
        <v>855</v>
      </c>
      <c r="D460" s="47" t="s">
        <v>952</v>
      </c>
      <c r="E460" s="47" t="s">
        <v>953</v>
      </c>
      <c r="F460" s="47" t="s">
        <v>28</v>
      </c>
      <c r="G460" s="47" t="s">
        <v>822</v>
      </c>
      <c r="H460" s="47" t="e">
        <f>VLOOKUP(D460,#REF!,7,FALSE)</f>
        <v>#REF!</v>
      </c>
      <c r="I460" s="47" t="e">
        <f>VLOOKUP(H460,#REF!,2,FALSE)</f>
        <v>#REF!</v>
      </c>
    </row>
    <row r="461" spans="1:9" x14ac:dyDescent="0.25">
      <c r="A461" s="47" t="s">
        <v>781</v>
      </c>
      <c r="B461" s="47" t="s">
        <v>140</v>
      </c>
      <c r="C461" s="47" t="s">
        <v>811</v>
      </c>
      <c r="D461" s="47" t="s">
        <v>1485</v>
      </c>
      <c r="E461" s="47" t="s">
        <v>560</v>
      </c>
      <c r="F461" s="47" t="s">
        <v>19</v>
      </c>
      <c r="G461" s="47" t="s">
        <v>237</v>
      </c>
      <c r="H461" s="47" t="e">
        <f>VLOOKUP(D461,#REF!,7,FALSE)</f>
        <v>#REF!</v>
      </c>
      <c r="I461" s="47" t="e">
        <f>VLOOKUP(H461,#REF!,2,FALSE)</f>
        <v>#REF!</v>
      </c>
    </row>
    <row r="462" spans="1:9" x14ac:dyDescent="0.25">
      <c r="A462" s="47" t="s">
        <v>781</v>
      </c>
      <c r="B462" s="47" t="s">
        <v>140</v>
      </c>
      <c r="C462" s="47" t="s">
        <v>919</v>
      </c>
      <c r="D462" s="47" t="s">
        <v>511</v>
      </c>
      <c r="E462" s="47" t="s">
        <v>512</v>
      </c>
      <c r="F462" s="47" t="s">
        <v>19</v>
      </c>
      <c r="G462" s="47" t="s">
        <v>83</v>
      </c>
      <c r="H462" s="47" t="e">
        <f>VLOOKUP(D462,#REF!,7,FALSE)</f>
        <v>#REF!</v>
      </c>
      <c r="I462" s="47" t="e">
        <f>VLOOKUP(H462,#REF!,2,FALSE)</f>
        <v>#REF!</v>
      </c>
    </row>
    <row r="463" spans="1:9" x14ac:dyDescent="0.25">
      <c r="A463" s="47" t="s">
        <v>781</v>
      </c>
      <c r="B463" s="47" t="s">
        <v>140</v>
      </c>
      <c r="C463" s="47" t="s">
        <v>908</v>
      </c>
      <c r="D463" s="47" t="s">
        <v>954</v>
      </c>
      <c r="E463" s="47" t="s">
        <v>955</v>
      </c>
      <c r="F463" s="47" t="s">
        <v>28</v>
      </c>
      <c r="G463" s="47" t="s">
        <v>51</v>
      </c>
      <c r="H463" s="47" t="e">
        <f>VLOOKUP(D463,#REF!,7,FALSE)</f>
        <v>#REF!</v>
      </c>
      <c r="I463" s="47" t="e">
        <f>VLOOKUP(H463,#REF!,2,FALSE)</f>
        <v>#REF!</v>
      </c>
    </row>
    <row r="464" spans="1:9" x14ac:dyDescent="0.25">
      <c r="A464" s="47" t="s">
        <v>781</v>
      </c>
      <c r="B464" s="47" t="s">
        <v>140</v>
      </c>
      <c r="C464" s="47" t="s">
        <v>868</v>
      </c>
      <c r="D464" s="47" t="s">
        <v>956</v>
      </c>
      <c r="E464" s="47" t="s">
        <v>957</v>
      </c>
      <c r="F464" s="47" t="s">
        <v>19</v>
      </c>
      <c r="G464" s="47" t="s">
        <v>33</v>
      </c>
      <c r="H464" s="47" t="e">
        <f>VLOOKUP(D464,#REF!,7,FALSE)</f>
        <v>#REF!</v>
      </c>
      <c r="I464" s="47" t="e">
        <f>VLOOKUP(H464,#REF!,2,FALSE)</f>
        <v>#REF!</v>
      </c>
    </row>
    <row r="465" spans="1:9" x14ac:dyDescent="0.25">
      <c r="A465" s="47" t="s">
        <v>781</v>
      </c>
      <c r="B465" s="47" t="s">
        <v>140</v>
      </c>
      <c r="C465" s="47" t="s">
        <v>958</v>
      </c>
      <c r="D465" s="47" t="s">
        <v>959</v>
      </c>
      <c r="E465" s="47" t="s">
        <v>960</v>
      </c>
      <c r="F465" s="47" t="s">
        <v>19</v>
      </c>
      <c r="G465" s="47" t="s">
        <v>46</v>
      </c>
      <c r="H465" s="47" t="e">
        <f>VLOOKUP(D465,#REF!,7,FALSE)</f>
        <v>#REF!</v>
      </c>
      <c r="I465" s="47" t="e">
        <f>VLOOKUP(H465,#REF!,2,FALSE)</f>
        <v>#REF!</v>
      </c>
    </row>
    <row r="466" spans="1:9" x14ac:dyDescent="0.25">
      <c r="A466" s="47" t="s">
        <v>781</v>
      </c>
      <c r="B466" s="47" t="s">
        <v>961</v>
      </c>
      <c r="C466" s="47" t="s">
        <v>133</v>
      </c>
      <c r="D466" s="47" t="s">
        <v>134</v>
      </c>
      <c r="E466" s="47" t="s">
        <v>135</v>
      </c>
      <c r="F466" s="47" t="s">
        <v>37</v>
      </c>
      <c r="G466" s="47" t="s">
        <v>132</v>
      </c>
      <c r="H466" s="47" t="e">
        <f>VLOOKUP(D466,#REF!,7,FALSE)</f>
        <v>#REF!</v>
      </c>
      <c r="I466" s="47" t="e">
        <f>VLOOKUP(H466,#REF!,2,FALSE)</f>
        <v>#REF!</v>
      </c>
    </row>
    <row r="467" spans="1:9" x14ac:dyDescent="0.25">
      <c r="A467" s="47" t="s">
        <v>781</v>
      </c>
      <c r="B467" s="47" t="s">
        <v>962</v>
      </c>
      <c r="C467" s="47" t="s">
        <v>136</v>
      </c>
      <c r="D467" s="47" t="s">
        <v>963</v>
      </c>
      <c r="E467" s="47" t="s">
        <v>964</v>
      </c>
      <c r="F467" s="47" t="s">
        <v>37</v>
      </c>
      <c r="G467" s="47" t="s">
        <v>136</v>
      </c>
      <c r="H467" s="47" t="e">
        <f>VLOOKUP(D467,#REF!,7,FALSE)</f>
        <v>#REF!</v>
      </c>
      <c r="I467" s="47" t="e">
        <f>VLOOKUP(H467,#REF!,2,FALSE)</f>
        <v>#REF!</v>
      </c>
    </row>
    <row r="468" spans="1:9" x14ac:dyDescent="0.25">
      <c r="A468" s="47" t="s">
        <v>781</v>
      </c>
      <c r="B468" s="47" t="s">
        <v>159</v>
      </c>
      <c r="C468" s="47" t="s">
        <v>129</v>
      </c>
      <c r="D468" s="47" t="s">
        <v>171</v>
      </c>
      <c r="E468" s="47" t="s">
        <v>172</v>
      </c>
      <c r="F468" s="47" t="s">
        <v>37</v>
      </c>
      <c r="G468" s="47" t="s">
        <v>42</v>
      </c>
      <c r="H468" s="47" t="e">
        <f>VLOOKUP(D468,#REF!,7,FALSE)</f>
        <v>#REF!</v>
      </c>
      <c r="I468" s="47" t="e">
        <f>VLOOKUP(H468,#REF!,2,FALSE)</f>
        <v>#REF!</v>
      </c>
    </row>
    <row r="469" spans="1:9" x14ac:dyDescent="0.25">
      <c r="A469" s="47" t="s">
        <v>781</v>
      </c>
      <c r="B469" s="47" t="s">
        <v>177</v>
      </c>
      <c r="C469" s="47" t="s">
        <v>180</v>
      </c>
      <c r="D469" s="47" t="s">
        <v>181</v>
      </c>
      <c r="E469" s="47" t="s">
        <v>182</v>
      </c>
      <c r="F469" s="47" t="s">
        <v>37</v>
      </c>
      <c r="G469" s="47" t="s">
        <v>132</v>
      </c>
      <c r="H469" s="47" t="e">
        <f>VLOOKUP(D469,#REF!,7,FALSE)</f>
        <v>#REF!</v>
      </c>
      <c r="I469" s="47" t="e">
        <f>VLOOKUP(H469,#REF!,2,FALSE)</f>
        <v>#REF!</v>
      </c>
    </row>
    <row r="470" spans="1:9" x14ac:dyDescent="0.25">
      <c r="A470" s="47" t="s">
        <v>781</v>
      </c>
      <c r="B470" s="47" t="s">
        <v>159</v>
      </c>
      <c r="C470" s="47" t="s">
        <v>34</v>
      </c>
      <c r="D470" s="47" t="s">
        <v>272</v>
      </c>
      <c r="E470" s="47" t="s">
        <v>273</v>
      </c>
      <c r="F470" s="47" t="s">
        <v>37</v>
      </c>
      <c r="G470" s="47" t="s">
        <v>38</v>
      </c>
      <c r="H470" s="47" t="e">
        <f>VLOOKUP(D470,#REF!,7,FALSE)</f>
        <v>#REF!</v>
      </c>
      <c r="I470" s="47" t="e">
        <f>VLOOKUP(H470,#REF!,2,FALSE)</f>
        <v>#REF!</v>
      </c>
    </row>
    <row r="471" spans="1:9" x14ac:dyDescent="0.25">
      <c r="A471" s="47" t="s">
        <v>781</v>
      </c>
      <c r="B471" s="47" t="s">
        <v>159</v>
      </c>
      <c r="C471" s="47" t="s">
        <v>163</v>
      </c>
      <c r="D471" s="47" t="s">
        <v>164</v>
      </c>
      <c r="E471" s="47" t="s">
        <v>165</v>
      </c>
      <c r="F471" s="47" t="s">
        <v>37</v>
      </c>
      <c r="G471" s="47" t="s">
        <v>308</v>
      </c>
      <c r="H471" s="47" t="e">
        <f>VLOOKUP(D471,#REF!,7,FALSE)</f>
        <v>#REF!</v>
      </c>
      <c r="I471" s="47" t="e">
        <f>VLOOKUP(H471,#REF!,2,FALSE)</f>
        <v>#REF!</v>
      </c>
    </row>
    <row r="472" spans="1:9" x14ac:dyDescent="0.25">
      <c r="A472" s="47" t="s">
        <v>781</v>
      </c>
      <c r="B472" s="47" t="s">
        <v>159</v>
      </c>
      <c r="C472" s="47" t="s">
        <v>39</v>
      </c>
      <c r="D472" s="47" t="s">
        <v>175</v>
      </c>
      <c r="E472" s="47" t="s">
        <v>176</v>
      </c>
      <c r="F472" s="47" t="s">
        <v>37</v>
      </c>
      <c r="G472" s="47" t="s">
        <v>38</v>
      </c>
      <c r="H472" s="47" t="e">
        <f>VLOOKUP(D472,#REF!,7,FALSE)</f>
        <v>#REF!</v>
      </c>
      <c r="I472" s="47" t="e">
        <f>VLOOKUP(H472,#REF!,2,FALSE)</f>
        <v>#REF!</v>
      </c>
    </row>
    <row r="473" spans="1:9" x14ac:dyDescent="0.25">
      <c r="A473" s="47" t="s">
        <v>781</v>
      </c>
      <c r="B473" s="47" t="s">
        <v>159</v>
      </c>
      <c r="C473" s="47" t="s">
        <v>120</v>
      </c>
      <c r="D473" s="47" t="s">
        <v>623</v>
      </c>
      <c r="E473" s="47" t="s">
        <v>624</v>
      </c>
      <c r="F473" s="47" t="s">
        <v>37</v>
      </c>
      <c r="G473" s="47" t="s">
        <v>123</v>
      </c>
      <c r="H473" s="47" t="e">
        <f>VLOOKUP(D473,#REF!,7,FALSE)</f>
        <v>#REF!</v>
      </c>
      <c r="I473" s="47" t="e">
        <f>VLOOKUP(H473,#REF!,2,FALSE)</f>
        <v>#REF!</v>
      </c>
    </row>
    <row r="474" spans="1:9" x14ac:dyDescent="0.25">
      <c r="A474" s="47" t="s">
        <v>781</v>
      </c>
      <c r="B474" s="47" t="s">
        <v>965</v>
      </c>
      <c r="C474" s="47" t="s">
        <v>133</v>
      </c>
      <c r="D474" s="47" t="s">
        <v>295</v>
      </c>
      <c r="E474" s="47" t="s">
        <v>296</v>
      </c>
      <c r="F474" s="47" t="s">
        <v>37</v>
      </c>
      <c r="G474" s="47" t="s">
        <v>132</v>
      </c>
      <c r="H474" s="47" t="e">
        <f>VLOOKUP(D474,#REF!,7,FALSE)</f>
        <v>#REF!</v>
      </c>
      <c r="I474" s="47" t="e">
        <f>VLOOKUP(H474,#REF!,2,FALSE)</f>
        <v>#REF!</v>
      </c>
    </row>
    <row r="475" spans="1:9" x14ac:dyDescent="0.25">
      <c r="A475" s="47" t="s">
        <v>781</v>
      </c>
      <c r="B475" s="47" t="s">
        <v>128</v>
      </c>
      <c r="C475" s="47" t="s">
        <v>136</v>
      </c>
      <c r="D475" s="47" t="s">
        <v>966</v>
      </c>
      <c r="E475" s="47" t="s">
        <v>967</v>
      </c>
      <c r="F475" s="47" t="s">
        <v>37</v>
      </c>
      <c r="G475" s="47" t="s">
        <v>136</v>
      </c>
      <c r="H475" s="47" t="e">
        <f>VLOOKUP(D475,#REF!,7,FALSE)</f>
        <v>#REF!</v>
      </c>
      <c r="I475" s="47" t="e">
        <f>VLOOKUP(H475,#REF!,2,FALSE)</f>
        <v>#REF!</v>
      </c>
    </row>
    <row r="476" spans="1:9" x14ac:dyDescent="0.25">
      <c r="A476" s="47" t="s">
        <v>781</v>
      </c>
      <c r="B476" s="47" t="s">
        <v>968</v>
      </c>
      <c r="C476" s="47" t="s">
        <v>133</v>
      </c>
      <c r="D476" s="47" t="s">
        <v>423</v>
      </c>
      <c r="E476" s="47" t="s">
        <v>424</v>
      </c>
      <c r="F476" s="47" t="s">
        <v>37</v>
      </c>
      <c r="G476" s="47" t="s">
        <v>132</v>
      </c>
      <c r="H476" s="47" t="e">
        <f>VLOOKUP(D476,#REF!,7,FALSE)</f>
        <v>#REF!</v>
      </c>
      <c r="I476" s="47" t="e">
        <f>VLOOKUP(H476,#REF!,2,FALSE)</f>
        <v>#REF!</v>
      </c>
    </row>
    <row r="477" spans="1:9" x14ac:dyDescent="0.25">
      <c r="A477" s="47" t="s">
        <v>781</v>
      </c>
      <c r="B477" s="47" t="s">
        <v>968</v>
      </c>
      <c r="C477" s="47" t="s">
        <v>136</v>
      </c>
      <c r="D477" s="47" t="s">
        <v>969</v>
      </c>
      <c r="E477" s="47" t="s">
        <v>970</v>
      </c>
      <c r="F477" s="47" t="s">
        <v>37</v>
      </c>
      <c r="G477" s="47" t="s">
        <v>136</v>
      </c>
      <c r="H477" s="47" t="e">
        <f>VLOOKUP(D477,#REF!,7,FALSE)</f>
        <v>#REF!</v>
      </c>
      <c r="I477" s="47" t="e">
        <f>VLOOKUP(H477,#REF!,2,FALSE)</f>
        <v>#REF!</v>
      </c>
    </row>
    <row r="478" spans="1:9" x14ac:dyDescent="0.25">
      <c r="A478" s="47" t="s">
        <v>781</v>
      </c>
      <c r="B478" s="47" t="s">
        <v>128</v>
      </c>
      <c r="C478" s="47" t="s">
        <v>160</v>
      </c>
      <c r="D478" s="47" t="s">
        <v>161</v>
      </c>
      <c r="E478" s="47" t="s">
        <v>162</v>
      </c>
      <c r="F478" s="47" t="s">
        <v>37</v>
      </c>
      <c r="G478" s="47" t="s">
        <v>308</v>
      </c>
      <c r="H478" s="47" t="e">
        <f>VLOOKUP(D478,#REF!,7,FALSE)</f>
        <v>#REF!</v>
      </c>
      <c r="I478" s="47" t="e">
        <f>VLOOKUP(H478,#REF!,2,FALSE)</f>
        <v>#REF!</v>
      </c>
    </row>
    <row r="479" spans="1:9" x14ac:dyDescent="0.25">
      <c r="A479" s="47" t="s">
        <v>781</v>
      </c>
      <c r="B479" s="47" t="s">
        <v>128</v>
      </c>
      <c r="C479" s="47" t="s">
        <v>129</v>
      </c>
      <c r="D479" s="47" t="s">
        <v>293</v>
      </c>
      <c r="E479" s="47" t="s">
        <v>294</v>
      </c>
      <c r="F479" s="47" t="s">
        <v>37</v>
      </c>
      <c r="G479" s="47" t="s">
        <v>42</v>
      </c>
      <c r="H479" s="47" t="e">
        <f>VLOOKUP(D479,#REF!,7,FALSE)</f>
        <v>#REF!</v>
      </c>
      <c r="I479" s="47" t="e">
        <f>VLOOKUP(H479,#REF!,2,FALSE)</f>
        <v>#REF!</v>
      </c>
    </row>
    <row r="480" spans="1:9" x14ac:dyDescent="0.25">
      <c r="A480" s="47" t="s">
        <v>781</v>
      </c>
      <c r="B480" s="47" t="s">
        <v>128</v>
      </c>
      <c r="C480" s="47" t="s">
        <v>180</v>
      </c>
      <c r="D480" s="47" t="s">
        <v>425</v>
      </c>
      <c r="E480" s="47" t="s">
        <v>426</v>
      </c>
      <c r="F480" s="47" t="s">
        <v>37</v>
      </c>
      <c r="G480" s="47" t="s">
        <v>132</v>
      </c>
      <c r="H480" s="47" t="e">
        <f>VLOOKUP(D480,#REF!,7,FALSE)</f>
        <v>#REF!</v>
      </c>
      <c r="I480" s="47" t="e">
        <f>VLOOKUP(H480,#REF!,2,FALSE)</f>
        <v>#REF!</v>
      </c>
    </row>
    <row r="481" spans="1:9" x14ac:dyDescent="0.25">
      <c r="A481" s="47" t="s">
        <v>781</v>
      </c>
      <c r="B481" s="47" t="s">
        <v>128</v>
      </c>
      <c r="C481" s="47" t="s">
        <v>34</v>
      </c>
      <c r="D481" s="47" t="s">
        <v>35</v>
      </c>
      <c r="E481" s="47" t="s">
        <v>36</v>
      </c>
      <c r="F481" s="47" t="s">
        <v>37</v>
      </c>
      <c r="G481" s="47" t="s">
        <v>38</v>
      </c>
      <c r="H481" s="47" t="e">
        <f>VLOOKUP(D481,#REF!,7,FALSE)</f>
        <v>#REF!</v>
      </c>
      <c r="I481" s="47" t="e">
        <f>VLOOKUP(H481,#REF!,2,FALSE)</f>
        <v>#REF!</v>
      </c>
    </row>
    <row r="482" spans="1:9" x14ac:dyDescent="0.25">
      <c r="A482" s="47" t="s">
        <v>781</v>
      </c>
      <c r="B482" s="47" t="s">
        <v>177</v>
      </c>
      <c r="C482" s="47" t="s">
        <v>129</v>
      </c>
      <c r="D482" s="47" t="s">
        <v>130</v>
      </c>
      <c r="E482" s="47" t="s">
        <v>131</v>
      </c>
      <c r="F482" s="47" t="s">
        <v>37</v>
      </c>
      <c r="G482" s="47" t="s">
        <v>42</v>
      </c>
      <c r="H482" s="47" t="e">
        <f>VLOOKUP(D482,#REF!,7,FALSE)</f>
        <v>#REF!</v>
      </c>
      <c r="I482" s="47" t="e">
        <f>VLOOKUP(H482,#REF!,2,FALSE)</f>
        <v>#REF!</v>
      </c>
    </row>
    <row r="483" spans="1:9" x14ac:dyDescent="0.25">
      <c r="A483" s="47" t="s">
        <v>781</v>
      </c>
      <c r="B483" s="47" t="s">
        <v>128</v>
      </c>
      <c r="C483" s="47" t="s">
        <v>39</v>
      </c>
      <c r="D483" s="47" t="s">
        <v>175</v>
      </c>
      <c r="E483" s="47" t="s">
        <v>176</v>
      </c>
      <c r="F483" s="47" t="s">
        <v>37</v>
      </c>
      <c r="G483" s="47" t="s">
        <v>38</v>
      </c>
      <c r="H483" s="47" t="e">
        <f>VLOOKUP(D483,#REF!,7,FALSE)</f>
        <v>#REF!</v>
      </c>
      <c r="I483" s="47" t="e">
        <f>VLOOKUP(H483,#REF!,2,FALSE)</f>
        <v>#REF!</v>
      </c>
    </row>
    <row r="484" spans="1:9" x14ac:dyDescent="0.25">
      <c r="A484" s="47" t="s">
        <v>781</v>
      </c>
      <c r="B484" s="47" t="s">
        <v>128</v>
      </c>
      <c r="C484" s="47" t="s">
        <v>120</v>
      </c>
      <c r="D484" s="47" t="s">
        <v>623</v>
      </c>
      <c r="E484" s="47" t="s">
        <v>624</v>
      </c>
      <c r="F484" s="47" t="s">
        <v>37</v>
      </c>
      <c r="G484" s="47" t="s">
        <v>123</v>
      </c>
      <c r="H484" s="47" t="e">
        <f>VLOOKUP(D484,#REF!,7,FALSE)</f>
        <v>#REF!</v>
      </c>
      <c r="I484" s="47" t="e">
        <f>VLOOKUP(H484,#REF!,2,FALSE)</f>
        <v>#REF!</v>
      </c>
    </row>
    <row r="485" spans="1:9" x14ac:dyDescent="0.25">
      <c r="A485" s="47" t="s">
        <v>781</v>
      </c>
      <c r="B485" s="47" t="s">
        <v>971</v>
      </c>
      <c r="C485" s="47" t="s">
        <v>133</v>
      </c>
      <c r="D485" s="47" t="s">
        <v>430</v>
      </c>
      <c r="E485" s="47" t="s">
        <v>431</v>
      </c>
      <c r="F485" s="47" t="s">
        <v>37</v>
      </c>
      <c r="G485" s="47" t="s">
        <v>132</v>
      </c>
      <c r="H485" s="47" t="e">
        <f>VLOOKUP(D485,#REF!,7,FALSE)</f>
        <v>#REF!</v>
      </c>
      <c r="I485" s="47" t="e">
        <f>VLOOKUP(H485,#REF!,2,FALSE)</f>
        <v>#REF!</v>
      </c>
    </row>
    <row r="486" spans="1:9" x14ac:dyDescent="0.25">
      <c r="A486" s="47" t="s">
        <v>781</v>
      </c>
      <c r="B486" s="47" t="s">
        <v>177</v>
      </c>
      <c r="C486" s="47" t="s">
        <v>823</v>
      </c>
      <c r="D486" s="47" t="s">
        <v>972</v>
      </c>
      <c r="E486" s="47" t="s">
        <v>973</v>
      </c>
      <c r="F486" s="47" t="s">
        <v>37</v>
      </c>
      <c r="G486" s="47" t="s">
        <v>136</v>
      </c>
      <c r="H486" s="47" t="e">
        <f>VLOOKUP(D486,#REF!,7,FALSE)</f>
        <v>#REF!</v>
      </c>
      <c r="I486" s="47" t="e">
        <f>VLOOKUP(H486,#REF!,2,FALSE)</f>
        <v>#REF!</v>
      </c>
    </row>
    <row r="487" spans="1:9" x14ac:dyDescent="0.25">
      <c r="A487" s="47" t="s">
        <v>781</v>
      </c>
      <c r="B487" s="47" t="s">
        <v>177</v>
      </c>
      <c r="C487" s="47" t="s">
        <v>136</v>
      </c>
      <c r="D487" s="47" t="s">
        <v>974</v>
      </c>
      <c r="E487" s="47" t="s">
        <v>975</v>
      </c>
      <c r="F487" s="47" t="s">
        <v>37</v>
      </c>
      <c r="G487" s="47" t="s">
        <v>136</v>
      </c>
      <c r="H487" s="47" t="e">
        <f>VLOOKUP(D487,#REF!,7,FALSE)</f>
        <v>#REF!</v>
      </c>
      <c r="I487" s="47" t="e">
        <f>VLOOKUP(H487,#REF!,2,FALSE)</f>
        <v>#REF!</v>
      </c>
    </row>
    <row r="488" spans="1:9" x14ac:dyDescent="0.25">
      <c r="A488" s="47" t="s">
        <v>781</v>
      </c>
      <c r="B488" s="47" t="s">
        <v>177</v>
      </c>
      <c r="C488" s="47" t="s">
        <v>120</v>
      </c>
      <c r="D488" s="47" t="s">
        <v>428</v>
      </c>
      <c r="E488" s="47" t="s">
        <v>429</v>
      </c>
      <c r="F488" s="47" t="s">
        <v>37</v>
      </c>
      <c r="G488" s="47" t="s">
        <v>123</v>
      </c>
      <c r="H488" s="47" t="e">
        <f>VLOOKUP(D488,#REF!,7,FALSE)</f>
        <v>#REF!</v>
      </c>
      <c r="I488" s="47" t="e">
        <f>VLOOKUP(H488,#REF!,2,FALSE)</f>
        <v>#REF!</v>
      </c>
    </row>
    <row r="489" spans="1:9" x14ac:dyDescent="0.25">
      <c r="A489" s="47" t="s">
        <v>781</v>
      </c>
      <c r="B489" s="47" t="s">
        <v>177</v>
      </c>
      <c r="C489" s="47" t="s">
        <v>136</v>
      </c>
      <c r="D489" s="47" t="s">
        <v>976</v>
      </c>
      <c r="E489" s="47" t="s">
        <v>977</v>
      </c>
      <c r="F489" s="47" t="s">
        <v>37</v>
      </c>
      <c r="G489" s="47" t="s">
        <v>308</v>
      </c>
      <c r="H489" s="47" t="e">
        <f>VLOOKUP(D489,#REF!,7,FALSE)</f>
        <v>#REF!</v>
      </c>
      <c r="I489" s="47" t="e">
        <f>VLOOKUP(H489,#REF!,2,FALSE)</f>
        <v>#REF!</v>
      </c>
    </row>
    <row r="490" spans="1:9" x14ac:dyDescent="0.25">
      <c r="A490" s="47" t="s">
        <v>781</v>
      </c>
      <c r="B490" s="47" t="s">
        <v>978</v>
      </c>
      <c r="C490" s="47" t="s">
        <v>180</v>
      </c>
      <c r="D490" s="47" t="s">
        <v>302</v>
      </c>
      <c r="E490" s="47" t="s">
        <v>303</v>
      </c>
      <c r="F490" s="47" t="s">
        <v>37</v>
      </c>
      <c r="G490" s="47" t="s">
        <v>308</v>
      </c>
      <c r="H490" s="47" t="e">
        <f>VLOOKUP(D490,#REF!,7,FALSE)</f>
        <v>#REF!</v>
      </c>
      <c r="I490" s="47" t="e">
        <f>VLOOKUP(H490,#REF!,2,FALSE)</f>
        <v>#REF!</v>
      </c>
    </row>
    <row r="491" spans="1:9" x14ac:dyDescent="0.25">
      <c r="A491" s="47" t="s">
        <v>781</v>
      </c>
      <c r="B491" s="47" t="s">
        <v>177</v>
      </c>
      <c r="C491" s="47" t="s">
        <v>979</v>
      </c>
      <c r="D491" s="47" t="s">
        <v>980</v>
      </c>
      <c r="E491" s="47" t="s">
        <v>981</v>
      </c>
      <c r="F491" s="47" t="s">
        <v>37</v>
      </c>
      <c r="G491" s="47" t="s">
        <v>136</v>
      </c>
      <c r="H491" s="47" t="e">
        <f>VLOOKUP(D491,#REF!,7,FALSE)</f>
        <v>#REF!</v>
      </c>
      <c r="I491" s="47" t="e">
        <f>VLOOKUP(H491,#REF!,2,FALSE)</f>
        <v>#REF!</v>
      </c>
    </row>
    <row r="492" spans="1:9" x14ac:dyDescent="0.25">
      <c r="A492" s="47" t="s">
        <v>781</v>
      </c>
      <c r="B492" s="47" t="s">
        <v>177</v>
      </c>
      <c r="C492" s="47" t="s">
        <v>163</v>
      </c>
      <c r="D492" s="47" t="s">
        <v>201</v>
      </c>
      <c r="E492" s="47" t="s">
        <v>202</v>
      </c>
      <c r="F492" s="47" t="s">
        <v>37</v>
      </c>
      <c r="G492" s="47" t="s">
        <v>793</v>
      </c>
      <c r="H492" s="47" t="e">
        <f>VLOOKUP(D492,#REF!,7,FALSE)</f>
        <v>#REF!</v>
      </c>
      <c r="I492" s="47" t="e">
        <f>VLOOKUP(H492,#REF!,2,FALSE)</f>
        <v>#REF!</v>
      </c>
    </row>
    <row r="493" spans="1:9" x14ac:dyDescent="0.25">
      <c r="A493" s="47" t="s">
        <v>781</v>
      </c>
      <c r="B493" s="47" t="s">
        <v>128</v>
      </c>
      <c r="C493" s="47" t="s">
        <v>163</v>
      </c>
      <c r="D493" s="47" t="s">
        <v>164</v>
      </c>
      <c r="E493" s="47" t="s">
        <v>165</v>
      </c>
      <c r="F493" s="47" t="s">
        <v>37</v>
      </c>
      <c r="G493" s="47" t="s">
        <v>42</v>
      </c>
      <c r="H493" s="47" t="e">
        <f>VLOOKUP(D493,#REF!,7,FALSE)</f>
        <v>#REF!</v>
      </c>
      <c r="I493" s="47" t="e">
        <f>VLOOKUP(H493,#REF!,2,FALSE)</f>
        <v>#REF!</v>
      </c>
    </row>
    <row r="494" spans="1:9" x14ac:dyDescent="0.25">
      <c r="A494" s="47" t="s">
        <v>781</v>
      </c>
      <c r="B494" s="47" t="s">
        <v>177</v>
      </c>
      <c r="C494" s="47" t="s">
        <v>34</v>
      </c>
      <c r="D494" s="47" t="s">
        <v>203</v>
      </c>
      <c r="E494" s="47" t="s">
        <v>204</v>
      </c>
      <c r="F494" s="47" t="s">
        <v>37</v>
      </c>
      <c r="G494" s="47" t="s">
        <v>38</v>
      </c>
      <c r="H494" s="47" t="e">
        <f>VLOOKUP(D494,#REF!,7,FALSE)</f>
        <v>#REF!</v>
      </c>
      <c r="I494" s="47" t="e">
        <f>VLOOKUP(H494,#REF!,2,FALSE)</f>
        <v>#REF!</v>
      </c>
    </row>
    <row r="495" spans="1:9" x14ac:dyDescent="0.25">
      <c r="A495" s="47" t="s">
        <v>812</v>
      </c>
      <c r="B495" s="47" t="s">
        <v>128</v>
      </c>
      <c r="C495" s="47" t="s">
        <v>129</v>
      </c>
      <c r="D495" s="47" t="s">
        <v>309</v>
      </c>
      <c r="E495" s="47" t="s">
        <v>310</v>
      </c>
      <c r="F495" s="47" t="s">
        <v>37</v>
      </c>
      <c r="G495" s="47" t="s">
        <v>132</v>
      </c>
      <c r="H495" s="47" t="e">
        <f>VLOOKUP(D495,#REF!,7,FALSE)</f>
        <v>#REF!</v>
      </c>
      <c r="I495" s="47" t="e">
        <f>VLOOKUP(H495,#REF!,2,FALSE)</f>
        <v>#REF!</v>
      </c>
    </row>
    <row r="496" spans="1:9" x14ac:dyDescent="0.25">
      <c r="A496" s="47" t="s">
        <v>781</v>
      </c>
      <c r="B496" s="47" t="s">
        <v>177</v>
      </c>
      <c r="C496" s="47" t="s">
        <v>39</v>
      </c>
      <c r="D496" s="47" t="s">
        <v>185</v>
      </c>
      <c r="E496" s="47" t="s">
        <v>186</v>
      </c>
      <c r="F496" s="47" t="s">
        <v>37</v>
      </c>
      <c r="G496" s="47" t="s">
        <v>38</v>
      </c>
      <c r="H496" s="47" t="e">
        <f>VLOOKUP(D496,#REF!,7,FALSE)</f>
        <v>#REF!</v>
      </c>
      <c r="I496" s="47" t="e">
        <f>VLOOKUP(H496,#REF!,2,FALSE)</f>
        <v>#REF!</v>
      </c>
    </row>
    <row r="497" spans="1:9" x14ac:dyDescent="0.25">
      <c r="A497" s="47" t="s">
        <v>812</v>
      </c>
      <c r="B497" s="47" t="s">
        <v>10</v>
      </c>
      <c r="C497" s="47" t="s">
        <v>890</v>
      </c>
      <c r="D497" s="47" t="s">
        <v>982</v>
      </c>
      <c r="E497" s="47" t="s">
        <v>670</v>
      </c>
      <c r="F497" s="47" t="s">
        <v>14</v>
      </c>
      <c r="G497" s="47" t="s">
        <v>983</v>
      </c>
      <c r="H497" s="47" t="e">
        <f>VLOOKUP(D497,#REF!,7,FALSE)</f>
        <v>#REF!</v>
      </c>
      <c r="I497" s="47" t="e">
        <f>VLOOKUP(H497,#REF!,2,FALSE)</f>
        <v>#REF!</v>
      </c>
    </row>
    <row r="498" spans="1:9" x14ac:dyDescent="0.25">
      <c r="A498" s="47" t="s">
        <v>812</v>
      </c>
      <c r="B498" s="47" t="s">
        <v>10</v>
      </c>
      <c r="C498" s="47" t="s">
        <v>133</v>
      </c>
      <c r="D498" s="47" t="s">
        <v>333</v>
      </c>
      <c r="E498" s="47" t="s">
        <v>334</v>
      </c>
      <c r="F498" s="47" t="s">
        <v>37</v>
      </c>
      <c r="G498" s="47" t="s">
        <v>132</v>
      </c>
      <c r="H498" s="47" t="e">
        <f>VLOOKUP(D498,#REF!,7,FALSE)</f>
        <v>#REF!</v>
      </c>
      <c r="I498" s="47" t="e">
        <f>VLOOKUP(H498,#REF!,2,FALSE)</f>
        <v>#REF!</v>
      </c>
    </row>
    <row r="499" spans="1:9" x14ac:dyDescent="0.25">
      <c r="A499" s="47" t="s">
        <v>812</v>
      </c>
      <c r="B499" s="47" t="s">
        <v>47</v>
      </c>
      <c r="C499" s="47" t="s">
        <v>890</v>
      </c>
      <c r="D499" s="47" t="s">
        <v>984</v>
      </c>
      <c r="E499" s="47" t="s">
        <v>985</v>
      </c>
      <c r="F499" s="47" t="s">
        <v>14</v>
      </c>
      <c r="G499" s="47" t="s">
        <v>983</v>
      </c>
      <c r="H499" s="47" t="e">
        <f>VLOOKUP(D499,#REF!,7,FALSE)</f>
        <v>#REF!</v>
      </c>
      <c r="I499" s="47" t="e">
        <f>VLOOKUP(H499,#REF!,2,FALSE)</f>
        <v>#REF!</v>
      </c>
    </row>
    <row r="500" spans="1:9" x14ac:dyDescent="0.25">
      <c r="A500" s="47" t="s">
        <v>812</v>
      </c>
      <c r="B500" s="47" t="s">
        <v>10</v>
      </c>
      <c r="C500" s="47" t="s">
        <v>784</v>
      </c>
      <c r="D500" s="47" t="s">
        <v>316</v>
      </c>
      <c r="E500" s="47" t="s">
        <v>317</v>
      </c>
      <c r="F500" s="47" t="s">
        <v>19</v>
      </c>
      <c r="G500" s="47" t="s">
        <v>20</v>
      </c>
      <c r="H500" s="47" t="e">
        <f>VLOOKUP(D500,#REF!,7,FALSE)</f>
        <v>#REF!</v>
      </c>
      <c r="I500" s="47" t="e">
        <f>VLOOKUP(H500,#REF!,2,FALSE)</f>
        <v>#REF!</v>
      </c>
    </row>
    <row r="501" spans="1:9" x14ac:dyDescent="0.25">
      <c r="A501" s="47" t="s">
        <v>812</v>
      </c>
      <c r="B501" s="47" t="s">
        <v>10</v>
      </c>
      <c r="C501" s="47" t="s">
        <v>163</v>
      </c>
      <c r="D501" s="47" t="s">
        <v>166</v>
      </c>
      <c r="E501" s="47" t="s">
        <v>167</v>
      </c>
      <c r="F501" s="47" t="s">
        <v>37</v>
      </c>
      <c r="G501" s="47" t="s">
        <v>793</v>
      </c>
      <c r="H501" s="47" t="e">
        <f>VLOOKUP(D501,#REF!,7,FALSE)</f>
        <v>#REF!</v>
      </c>
      <c r="I501" s="47" t="e">
        <f>VLOOKUP(H501,#REF!,2,FALSE)</f>
        <v>#REF!</v>
      </c>
    </row>
    <row r="502" spans="1:9" x14ac:dyDescent="0.25">
      <c r="A502" s="47" t="s">
        <v>812</v>
      </c>
      <c r="B502" s="47" t="s">
        <v>10</v>
      </c>
      <c r="C502" s="47" t="s">
        <v>120</v>
      </c>
      <c r="D502" s="47" t="s">
        <v>428</v>
      </c>
      <c r="E502" s="47" t="s">
        <v>429</v>
      </c>
      <c r="F502" s="47" t="s">
        <v>37</v>
      </c>
      <c r="G502" s="47" t="s">
        <v>123</v>
      </c>
      <c r="H502" s="47" t="e">
        <f>VLOOKUP(D502,#REF!,7,FALSE)</f>
        <v>#REF!</v>
      </c>
      <c r="I502" s="47" t="e">
        <f>VLOOKUP(H502,#REF!,2,FALSE)</f>
        <v>#REF!</v>
      </c>
    </row>
    <row r="503" spans="1:9" x14ac:dyDescent="0.25">
      <c r="A503" s="47" t="s">
        <v>812</v>
      </c>
      <c r="B503" s="47" t="s">
        <v>10</v>
      </c>
      <c r="C503" s="47" t="s">
        <v>785</v>
      </c>
      <c r="D503" s="47" t="s">
        <v>439</v>
      </c>
      <c r="E503" s="47" t="s">
        <v>440</v>
      </c>
      <c r="F503" s="47" t="s">
        <v>28</v>
      </c>
      <c r="G503" s="47" t="s">
        <v>287</v>
      </c>
      <c r="H503" s="47" t="e">
        <f>VLOOKUP(D503,#REF!,7,FALSE)</f>
        <v>#REF!</v>
      </c>
      <c r="I503" s="47" t="e">
        <f>VLOOKUP(H503,#REF!,2,FALSE)</f>
        <v>#REF!</v>
      </c>
    </row>
    <row r="504" spans="1:9" x14ac:dyDescent="0.25">
      <c r="A504" s="47" t="s">
        <v>812</v>
      </c>
      <c r="B504" s="47" t="s">
        <v>47</v>
      </c>
      <c r="C504" s="47" t="s">
        <v>986</v>
      </c>
      <c r="D504" s="47" t="s">
        <v>987</v>
      </c>
      <c r="E504" s="47" t="s">
        <v>988</v>
      </c>
      <c r="F504" s="47" t="s">
        <v>19</v>
      </c>
      <c r="G504" s="47" t="s">
        <v>46</v>
      </c>
      <c r="H504" s="47" t="e">
        <f>VLOOKUP(D504,#REF!,7,FALSE)</f>
        <v>#REF!</v>
      </c>
      <c r="I504" s="47" t="e">
        <f>VLOOKUP(H504,#REF!,2,FALSE)</f>
        <v>#REF!</v>
      </c>
    </row>
    <row r="505" spans="1:9" x14ac:dyDescent="0.25">
      <c r="A505" s="47" t="s">
        <v>812</v>
      </c>
      <c r="B505" s="47" t="s">
        <v>47</v>
      </c>
      <c r="C505" s="47" t="s">
        <v>819</v>
      </c>
      <c r="D505" s="47" t="s">
        <v>989</v>
      </c>
      <c r="E505" s="47" t="s">
        <v>990</v>
      </c>
      <c r="F505" s="47" t="s">
        <v>28</v>
      </c>
      <c r="G505" s="47" t="s">
        <v>822</v>
      </c>
      <c r="H505" s="47" t="e">
        <f>VLOOKUP(D505,#REF!,7,FALSE)</f>
        <v>#REF!</v>
      </c>
      <c r="I505" s="47" t="e">
        <f>VLOOKUP(H505,#REF!,2,FALSE)</f>
        <v>#REF!</v>
      </c>
    </row>
    <row r="506" spans="1:9" x14ac:dyDescent="0.25">
      <c r="A506" s="47" t="s">
        <v>812</v>
      </c>
      <c r="B506" s="47" t="s">
        <v>10</v>
      </c>
      <c r="C506" s="47" t="s">
        <v>802</v>
      </c>
      <c r="D506" s="47" t="s">
        <v>991</v>
      </c>
      <c r="E506" s="47" t="s">
        <v>992</v>
      </c>
      <c r="F506" s="47" t="s">
        <v>14</v>
      </c>
      <c r="G506" s="47" t="s">
        <v>65</v>
      </c>
      <c r="H506" s="47" t="e">
        <f>VLOOKUP(D506,#REF!,7,FALSE)</f>
        <v>#REF!</v>
      </c>
      <c r="I506" s="47" t="e">
        <f>VLOOKUP(H506,#REF!,2,FALSE)</f>
        <v>#REF!</v>
      </c>
    </row>
    <row r="507" spans="1:9" x14ac:dyDescent="0.25">
      <c r="A507" s="47" t="s">
        <v>812</v>
      </c>
      <c r="B507" s="47" t="s">
        <v>140</v>
      </c>
      <c r="C507" s="47" t="s">
        <v>808</v>
      </c>
      <c r="D507" s="47" t="s">
        <v>282</v>
      </c>
      <c r="E507" s="47" t="s">
        <v>283</v>
      </c>
      <c r="F507" s="47" t="s">
        <v>14</v>
      </c>
      <c r="G507" s="47" t="s">
        <v>368</v>
      </c>
      <c r="H507" s="47" t="e">
        <f>VLOOKUP(D507,#REF!,7,FALSE)</f>
        <v>#REF!</v>
      </c>
      <c r="I507" s="47" t="e">
        <f>VLOOKUP(H507,#REF!,2,FALSE)</f>
        <v>#REF!</v>
      </c>
    </row>
    <row r="508" spans="1:9" x14ac:dyDescent="0.25">
      <c r="A508" s="47" t="s">
        <v>781</v>
      </c>
      <c r="B508" s="47" t="s">
        <v>96</v>
      </c>
      <c r="C508" s="47" t="s">
        <v>880</v>
      </c>
      <c r="D508" s="47" t="s">
        <v>993</v>
      </c>
      <c r="E508" s="47" t="s">
        <v>994</v>
      </c>
      <c r="F508" s="47" t="s">
        <v>14</v>
      </c>
      <c r="G508" s="47" t="s">
        <v>492</v>
      </c>
      <c r="H508" s="47" t="e">
        <f>VLOOKUP(D508,#REF!,7,FALSE)</f>
        <v>#REF!</v>
      </c>
      <c r="I508" s="47" t="e">
        <f>VLOOKUP(H508,#REF!,2,FALSE)</f>
        <v>#REF!</v>
      </c>
    </row>
    <row r="509" spans="1:9" x14ac:dyDescent="0.25">
      <c r="A509" s="47" t="s">
        <v>781</v>
      </c>
      <c r="B509" s="47" t="s">
        <v>10</v>
      </c>
      <c r="C509" s="47" t="s">
        <v>816</v>
      </c>
      <c r="D509" s="47" t="s">
        <v>995</v>
      </c>
      <c r="E509" s="47" t="s">
        <v>996</v>
      </c>
      <c r="F509" s="47" t="s">
        <v>28</v>
      </c>
      <c r="G509" s="47" t="s">
        <v>83</v>
      </c>
      <c r="H509" s="47" t="e">
        <f>VLOOKUP(D509,#REF!,7,FALSE)</f>
        <v>#REF!</v>
      </c>
      <c r="I509" s="47" t="e">
        <f>VLOOKUP(H509,#REF!,2,FALSE)</f>
        <v>#REF!</v>
      </c>
    </row>
    <row r="510" spans="1:9" x14ac:dyDescent="0.25">
      <c r="A510" s="47" t="s">
        <v>812</v>
      </c>
      <c r="B510" s="47" t="s">
        <v>10</v>
      </c>
      <c r="C510" s="47" t="s">
        <v>39</v>
      </c>
      <c r="D510" s="47" t="s">
        <v>124</v>
      </c>
      <c r="E510" s="47" t="s">
        <v>125</v>
      </c>
      <c r="F510" s="47" t="s">
        <v>37</v>
      </c>
      <c r="G510" s="47" t="s">
        <v>38</v>
      </c>
      <c r="H510" s="47" t="e">
        <f>VLOOKUP(D510,#REF!,7,FALSE)</f>
        <v>#REF!</v>
      </c>
      <c r="I510" s="47" t="e">
        <f>VLOOKUP(H510,#REF!,2,FALSE)</f>
        <v>#REF!</v>
      </c>
    </row>
    <row r="511" spans="1:9" x14ac:dyDescent="0.25">
      <c r="A511" s="47" t="s">
        <v>812</v>
      </c>
      <c r="B511" s="47" t="s">
        <v>10</v>
      </c>
      <c r="C511" s="47" t="s">
        <v>129</v>
      </c>
      <c r="D511" s="47" t="s">
        <v>171</v>
      </c>
      <c r="E511" s="47" t="s">
        <v>172</v>
      </c>
      <c r="F511" s="47" t="s">
        <v>37</v>
      </c>
      <c r="G511" s="47" t="s">
        <v>42</v>
      </c>
      <c r="H511" s="47" t="e">
        <f>VLOOKUP(D511,#REF!,7,FALSE)</f>
        <v>#REF!</v>
      </c>
      <c r="I511" s="47" t="e">
        <f>VLOOKUP(H511,#REF!,2,FALSE)</f>
        <v>#REF!</v>
      </c>
    </row>
    <row r="512" spans="1:9" x14ac:dyDescent="0.25">
      <c r="A512" s="47" t="s">
        <v>812</v>
      </c>
      <c r="B512" s="47" t="s">
        <v>10</v>
      </c>
      <c r="C512" s="47" t="s">
        <v>823</v>
      </c>
      <c r="D512" s="47" t="s">
        <v>997</v>
      </c>
      <c r="E512" s="47" t="s">
        <v>998</v>
      </c>
      <c r="F512" s="47" t="s">
        <v>37</v>
      </c>
      <c r="G512" s="47" t="s">
        <v>136</v>
      </c>
      <c r="H512" s="47" t="e">
        <f>VLOOKUP(D512,#REF!,7,FALSE)</f>
        <v>#REF!</v>
      </c>
      <c r="I512" s="47" t="e">
        <f>VLOOKUP(H512,#REF!,2,FALSE)</f>
        <v>#REF!</v>
      </c>
    </row>
    <row r="513" spans="1:9" x14ac:dyDescent="0.25">
      <c r="A513" s="47" t="s">
        <v>812</v>
      </c>
      <c r="B513" s="47" t="s">
        <v>10</v>
      </c>
      <c r="C513" s="47" t="s">
        <v>160</v>
      </c>
      <c r="D513" s="47" t="s">
        <v>199</v>
      </c>
      <c r="E513" s="47" t="s">
        <v>200</v>
      </c>
      <c r="F513" s="47" t="s">
        <v>37</v>
      </c>
      <c r="G513" s="47" t="s">
        <v>308</v>
      </c>
      <c r="H513" s="47" t="e">
        <f>VLOOKUP(D513,#REF!,7,FALSE)</f>
        <v>#REF!</v>
      </c>
      <c r="I513" s="47" t="e">
        <f>VLOOKUP(H513,#REF!,2,FALSE)</f>
        <v>#REF!</v>
      </c>
    </row>
    <row r="514" spans="1:9" x14ac:dyDescent="0.25">
      <c r="A514" s="47" t="s">
        <v>812</v>
      </c>
      <c r="B514" s="47" t="s">
        <v>10</v>
      </c>
      <c r="C514" s="47" t="s">
        <v>823</v>
      </c>
      <c r="D514" s="47" t="s">
        <v>999</v>
      </c>
      <c r="E514" s="47" t="s">
        <v>296</v>
      </c>
      <c r="F514" s="47" t="s">
        <v>37</v>
      </c>
      <c r="G514" s="47" t="s">
        <v>136</v>
      </c>
      <c r="H514" s="47" t="e">
        <f>VLOOKUP(D514,#REF!,7,FALSE)</f>
        <v>#REF!</v>
      </c>
      <c r="I514" s="47" t="e">
        <f>VLOOKUP(H514,#REF!,2,FALSE)</f>
        <v>#REF!</v>
      </c>
    </row>
    <row r="515" spans="1:9" x14ac:dyDescent="0.25">
      <c r="A515" s="47" t="s">
        <v>812</v>
      </c>
      <c r="B515" s="47" t="s">
        <v>10</v>
      </c>
      <c r="C515" s="47" t="s">
        <v>34</v>
      </c>
      <c r="D515" s="47" t="s">
        <v>35</v>
      </c>
      <c r="E515" s="47" t="s">
        <v>36</v>
      </c>
      <c r="F515" s="47" t="s">
        <v>37</v>
      </c>
      <c r="G515" s="47" t="s">
        <v>38</v>
      </c>
      <c r="H515" s="47" t="e">
        <f>VLOOKUP(D515,#REF!,7,FALSE)</f>
        <v>#REF!</v>
      </c>
      <c r="I515" s="47" t="e">
        <f>VLOOKUP(H515,#REF!,2,FALSE)</f>
        <v>#REF!</v>
      </c>
    </row>
    <row r="516" spans="1:9" x14ac:dyDescent="0.25">
      <c r="A516" s="47" t="s">
        <v>812</v>
      </c>
      <c r="B516" s="47" t="s">
        <v>10</v>
      </c>
      <c r="C516" s="47" t="s">
        <v>180</v>
      </c>
      <c r="D516" s="47" t="s">
        <v>297</v>
      </c>
      <c r="E516" s="47" t="s">
        <v>298</v>
      </c>
      <c r="F516" s="47" t="s">
        <v>37</v>
      </c>
      <c r="G516" s="47" t="s">
        <v>132</v>
      </c>
      <c r="H516" s="47" t="e">
        <f>VLOOKUP(D516,#REF!,7,FALSE)</f>
        <v>#REF!</v>
      </c>
      <c r="I516" s="47" t="e">
        <f>VLOOKUP(H516,#REF!,2,FALSE)</f>
        <v>#REF!</v>
      </c>
    </row>
    <row r="517" spans="1:9" x14ac:dyDescent="0.25">
      <c r="A517" s="47" t="s">
        <v>781</v>
      </c>
      <c r="B517" s="47" t="s">
        <v>96</v>
      </c>
      <c r="C517" s="47" t="s">
        <v>811</v>
      </c>
      <c r="D517" s="47" t="s">
        <v>697</v>
      </c>
      <c r="E517" s="47" t="s">
        <v>698</v>
      </c>
      <c r="F517" s="47" t="s">
        <v>19</v>
      </c>
      <c r="G517" s="47" t="s">
        <v>24</v>
      </c>
      <c r="H517" s="47" t="e">
        <f>VLOOKUP(D517,#REF!,7,FALSE)</f>
        <v>#REF!</v>
      </c>
      <c r="I517" s="47" t="e">
        <f>VLOOKUP(H517,#REF!,2,FALSE)</f>
        <v>#REF!</v>
      </c>
    </row>
    <row r="518" spans="1:9" x14ac:dyDescent="0.25">
      <c r="A518" s="47" t="s">
        <v>812</v>
      </c>
      <c r="B518" s="47" t="s">
        <v>10</v>
      </c>
      <c r="C518" s="47" t="s">
        <v>535</v>
      </c>
      <c r="D518" s="47" t="s">
        <v>651</v>
      </c>
      <c r="E518" s="47" t="s">
        <v>652</v>
      </c>
      <c r="F518" s="47" t="s">
        <v>19</v>
      </c>
      <c r="G518" s="47" t="s">
        <v>83</v>
      </c>
      <c r="H518" s="47" t="e">
        <f>VLOOKUP(D518,#REF!,7,FALSE)</f>
        <v>#REF!</v>
      </c>
      <c r="I518" s="47" t="e">
        <f>VLOOKUP(H518,#REF!,2,FALSE)</f>
        <v>#REF!</v>
      </c>
    </row>
    <row r="519" spans="1:9" x14ac:dyDescent="0.25">
      <c r="A519" s="47" t="s">
        <v>812</v>
      </c>
      <c r="B519" s="47" t="s">
        <v>96</v>
      </c>
      <c r="C519" s="47" t="s">
        <v>1001</v>
      </c>
      <c r="D519" s="47" t="s">
        <v>1002</v>
      </c>
      <c r="E519" s="47" t="s">
        <v>381</v>
      </c>
      <c r="F519" s="47" t="s">
        <v>19</v>
      </c>
      <c r="G519" s="47" t="s">
        <v>20</v>
      </c>
      <c r="H519" s="47" t="e">
        <f>VLOOKUP(D519,#REF!,7,FALSE)</f>
        <v>#REF!</v>
      </c>
      <c r="I519" s="47" t="e">
        <f>VLOOKUP(H519,#REF!,2,FALSE)</f>
        <v>#REF!</v>
      </c>
    </row>
    <row r="520" spans="1:9" x14ac:dyDescent="0.25">
      <c r="A520" s="47" t="s">
        <v>812</v>
      </c>
      <c r="B520" s="47" t="s">
        <v>47</v>
      </c>
      <c r="C520" s="47" t="s">
        <v>805</v>
      </c>
      <c r="D520" s="47" t="s">
        <v>669</v>
      </c>
      <c r="E520" s="47" t="s">
        <v>670</v>
      </c>
      <c r="F520" s="47" t="s">
        <v>14</v>
      </c>
      <c r="G520" s="47" t="s">
        <v>103</v>
      </c>
      <c r="H520" s="47" t="e">
        <f>VLOOKUP(D520,#REF!,7,FALSE)</f>
        <v>#REF!</v>
      </c>
      <c r="I520" s="47" t="e">
        <f>VLOOKUP(H520,#REF!,2,FALSE)</f>
        <v>#REF!</v>
      </c>
    </row>
    <row r="521" spans="1:9" x14ac:dyDescent="0.25">
      <c r="A521" s="47" t="s">
        <v>812</v>
      </c>
      <c r="B521" s="47" t="s">
        <v>96</v>
      </c>
      <c r="C521" s="47" t="s">
        <v>794</v>
      </c>
      <c r="D521" s="47" t="s">
        <v>1003</v>
      </c>
      <c r="E521" s="47" t="s">
        <v>478</v>
      </c>
      <c r="F521" s="47" t="s">
        <v>14</v>
      </c>
      <c r="G521" s="47" t="s">
        <v>65</v>
      </c>
      <c r="H521" s="47" t="e">
        <f>VLOOKUP(D521,#REF!,7,FALSE)</f>
        <v>#REF!</v>
      </c>
      <c r="I521" s="47" t="e">
        <f>VLOOKUP(H521,#REF!,2,FALSE)</f>
        <v>#REF!</v>
      </c>
    </row>
    <row r="522" spans="1:9" x14ac:dyDescent="0.25">
      <c r="A522" s="47" t="s">
        <v>812</v>
      </c>
      <c r="B522" s="47" t="s">
        <v>47</v>
      </c>
      <c r="C522" s="47" t="s">
        <v>1004</v>
      </c>
      <c r="D522" s="47" t="s">
        <v>1005</v>
      </c>
      <c r="E522" s="47" t="s">
        <v>1006</v>
      </c>
      <c r="F522" s="47" t="s">
        <v>28</v>
      </c>
      <c r="G522" s="47" t="s">
        <v>51</v>
      </c>
      <c r="H522" s="47" t="e">
        <f>VLOOKUP(D522,#REF!,7,FALSE)</f>
        <v>#REF!</v>
      </c>
      <c r="I522" s="47" t="e">
        <f>VLOOKUP(H522,#REF!,2,FALSE)</f>
        <v>#REF!</v>
      </c>
    </row>
    <row r="523" spans="1:9" x14ac:dyDescent="0.25">
      <c r="A523" s="47" t="s">
        <v>812</v>
      </c>
      <c r="B523" s="47" t="s">
        <v>47</v>
      </c>
      <c r="C523" s="47" t="s">
        <v>850</v>
      </c>
      <c r="D523" s="47" t="s">
        <v>1007</v>
      </c>
      <c r="E523" s="47" t="s">
        <v>1008</v>
      </c>
      <c r="F523" s="47" t="s">
        <v>28</v>
      </c>
      <c r="G523" s="47" t="s">
        <v>792</v>
      </c>
      <c r="H523" s="47" t="e">
        <f>VLOOKUP(D523,#REF!,7,FALSE)</f>
        <v>#REF!</v>
      </c>
      <c r="I523" s="47" t="e">
        <f>VLOOKUP(H523,#REF!,2,FALSE)</f>
        <v>#REF!</v>
      </c>
    </row>
    <row r="524" spans="1:9" x14ac:dyDescent="0.25">
      <c r="A524" s="47" t="s">
        <v>812</v>
      </c>
      <c r="B524" s="47" t="s">
        <v>47</v>
      </c>
      <c r="C524" s="47" t="s">
        <v>802</v>
      </c>
      <c r="D524" s="47" t="s">
        <v>406</v>
      </c>
      <c r="E524" s="47" t="s">
        <v>1009</v>
      </c>
      <c r="F524" s="47" t="s">
        <v>14</v>
      </c>
      <c r="G524" s="47" t="s">
        <v>65</v>
      </c>
      <c r="H524" s="47" t="e">
        <f>VLOOKUP(D524,#REF!,7,FALSE)</f>
        <v>#REF!</v>
      </c>
      <c r="I524" s="47" t="e">
        <f>VLOOKUP(H524,#REF!,2,FALSE)</f>
        <v>#REF!</v>
      </c>
    </row>
    <row r="525" spans="1:9" x14ac:dyDescent="0.25">
      <c r="A525" s="47" t="s">
        <v>812</v>
      </c>
      <c r="B525" s="47" t="s">
        <v>47</v>
      </c>
      <c r="C525" s="47" t="s">
        <v>919</v>
      </c>
      <c r="D525" s="47" t="s">
        <v>647</v>
      </c>
      <c r="E525" s="47" t="s">
        <v>648</v>
      </c>
      <c r="F525" s="47" t="s">
        <v>19</v>
      </c>
      <c r="G525" s="47" t="s">
        <v>83</v>
      </c>
      <c r="H525" s="47" t="e">
        <f>VLOOKUP(D525,#REF!,7,FALSE)</f>
        <v>#REF!</v>
      </c>
      <c r="I525" s="47" t="e">
        <f>VLOOKUP(H525,#REF!,2,FALSE)</f>
        <v>#REF!</v>
      </c>
    </row>
    <row r="526" spans="1:9" x14ac:dyDescent="0.25">
      <c r="A526" s="47" t="s">
        <v>781</v>
      </c>
      <c r="B526" s="47" t="s">
        <v>47</v>
      </c>
      <c r="C526" s="47" t="s">
        <v>787</v>
      </c>
      <c r="D526" s="47" t="s">
        <v>1010</v>
      </c>
      <c r="E526" s="47" t="s">
        <v>1011</v>
      </c>
      <c r="F526" s="47" t="s">
        <v>14</v>
      </c>
      <c r="G526" s="47" t="s">
        <v>492</v>
      </c>
      <c r="H526" s="47" t="e">
        <f>VLOOKUP(D526,#REF!,7,FALSE)</f>
        <v>#REF!</v>
      </c>
      <c r="I526" s="47" t="e">
        <f>VLOOKUP(H526,#REF!,2,FALSE)</f>
        <v>#REF!</v>
      </c>
    </row>
    <row r="527" spans="1:9" x14ac:dyDescent="0.25">
      <c r="A527" s="47" t="s">
        <v>781</v>
      </c>
      <c r="B527" s="47" t="s">
        <v>140</v>
      </c>
      <c r="C527" s="47" t="s">
        <v>784</v>
      </c>
      <c r="D527" s="47" t="s">
        <v>447</v>
      </c>
      <c r="E527" s="47" t="s">
        <v>448</v>
      </c>
      <c r="F527" s="47" t="s">
        <v>19</v>
      </c>
      <c r="G527" s="47" t="s">
        <v>20</v>
      </c>
      <c r="H527" s="47" t="e">
        <f>VLOOKUP(D527,#REF!,7,FALSE)</f>
        <v>#REF!</v>
      </c>
      <c r="I527" s="47" t="e">
        <f>VLOOKUP(H527,#REF!,2,FALSE)</f>
        <v>#REF!</v>
      </c>
    </row>
    <row r="528" spans="1:9" x14ac:dyDescent="0.25">
      <c r="A528" s="47" t="s">
        <v>812</v>
      </c>
      <c r="B528" s="47" t="s">
        <v>47</v>
      </c>
      <c r="C528" s="47" t="s">
        <v>808</v>
      </c>
      <c r="D528" s="47" t="s">
        <v>1012</v>
      </c>
      <c r="E528" s="47" t="s">
        <v>1013</v>
      </c>
      <c r="F528" s="47" t="s">
        <v>14</v>
      </c>
      <c r="G528" s="47" t="s">
        <v>363</v>
      </c>
      <c r="H528" s="47" t="e">
        <f>VLOOKUP(D528,#REF!,7,FALSE)</f>
        <v>#REF!</v>
      </c>
      <c r="I528" s="47" t="e">
        <f>VLOOKUP(H528,#REF!,2,FALSE)</f>
        <v>#REF!</v>
      </c>
    </row>
    <row r="529" spans="1:9" x14ac:dyDescent="0.25">
      <c r="A529" s="47" t="s">
        <v>812</v>
      </c>
      <c r="B529" s="47" t="s">
        <v>47</v>
      </c>
      <c r="C529" s="47" t="s">
        <v>1014</v>
      </c>
      <c r="D529" s="47" t="s">
        <v>1245</v>
      </c>
      <c r="E529" s="47" t="s">
        <v>1016</v>
      </c>
      <c r="F529" s="47" t="s">
        <v>19</v>
      </c>
      <c r="G529" s="47" t="s">
        <v>91</v>
      </c>
      <c r="H529" s="47" t="e">
        <f>VLOOKUP(D529,#REF!,7,FALSE)</f>
        <v>#REF!</v>
      </c>
      <c r="I529" s="47" t="e">
        <f>VLOOKUP(H529,#REF!,2,FALSE)</f>
        <v>#REF!</v>
      </c>
    </row>
    <row r="530" spans="1:9" x14ac:dyDescent="0.25">
      <c r="A530" s="47" t="s">
        <v>812</v>
      </c>
      <c r="B530" s="47" t="s">
        <v>47</v>
      </c>
      <c r="C530" s="47" t="s">
        <v>920</v>
      </c>
      <c r="D530" s="47" t="s">
        <v>1017</v>
      </c>
      <c r="E530" s="47" t="s">
        <v>1018</v>
      </c>
      <c r="F530" s="47" t="s">
        <v>19</v>
      </c>
      <c r="G530" s="47" t="s">
        <v>15</v>
      </c>
      <c r="H530" s="47" t="e">
        <f>VLOOKUP(D530,#REF!,7,FALSE)</f>
        <v>#REF!</v>
      </c>
      <c r="I530" s="47" t="e">
        <f>VLOOKUP(H530,#REF!,2,FALSE)</f>
        <v>#REF!</v>
      </c>
    </row>
    <row r="531" spans="1:9" x14ac:dyDescent="0.25">
      <c r="A531" s="47" t="s">
        <v>781</v>
      </c>
      <c r="B531" s="47" t="s">
        <v>10</v>
      </c>
      <c r="C531" s="47" t="s">
        <v>1227</v>
      </c>
      <c r="D531" s="47" t="s">
        <v>820</v>
      </c>
      <c r="E531" s="47" t="s">
        <v>1228</v>
      </c>
      <c r="F531" s="47" t="s">
        <v>28</v>
      </c>
      <c r="G531" s="47" t="s">
        <v>24</v>
      </c>
      <c r="H531" s="47" t="e">
        <f>VLOOKUP(D531,#REF!,7,FALSE)</f>
        <v>#REF!</v>
      </c>
      <c r="I531" s="47" t="e">
        <f>VLOOKUP(H531,#REF!,2,FALSE)</f>
        <v>#REF!</v>
      </c>
    </row>
    <row r="532" spans="1:9" x14ac:dyDescent="0.25">
      <c r="A532" s="47" t="s">
        <v>812</v>
      </c>
      <c r="B532" s="47" t="s">
        <v>47</v>
      </c>
      <c r="C532" s="47" t="s">
        <v>357</v>
      </c>
      <c r="D532" s="47" t="s">
        <v>580</v>
      </c>
      <c r="E532" s="47" t="s">
        <v>581</v>
      </c>
      <c r="F532" s="47" t="s">
        <v>19</v>
      </c>
      <c r="G532" s="47" t="s">
        <v>287</v>
      </c>
      <c r="H532" s="47" t="e">
        <f>VLOOKUP(D532,#REF!,7,FALSE)</f>
        <v>#REF!</v>
      </c>
      <c r="I532" s="47" t="e">
        <f>VLOOKUP(H532,#REF!,2,FALSE)</f>
        <v>#REF!</v>
      </c>
    </row>
    <row r="533" spans="1:9" x14ac:dyDescent="0.25">
      <c r="A533" s="47" t="s">
        <v>781</v>
      </c>
      <c r="B533" s="47" t="s">
        <v>10</v>
      </c>
      <c r="C533" s="47" t="s">
        <v>880</v>
      </c>
      <c r="D533" s="47" t="s">
        <v>1022</v>
      </c>
      <c r="E533" s="47" t="s">
        <v>1023</v>
      </c>
      <c r="F533" s="47" t="s">
        <v>14</v>
      </c>
      <c r="G533" s="47" t="s">
        <v>368</v>
      </c>
      <c r="H533" s="47" t="e">
        <f>VLOOKUP(D533,#REF!,7,FALSE)</f>
        <v>#REF!</v>
      </c>
      <c r="I533" s="47" t="e">
        <f>VLOOKUP(H533,#REF!,2,FALSE)</f>
        <v>#REF!</v>
      </c>
    </row>
    <row r="534" spans="1:9" x14ac:dyDescent="0.25">
      <c r="A534" s="47" t="s">
        <v>781</v>
      </c>
      <c r="B534" s="47" t="s">
        <v>47</v>
      </c>
      <c r="C534" s="47" t="s">
        <v>1201</v>
      </c>
      <c r="D534" s="47" t="s">
        <v>1024</v>
      </c>
      <c r="E534" s="47" t="s">
        <v>1025</v>
      </c>
      <c r="F534" s="47" t="s">
        <v>19</v>
      </c>
      <c r="G534" s="47" t="s">
        <v>33</v>
      </c>
      <c r="H534" s="47" t="e">
        <f>VLOOKUP(D534,#REF!,7,FALSE)</f>
        <v>#REF!</v>
      </c>
      <c r="I534" s="47" t="e">
        <f>VLOOKUP(H534,#REF!,2,FALSE)</f>
        <v>#REF!</v>
      </c>
    </row>
    <row r="535" spans="1:9" x14ac:dyDescent="0.25">
      <c r="A535" s="47" t="s">
        <v>812</v>
      </c>
      <c r="B535" s="47" t="s">
        <v>96</v>
      </c>
      <c r="C535" s="47" t="s">
        <v>805</v>
      </c>
      <c r="D535" s="47" t="s">
        <v>1026</v>
      </c>
      <c r="E535" s="47" t="s">
        <v>1027</v>
      </c>
      <c r="F535" s="47" t="s">
        <v>14</v>
      </c>
      <c r="G535" s="47" t="s">
        <v>103</v>
      </c>
      <c r="H535" s="47" t="e">
        <f>VLOOKUP(D535,#REF!,7,FALSE)</f>
        <v>#REF!</v>
      </c>
      <c r="I535" s="47" t="e">
        <f>VLOOKUP(H535,#REF!,2,FALSE)</f>
        <v>#REF!</v>
      </c>
    </row>
    <row r="536" spans="1:9" x14ac:dyDescent="0.25">
      <c r="A536" s="47" t="s">
        <v>812</v>
      </c>
      <c r="B536" s="47" t="s">
        <v>96</v>
      </c>
      <c r="C536" s="47" t="s">
        <v>808</v>
      </c>
      <c r="D536" s="47" t="s">
        <v>1028</v>
      </c>
      <c r="E536" s="47" t="s">
        <v>1029</v>
      </c>
      <c r="F536" s="47" t="s">
        <v>14</v>
      </c>
      <c r="G536" s="47" t="s">
        <v>29</v>
      </c>
      <c r="H536" s="47" t="e">
        <f>VLOOKUP(D536,#REF!,7,FALSE)</f>
        <v>#REF!</v>
      </c>
      <c r="I536" s="47" t="e">
        <f>VLOOKUP(H536,#REF!,2,FALSE)</f>
        <v>#REF!</v>
      </c>
    </row>
    <row r="537" spans="1:9" x14ac:dyDescent="0.25">
      <c r="A537" s="47" t="s">
        <v>812</v>
      </c>
      <c r="B537" s="47" t="s">
        <v>96</v>
      </c>
      <c r="C537" s="47" t="s">
        <v>785</v>
      </c>
      <c r="D537" s="47" t="s">
        <v>1481</v>
      </c>
      <c r="E537" s="47" t="s">
        <v>547</v>
      </c>
      <c r="F537" s="47" t="s">
        <v>19</v>
      </c>
      <c r="G537" s="47" t="s">
        <v>287</v>
      </c>
      <c r="H537" s="47" t="e">
        <f>VLOOKUP(D537,#REF!,7,FALSE)</f>
        <v>#REF!</v>
      </c>
      <c r="I537" s="47" t="e">
        <f>VLOOKUP(H537,#REF!,2,FALSE)</f>
        <v>#REF!</v>
      </c>
    </row>
    <row r="538" spans="1:9" x14ac:dyDescent="0.25">
      <c r="A538" s="47" t="s">
        <v>781</v>
      </c>
      <c r="B538" s="47" t="s">
        <v>96</v>
      </c>
      <c r="C538" s="47" t="s">
        <v>826</v>
      </c>
      <c r="D538" s="47" t="s">
        <v>1030</v>
      </c>
      <c r="E538" s="47" t="s">
        <v>1031</v>
      </c>
      <c r="F538" s="47" t="s">
        <v>14</v>
      </c>
      <c r="G538" s="47" t="s">
        <v>363</v>
      </c>
      <c r="H538" s="47" t="e">
        <f>VLOOKUP(D538,#REF!,7,FALSE)</f>
        <v>#REF!</v>
      </c>
      <c r="I538" s="47" t="e">
        <f>VLOOKUP(H538,#REF!,2,FALSE)</f>
        <v>#REF!</v>
      </c>
    </row>
    <row r="539" spans="1:9" x14ac:dyDescent="0.25">
      <c r="A539" s="47" t="s">
        <v>812</v>
      </c>
      <c r="B539" s="47" t="s">
        <v>96</v>
      </c>
      <c r="C539" s="47" t="s">
        <v>847</v>
      </c>
      <c r="D539" s="47" t="s">
        <v>1032</v>
      </c>
      <c r="E539" s="47" t="s">
        <v>1033</v>
      </c>
      <c r="F539" s="47" t="s">
        <v>19</v>
      </c>
      <c r="G539" s="47" t="s">
        <v>267</v>
      </c>
      <c r="H539" s="47" t="e">
        <f>VLOOKUP(D539,#REF!,7,FALSE)</f>
        <v>#REF!</v>
      </c>
      <c r="I539" s="47" t="e">
        <f>VLOOKUP(H539,#REF!,2,FALSE)</f>
        <v>#REF!</v>
      </c>
    </row>
    <row r="540" spans="1:9" x14ac:dyDescent="0.25">
      <c r="A540" s="47" t="s">
        <v>812</v>
      </c>
      <c r="B540" s="47" t="s">
        <v>96</v>
      </c>
      <c r="C540" s="47" t="s">
        <v>904</v>
      </c>
      <c r="D540" s="47" t="s">
        <v>1034</v>
      </c>
      <c r="E540" s="47" t="s">
        <v>1035</v>
      </c>
      <c r="F540" s="47" t="s">
        <v>28</v>
      </c>
      <c r="G540" s="47" t="s">
        <v>55</v>
      </c>
      <c r="H540" s="47" t="e">
        <f>VLOOKUP(D540,#REF!,7,FALSE)</f>
        <v>#REF!</v>
      </c>
      <c r="I540" s="47" t="e">
        <f>VLOOKUP(H540,#REF!,2,FALSE)</f>
        <v>#REF!</v>
      </c>
    </row>
    <row r="541" spans="1:9" x14ac:dyDescent="0.25">
      <c r="A541" s="47" t="s">
        <v>812</v>
      </c>
      <c r="B541" s="47" t="s">
        <v>96</v>
      </c>
      <c r="C541" s="47" t="s">
        <v>1004</v>
      </c>
      <c r="D541" s="47" t="s">
        <v>1036</v>
      </c>
      <c r="E541" s="47" t="s">
        <v>1037</v>
      </c>
      <c r="F541" s="47" t="s">
        <v>28</v>
      </c>
      <c r="G541" s="47" t="s">
        <v>51</v>
      </c>
      <c r="H541" s="47" t="e">
        <f>VLOOKUP(D541,#REF!,7,FALSE)</f>
        <v>#REF!</v>
      </c>
      <c r="I541" s="47" t="e">
        <f>VLOOKUP(H541,#REF!,2,FALSE)</f>
        <v>#REF!</v>
      </c>
    </row>
    <row r="542" spans="1:9" x14ac:dyDescent="0.25">
      <c r="A542" s="47" t="s">
        <v>812</v>
      </c>
      <c r="B542" s="47" t="s">
        <v>10</v>
      </c>
      <c r="C542" s="47" t="s">
        <v>1038</v>
      </c>
      <c r="D542" s="47" t="s">
        <v>1039</v>
      </c>
      <c r="E542" s="47" t="s">
        <v>1040</v>
      </c>
      <c r="F542" s="47" t="s">
        <v>28</v>
      </c>
      <c r="G542" s="47" t="s">
        <v>79</v>
      </c>
      <c r="H542" s="47" t="e">
        <f>VLOOKUP(D542,#REF!,7,FALSE)</f>
        <v>#REF!</v>
      </c>
      <c r="I542" s="47" t="e">
        <f>VLOOKUP(H542,#REF!,2,FALSE)</f>
        <v>#REF!</v>
      </c>
    </row>
    <row r="543" spans="1:9" x14ac:dyDescent="0.25">
      <c r="A543" s="47" t="s">
        <v>812</v>
      </c>
      <c r="B543" s="47" t="s">
        <v>96</v>
      </c>
      <c r="C543" s="47" t="s">
        <v>786</v>
      </c>
      <c r="D543" s="47" t="s">
        <v>1041</v>
      </c>
      <c r="E543" s="47" t="s">
        <v>1042</v>
      </c>
      <c r="F543" s="47" t="s">
        <v>14</v>
      </c>
      <c r="G543" s="47" t="s">
        <v>220</v>
      </c>
      <c r="H543" s="47" t="e">
        <f>VLOOKUP(D543,#REF!,7,FALSE)</f>
        <v>#REF!</v>
      </c>
      <c r="I543" s="47" t="e">
        <f>VLOOKUP(H543,#REF!,2,FALSE)</f>
        <v>#REF!</v>
      </c>
    </row>
    <row r="544" spans="1:9" x14ac:dyDescent="0.25">
      <c r="A544" s="47" t="s">
        <v>812</v>
      </c>
      <c r="B544" s="47" t="s">
        <v>96</v>
      </c>
      <c r="C544" s="47" t="s">
        <v>811</v>
      </c>
      <c r="D544" s="47" t="s">
        <v>454</v>
      </c>
      <c r="E544" s="47" t="s">
        <v>455</v>
      </c>
      <c r="F544" s="47" t="s">
        <v>19</v>
      </c>
      <c r="G544" s="47" t="s">
        <v>237</v>
      </c>
      <c r="H544" s="47" t="e">
        <f>VLOOKUP(D544,#REF!,7,FALSE)</f>
        <v>#REF!</v>
      </c>
      <c r="I544" s="47" t="e">
        <f>VLOOKUP(H544,#REF!,2,FALSE)</f>
        <v>#REF!</v>
      </c>
    </row>
    <row r="545" spans="1:9" x14ac:dyDescent="0.25">
      <c r="A545" s="47" t="s">
        <v>812</v>
      </c>
      <c r="B545" s="47" t="s">
        <v>96</v>
      </c>
      <c r="C545" s="47" t="s">
        <v>913</v>
      </c>
      <c r="D545" s="47" t="s">
        <v>232</v>
      </c>
      <c r="E545" s="47" t="s">
        <v>233</v>
      </c>
      <c r="F545" s="47" t="s">
        <v>14</v>
      </c>
      <c r="G545" s="47" t="s">
        <v>112</v>
      </c>
      <c r="H545" s="47" t="e">
        <f>VLOOKUP(D545,#REF!,7,FALSE)</f>
        <v>#REF!</v>
      </c>
      <c r="I545" s="47" t="e">
        <f>VLOOKUP(H545,#REF!,2,FALSE)</f>
        <v>#REF!</v>
      </c>
    </row>
    <row r="546" spans="1:9" x14ac:dyDescent="0.25">
      <c r="A546" s="47" t="s">
        <v>812</v>
      </c>
      <c r="B546" s="47" t="s">
        <v>96</v>
      </c>
      <c r="C546" s="47" t="s">
        <v>1202</v>
      </c>
      <c r="D546" s="47" t="s">
        <v>1043</v>
      </c>
      <c r="E546" s="47" t="s">
        <v>1044</v>
      </c>
      <c r="F546" s="47" t="s">
        <v>19</v>
      </c>
      <c r="G546" s="47" t="s">
        <v>61</v>
      </c>
      <c r="H546" s="47" t="e">
        <f>VLOOKUP(D546,#REF!,7,FALSE)</f>
        <v>#REF!</v>
      </c>
      <c r="I546" s="47" t="e">
        <f>VLOOKUP(H546,#REF!,2,FALSE)</f>
        <v>#REF!</v>
      </c>
    </row>
    <row r="547" spans="1:9" x14ac:dyDescent="0.25">
      <c r="A547" s="47" t="s">
        <v>812</v>
      </c>
      <c r="B547" s="47" t="s">
        <v>96</v>
      </c>
      <c r="C547" s="47" t="s">
        <v>535</v>
      </c>
      <c r="D547" s="47" t="s">
        <v>536</v>
      </c>
      <c r="E547" s="47" t="s">
        <v>537</v>
      </c>
      <c r="F547" s="47" t="s">
        <v>19</v>
      </c>
      <c r="G547" s="47" t="s">
        <v>87</v>
      </c>
      <c r="H547" s="47" t="e">
        <f>VLOOKUP(D547,#REF!,7,FALSE)</f>
        <v>#REF!</v>
      </c>
      <c r="I547" s="47" t="e">
        <f>VLOOKUP(H547,#REF!,2,FALSE)</f>
        <v>#REF!</v>
      </c>
    </row>
    <row r="548" spans="1:9" x14ac:dyDescent="0.25">
      <c r="A548" s="47" t="s">
        <v>812</v>
      </c>
      <c r="B548" s="47" t="s">
        <v>96</v>
      </c>
      <c r="C548" s="47" t="s">
        <v>880</v>
      </c>
      <c r="D548" s="47" t="s">
        <v>1045</v>
      </c>
      <c r="E548" s="47" t="s">
        <v>1046</v>
      </c>
      <c r="F548" s="47" t="s">
        <v>14</v>
      </c>
      <c r="G548" s="47" t="s">
        <v>983</v>
      </c>
      <c r="H548" s="47" t="e">
        <f>VLOOKUP(D548,#REF!,7,FALSE)</f>
        <v>#REF!</v>
      </c>
      <c r="I548" s="47" t="e">
        <f>VLOOKUP(H548,#REF!,2,FALSE)</f>
        <v>#REF!</v>
      </c>
    </row>
    <row r="549" spans="1:9" x14ac:dyDescent="0.25">
      <c r="A549" s="47" t="s">
        <v>812</v>
      </c>
      <c r="B549" s="47" t="s">
        <v>119</v>
      </c>
      <c r="C549" s="47" t="s">
        <v>120</v>
      </c>
      <c r="D549" s="47" t="s">
        <v>121</v>
      </c>
      <c r="E549" s="47" t="s">
        <v>122</v>
      </c>
      <c r="F549" s="47" t="s">
        <v>37</v>
      </c>
      <c r="G549" s="47" t="s">
        <v>308</v>
      </c>
      <c r="H549" s="47" t="e">
        <f>VLOOKUP(D549,#REF!,7,FALSE)</f>
        <v>#REF!</v>
      </c>
      <c r="I549" s="47" t="e">
        <f>VLOOKUP(H549,#REF!,2,FALSE)</f>
        <v>#REF!</v>
      </c>
    </row>
    <row r="550" spans="1:9" x14ac:dyDescent="0.25">
      <c r="A550" s="47" t="s">
        <v>812</v>
      </c>
      <c r="B550" s="47" t="s">
        <v>119</v>
      </c>
      <c r="C550" s="47" t="s">
        <v>129</v>
      </c>
      <c r="D550" s="47" t="s">
        <v>293</v>
      </c>
      <c r="E550" s="47" t="s">
        <v>294</v>
      </c>
      <c r="F550" s="47" t="s">
        <v>37</v>
      </c>
      <c r="G550" s="47" t="s">
        <v>123</v>
      </c>
      <c r="H550" s="47" t="e">
        <f>VLOOKUP(D550,#REF!,7,FALSE)</f>
        <v>#REF!</v>
      </c>
      <c r="I550" s="47" t="e">
        <f>VLOOKUP(H550,#REF!,2,FALSE)</f>
        <v>#REF!</v>
      </c>
    </row>
    <row r="551" spans="1:9" x14ac:dyDescent="0.25">
      <c r="A551" s="47" t="s">
        <v>812</v>
      </c>
      <c r="B551" s="47" t="s">
        <v>119</v>
      </c>
      <c r="C551" s="47" t="s">
        <v>163</v>
      </c>
      <c r="D551" s="47" t="s">
        <v>300</v>
      </c>
      <c r="E551" s="47" t="s">
        <v>301</v>
      </c>
      <c r="F551" s="47" t="s">
        <v>37</v>
      </c>
      <c r="G551" s="47" t="s">
        <v>132</v>
      </c>
      <c r="H551" s="47" t="e">
        <f>VLOOKUP(D551,#REF!,7,FALSE)</f>
        <v>#REF!</v>
      </c>
      <c r="I551" s="47" t="e">
        <f>VLOOKUP(H551,#REF!,2,FALSE)</f>
        <v>#REF!</v>
      </c>
    </row>
    <row r="552" spans="1:9" x14ac:dyDescent="0.25">
      <c r="A552" s="47" t="s">
        <v>812</v>
      </c>
      <c r="B552" s="47" t="s">
        <v>119</v>
      </c>
      <c r="C552" s="47" t="s">
        <v>136</v>
      </c>
      <c r="D552" s="47" t="s">
        <v>1047</v>
      </c>
      <c r="E552" s="47" t="s">
        <v>1048</v>
      </c>
      <c r="F552" s="47" t="s">
        <v>37</v>
      </c>
      <c r="G552" s="47" t="s">
        <v>136</v>
      </c>
      <c r="H552" s="47" t="e">
        <f>VLOOKUP(D552,#REF!,7,FALSE)</f>
        <v>#REF!</v>
      </c>
      <c r="I552" s="47" t="e">
        <f>VLOOKUP(H552,#REF!,2,FALSE)</f>
        <v>#REF!</v>
      </c>
    </row>
    <row r="553" spans="1:9" x14ac:dyDescent="0.25">
      <c r="A553" s="47" t="s">
        <v>812</v>
      </c>
      <c r="B553" s="47" t="s">
        <v>159</v>
      </c>
      <c r="C553" s="47" t="s">
        <v>160</v>
      </c>
      <c r="D553" s="47" t="s">
        <v>304</v>
      </c>
      <c r="E553" s="47" t="s">
        <v>305</v>
      </c>
      <c r="F553" s="47" t="s">
        <v>37</v>
      </c>
      <c r="G553" s="47" t="s">
        <v>793</v>
      </c>
      <c r="H553" s="47" t="e">
        <f>VLOOKUP(D553,#REF!,7,FALSE)</f>
        <v>#REF!</v>
      </c>
      <c r="I553" s="47" t="e">
        <f>VLOOKUP(H553,#REF!,2,FALSE)</f>
        <v>#REF!</v>
      </c>
    </row>
    <row r="554" spans="1:9" x14ac:dyDescent="0.25">
      <c r="A554" s="47" t="s">
        <v>812</v>
      </c>
      <c r="B554" s="47" t="s">
        <v>119</v>
      </c>
      <c r="C554" s="47" t="s">
        <v>34</v>
      </c>
      <c r="D554" s="47" t="s">
        <v>126</v>
      </c>
      <c r="E554" s="47" t="s">
        <v>127</v>
      </c>
      <c r="F554" s="47" t="s">
        <v>37</v>
      </c>
      <c r="G554" s="47" t="s">
        <v>38</v>
      </c>
      <c r="H554" s="47" t="e">
        <f>VLOOKUP(D554,#REF!,7,FALSE)</f>
        <v>#REF!</v>
      </c>
      <c r="I554" s="47" t="e">
        <f>VLOOKUP(H554,#REF!,2,FALSE)</f>
        <v>#REF!</v>
      </c>
    </row>
    <row r="555" spans="1:9" x14ac:dyDescent="0.25">
      <c r="A555" s="47" t="s">
        <v>812</v>
      </c>
      <c r="B555" s="47" t="s">
        <v>119</v>
      </c>
      <c r="C555" s="47" t="s">
        <v>180</v>
      </c>
      <c r="D555" s="47" t="s">
        <v>274</v>
      </c>
      <c r="E555" s="47" t="s">
        <v>275</v>
      </c>
      <c r="F555" s="47" t="s">
        <v>37</v>
      </c>
      <c r="G555" s="47" t="s">
        <v>42</v>
      </c>
      <c r="H555" s="47" t="e">
        <f>VLOOKUP(D555,#REF!,7,FALSE)</f>
        <v>#REF!</v>
      </c>
      <c r="I555" s="47" t="e">
        <f>VLOOKUP(H555,#REF!,2,FALSE)</f>
        <v>#REF!</v>
      </c>
    </row>
    <row r="556" spans="1:9" x14ac:dyDescent="0.25">
      <c r="A556" s="47" t="s">
        <v>812</v>
      </c>
      <c r="B556" s="47" t="s">
        <v>119</v>
      </c>
      <c r="C556" s="47" t="s">
        <v>39</v>
      </c>
      <c r="D556" s="47" t="s">
        <v>185</v>
      </c>
      <c r="E556" s="47" t="s">
        <v>186</v>
      </c>
      <c r="F556" s="47" t="s">
        <v>37</v>
      </c>
      <c r="G556" s="47" t="s">
        <v>38</v>
      </c>
      <c r="H556" s="47" t="e">
        <f>VLOOKUP(D556,#REF!,7,FALSE)</f>
        <v>#REF!</v>
      </c>
      <c r="I556" s="47" t="e">
        <f>VLOOKUP(H556,#REF!,2,FALSE)</f>
        <v>#REF!</v>
      </c>
    </row>
    <row r="557" spans="1:9" x14ac:dyDescent="0.25">
      <c r="A557" s="47" t="s">
        <v>812</v>
      </c>
      <c r="B557" s="47" t="s">
        <v>140</v>
      </c>
      <c r="C557" s="47" t="s">
        <v>868</v>
      </c>
      <c r="D557" s="47" t="s">
        <v>1049</v>
      </c>
      <c r="E557" s="47" t="s">
        <v>1050</v>
      </c>
      <c r="F557" s="47" t="s">
        <v>19</v>
      </c>
      <c r="G557" s="47" t="s">
        <v>241</v>
      </c>
      <c r="H557" s="47" t="e">
        <f>VLOOKUP(D557,#REF!,7,FALSE)</f>
        <v>#REF!</v>
      </c>
      <c r="I557" s="47" t="e">
        <f>VLOOKUP(H557,#REF!,2,FALSE)</f>
        <v>#REF!</v>
      </c>
    </row>
    <row r="558" spans="1:9" x14ac:dyDescent="0.25">
      <c r="A558" s="47" t="s">
        <v>812</v>
      </c>
      <c r="B558" s="47" t="s">
        <v>140</v>
      </c>
      <c r="C558" s="47" t="s">
        <v>811</v>
      </c>
      <c r="D558" s="47" t="s">
        <v>1478</v>
      </c>
      <c r="E558" s="47" t="s">
        <v>347</v>
      </c>
      <c r="F558" s="47" t="s">
        <v>19</v>
      </c>
      <c r="G558" s="47" t="s">
        <v>237</v>
      </c>
      <c r="H558" s="47" t="e">
        <f>VLOOKUP(D558,#REF!,7,FALSE)</f>
        <v>#REF!</v>
      </c>
      <c r="I558" s="47" t="e">
        <f>VLOOKUP(H558,#REF!,2,FALSE)</f>
        <v>#REF!</v>
      </c>
    </row>
    <row r="559" spans="1:9" x14ac:dyDescent="0.25">
      <c r="A559" s="47" t="s">
        <v>812</v>
      </c>
      <c r="B559" s="47" t="s">
        <v>140</v>
      </c>
      <c r="C559" s="47" t="s">
        <v>914</v>
      </c>
      <c r="D559" s="47" t="s">
        <v>1051</v>
      </c>
      <c r="E559" s="47" t="s">
        <v>1052</v>
      </c>
      <c r="F559" s="47" t="s">
        <v>19</v>
      </c>
      <c r="G559" s="47" t="s">
        <v>792</v>
      </c>
      <c r="H559" s="47" t="e">
        <f>VLOOKUP(D559,#REF!,7,FALSE)</f>
        <v>#REF!</v>
      </c>
      <c r="I559" s="47" t="e">
        <f>VLOOKUP(H559,#REF!,2,FALSE)</f>
        <v>#REF!</v>
      </c>
    </row>
    <row r="560" spans="1:9" x14ac:dyDescent="0.25">
      <c r="A560" s="47" t="s">
        <v>812</v>
      </c>
      <c r="B560" s="47" t="s">
        <v>47</v>
      </c>
      <c r="C560" s="47" t="s">
        <v>831</v>
      </c>
      <c r="D560" s="47" t="s">
        <v>1053</v>
      </c>
      <c r="E560" s="47" t="s">
        <v>680</v>
      </c>
      <c r="F560" s="47" t="s">
        <v>19</v>
      </c>
      <c r="G560" s="47" t="s">
        <v>241</v>
      </c>
      <c r="H560" s="47" t="e">
        <f>VLOOKUP(D560,#REF!,7,FALSE)</f>
        <v>#REF!</v>
      </c>
      <c r="I560" s="47" t="e">
        <f>VLOOKUP(H560,#REF!,2,FALSE)</f>
        <v>#REF!</v>
      </c>
    </row>
    <row r="561" spans="1:9" x14ac:dyDescent="0.25">
      <c r="A561" s="47" t="s">
        <v>781</v>
      </c>
      <c r="B561" s="47" t="s">
        <v>47</v>
      </c>
      <c r="C561" s="47" t="s">
        <v>831</v>
      </c>
      <c r="D561" s="47" t="s">
        <v>1054</v>
      </c>
      <c r="E561" s="47" t="s">
        <v>1055</v>
      </c>
      <c r="F561" s="47" t="s">
        <v>19</v>
      </c>
      <c r="G561" s="47" t="s">
        <v>61</v>
      </c>
      <c r="H561" s="47" t="e">
        <f>VLOOKUP(D561,#REF!,7,FALSE)</f>
        <v>#REF!</v>
      </c>
      <c r="I561" s="47" t="e">
        <f>VLOOKUP(H561,#REF!,2,FALSE)</f>
        <v>#REF!</v>
      </c>
    </row>
    <row r="562" spans="1:9" x14ac:dyDescent="0.25">
      <c r="A562" s="47" t="s">
        <v>812</v>
      </c>
      <c r="B562" s="47" t="s">
        <v>140</v>
      </c>
      <c r="C562" s="47" t="s">
        <v>786</v>
      </c>
      <c r="D562" s="47" t="s">
        <v>1056</v>
      </c>
      <c r="E562" s="47" t="s">
        <v>1057</v>
      </c>
      <c r="F562" s="47" t="s">
        <v>14</v>
      </c>
      <c r="G562" s="47" t="s">
        <v>220</v>
      </c>
      <c r="H562" s="47" t="e">
        <f>VLOOKUP(D562,#REF!,7,FALSE)</f>
        <v>#REF!</v>
      </c>
      <c r="I562" s="47" t="e">
        <f>VLOOKUP(H562,#REF!,2,FALSE)</f>
        <v>#REF!</v>
      </c>
    </row>
    <row r="563" spans="1:9" x14ac:dyDescent="0.25">
      <c r="A563" s="47" t="s">
        <v>812</v>
      </c>
      <c r="B563" s="47" t="s">
        <v>140</v>
      </c>
      <c r="C563" s="47" t="s">
        <v>802</v>
      </c>
      <c r="D563" s="47" t="s">
        <v>1058</v>
      </c>
      <c r="E563" s="47" t="s">
        <v>1059</v>
      </c>
      <c r="F563" s="47" t="s">
        <v>14</v>
      </c>
      <c r="G563" s="47" t="s">
        <v>65</v>
      </c>
      <c r="H563" s="47" t="e">
        <f>VLOOKUP(D563,#REF!,7,FALSE)</f>
        <v>#REF!</v>
      </c>
      <c r="I563" s="47" t="e">
        <f>VLOOKUP(H563,#REF!,2,FALSE)</f>
        <v>#REF!</v>
      </c>
    </row>
    <row r="564" spans="1:9" x14ac:dyDescent="0.25">
      <c r="A564" s="47" t="s">
        <v>812</v>
      </c>
      <c r="B564" s="47" t="s">
        <v>140</v>
      </c>
      <c r="C564" s="47" t="s">
        <v>890</v>
      </c>
      <c r="D564" s="47" t="s">
        <v>1060</v>
      </c>
      <c r="E564" s="47" t="s">
        <v>1061</v>
      </c>
      <c r="F564" s="47" t="s">
        <v>14</v>
      </c>
      <c r="G564" s="47" t="s">
        <v>29</v>
      </c>
      <c r="H564" s="47" t="e">
        <f>VLOOKUP(D564,#REF!,7,FALSE)</f>
        <v>#REF!</v>
      </c>
      <c r="I564" s="47" t="e">
        <f>VLOOKUP(H564,#REF!,2,FALSE)</f>
        <v>#REF!</v>
      </c>
    </row>
    <row r="565" spans="1:9" x14ac:dyDescent="0.25">
      <c r="A565" s="47" t="s">
        <v>812</v>
      </c>
      <c r="B565" s="47" t="s">
        <v>140</v>
      </c>
      <c r="C565" s="47" t="s">
        <v>919</v>
      </c>
      <c r="D565" s="47" t="s">
        <v>252</v>
      </c>
      <c r="E565" s="47" t="s">
        <v>253</v>
      </c>
      <c r="F565" s="47" t="s">
        <v>19</v>
      </c>
      <c r="G565" s="47" t="s">
        <v>83</v>
      </c>
      <c r="H565" s="47" t="e">
        <f>VLOOKUP(D565,#REF!,7,FALSE)</f>
        <v>#REF!</v>
      </c>
      <c r="I565" s="47" t="e">
        <f>VLOOKUP(H565,#REF!,2,FALSE)</f>
        <v>#REF!</v>
      </c>
    </row>
    <row r="566" spans="1:9" x14ac:dyDescent="0.25">
      <c r="A566" s="47" t="s">
        <v>781</v>
      </c>
      <c r="B566" s="47" t="s">
        <v>140</v>
      </c>
      <c r="C566" s="47" t="s">
        <v>816</v>
      </c>
      <c r="D566" s="47" t="s">
        <v>1062</v>
      </c>
      <c r="E566" s="47" t="s">
        <v>1063</v>
      </c>
      <c r="F566" s="47" t="s">
        <v>28</v>
      </c>
      <c r="G566" s="47" t="s">
        <v>79</v>
      </c>
      <c r="H566" s="47" t="e">
        <f>VLOOKUP(D566,#REF!,7,FALSE)</f>
        <v>#REF!</v>
      </c>
      <c r="I566" s="47" t="e">
        <f>VLOOKUP(H566,#REF!,2,FALSE)</f>
        <v>#REF!</v>
      </c>
    </row>
    <row r="567" spans="1:9" x14ac:dyDescent="0.25">
      <c r="A567" s="47" t="s">
        <v>812</v>
      </c>
      <c r="B567" s="47" t="s">
        <v>140</v>
      </c>
      <c r="C567" s="47" t="s">
        <v>904</v>
      </c>
      <c r="D567" s="47" t="s">
        <v>1064</v>
      </c>
      <c r="E567" s="47" t="s">
        <v>1065</v>
      </c>
      <c r="F567" s="47" t="s">
        <v>28</v>
      </c>
      <c r="G567" s="47" t="s">
        <v>55</v>
      </c>
      <c r="H567" s="47" t="e">
        <f>VLOOKUP(D567,#REF!,7,FALSE)</f>
        <v>#REF!</v>
      </c>
      <c r="I567" s="47" t="e">
        <f>VLOOKUP(H567,#REF!,2,FALSE)</f>
        <v>#REF!</v>
      </c>
    </row>
    <row r="568" spans="1:9" x14ac:dyDescent="0.25">
      <c r="A568" s="47" t="s">
        <v>812</v>
      </c>
      <c r="B568" s="47" t="s">
        <v>140</v>
      </c>
      <c r="C568" s="47" t="s">
        <v>785</v>
      </c>
      <c r="D568" s="47" t="s">
        <v>380</v>
      </c>
      <c r="E568" s="47" t="s">
        <v>381</v>
      </c>
      <c r="F568" s="47" t="s">
        <v>19</v>
      </c>
      <c r="G568" s="47" t="s">
        <v>287</v>
      </c>
      <c r="H568" s="47" t="e">
        <f>VLOOKUP(D568,#REF!,7,FALSE)</f>
        <v>#REF!</v>
      </c>
      <c r="I568" s="47" t="e">
        <f>VLOOKUP(H568,#REF!,2,FALSE)</f>
        <v>#REF!</v>
      </c>
    </row>
    <row r="569" spans="1:9" x14ac:dyDescent="0.25">
      <c r="A569" s="47" t="s">
        <v>812</v>
      </c>
      <c r="B569" s="47" t="s">
        <v>962</v>
      </c>
      <c r="C569" s="47" t="s">
        <v>133</v>
      </c>
      <c r="D569" s="47" t="s">
        <v>134</v>
      </c>
      <c r="E569" s="47" t="s">
        <v>135</v>
      </c>
      <c r="F569" s="47" t="s">
        <v>37</v>
      </c>
      <c r="G569" s="47" t="s">
        <v>132</v>
      </c>
      <c r="H569" s="47" t="e">
        <f>VLOOKUP(D569,#REF!,7,FALSE)</f>
        <v>#REF!</v>
      </c>
      <c r="I569" s="47" t="e">
        <f>VLOOKUP(H569,#REF!,2,FALSE)</f>
        <v>#REF!</v>
      </c>
    </row>
    <row r="570" spans="1:9" x14ac:dyDescent="0.25">
      <c r="A570" s="47" t="s">
        <v>812</v>
      </c>
      <c r="B570" s="47" t="s">
        <v>159</v>
      </c>
      <c r="C570" s="47" t="s">
        <v>120</v>
      </c>
      <c r="D570" s="47" t="s">
        <v>178</v>
      </c>
      <c r="E570" s="47" t="s">
        <v>179</v>
      </c>
      <c r="F570" s="47" t="s">
        <v>37</v>
      </c>
      <c r="G570" s="47" t="s">
        <v>123</v>
      </c>
      <c r="H570" s="47" t="e">
        <f>VLOOKUP(D570,#REF!,7,FALSE)</f>
        <v>#REF!</v>
      </c>
      <c r="I570" s="47" t="e">
        <f>VLOOKUP(H570,#REF!,2,FALSE)</f>
        <v>#REF!</v>
      </c>
    </row>
    <row r="571" spans="1:9" x14ac:dyDescent="0.25">
      <c r="A571" s="47" t="s">
        <v>812</v>
      </c>
      <c r="B571" s="47" t="s">
        <v>159</v>
      </c>
      <c r="C571" s="47" t="s">
        <v>163</v>
      </c>
      <c r="D571" s="47" t="s">
        <v>270</v>
      </c>
      <c r="E571" s="47" t="s">
        <v>271</v>
      </c>
      <c r="F571" s="47" t="s">
        <v>37</v>
      </c>
      <c r="G571" s="47" t="s">
        <v>793</v>
      </c>
      <c r="H571" s="47" t="e">
        <f>VLOOKUP(D571,#REF!,7,FALSE)</f>
        <v>#REF!</v>
      </c>
      <c r="I571" s="47" t="e">
        <f>VLOOKUP(H571,#REF!,2,FALSE)</f>
        <v>#REF!</v>
      </c>
    </row>
    <row r="572" spans="1:9" x14ac:dyDescent="0.25">
      <c r="A572" s="47" t="s">
        <v>812</v>
      </c>
      <c r="B572" s="47" t="s">
        <v>159</v>
      </c>
      <c r="C572" s="47" t="s">
        <v>34</v>
      </c>
      <c r="D572" s="47" t="s">
        <v>168</v>
      </c>
      <c r="E572" s="47" t="s">
        <v>427</v>
      </c>
      <c r="F572" s="47" t="s">
        <v>37</v>
      </c>
      <c r="G572" s="47" t="s">
        <v>38</v>
      </c>
      <c r="H572" s="47" t="e">
        <f>VLOOKUP(D572,#REF!,7,FALSE)</f>
        <v>#REF!</v>
      </c>
      <c r="I572" s="47" t="e">
        <f>VLOOKUP(H572,#REF!,2,FALSE)</f>
        <v>#REF!</v>
      </c>
    </row>
    <row r="573" spans="1:9" x14ac:dyDescent="0.25">
      <c r="A573" s="47" t="s">
        <v>812</v>
      </c>
      <c r="B573" s="47" t="s">
        <v>159</v>
      </c>
      <c r="C573" s="47" t="s">
        <v>180</v>
      </c>
      <c r="D573" s="47" t="s">
        <v>302</v>
      </c>
      <c r="E573" s="47" t="s">
        <v>303</v>
      </c>
      <c r="F573" s="47" t="s">
        <v>37</v>
      </c>
      <c r="G573" s="47" t="s">
        <v>132</v>
      </c>
      <c r="H573" s="47" t="e">
        <f>VLOOKUP(D573,#REF!,7,FALSE)</f>
        <v>#REF!</v>
      </c>
      <c r="I573" s="47" t="e">
        <f>VLOOKUP(H573,#REF!,2,FALSE)</f>
        <v>#REF!</v>
      </c>
    </row>
    <row r="574" spans="1:9" x14ac:dyDescent="0.25">
      <c r="A574" s="47" t="s">
        <v>812</v>
      </c>
      <c r="B574" s="47" t="s">
        <v>159</v>
      </c>
      <c r="C574" s="47" t="s">
        <v>129</v>
      </c>
      <c r="D574" s="47" t="s">
        <v>130</v>
      </c>
      <c r="E574" s="47" t="s">
        <v>131</v>
      </c>
      <c r="F574" s="47" t="s">
        <v>37</v>
      </c>
      <c r="G574" s="47" t="s">
        <v>42</v>
      </c>
      <c r="H574" s="47" t="e">
        <f>VLOOKUP(D574,#REF!,7,FALSE)</f>
        <v>#REF!</v>
      </c>
      <c r="I574" s="47" t="e">
        <f>VLOOKUP(H574,#REF!,2,FALSE)</f>
        <v>#REF!</v>
      </c>
    </row>
    <row r="575" spans="1:9" x14ac:dyDescent="0.25">
      <c r="A575" s="47" t="s">
        <v>812</v>
      </c>
      <c r="B575" s="47" t="s">
        <v>159</v>
      </c>
      <c r="C575" s="47" t="s">
        <v>39</v>
      </c>
      <c r="D575" s="47" t="s">
        <v>306</v>
      </c>
      <c r="E575" s="47" t="s">
        <v>307</v>
      </c>
      <c r="F575" s="47" t="s">
        <v>37</v>
      </c>
      <c r="G575" s="47" t="s">
        <v>38</v>
      </c>
      <c r="H575" s="47" t="e">
        <f>VLOOKUP(D575,#REF!,7,FALSE)</f>
        <v>#REF!</v>
      </c>
      <c r="I575" s="47" t="e">
        <f>VLOOKUP(H575,#REF!,2,FALSE)</f>
        <v>#REF!</v>
      </c>
    </row>
    <row r="576" spans="1:9" x14ac:dyDescent="0.25">
      <c r="A576" s="47" t="s">
        <v>812</v>
      </c>
      <c r="B576" s="47" t="s">
        <v>119</v>
      </c>
      <c r="C576" s="47" t="s">
        <v>160</v>
      </c>
      <c r="D576" s="47" t="s">
        <v>183</v>
      </c>
      <c r="E576" s="47" t="s">
        <v>184</v>
      </c>
      <c r="F576" s="47" t="s">
        <v>37</v>
      </c>
      <c r="G576" s="47" t="s">
        <v>308</v>
      </c>
      <c r="H576" s="47" t="e">
        <f>VLOOKUP(D576,#REF!,7,FALSE)</f>
        <v>#REF!</v>
      </c>
      <c r="I576" s="47" t="e">
        <f>VLOOKUP(H576,#REF!,2,FALSE)</f>
        <v>#REF!</v>
      </c>
    </row>
    <row r="577" spans="1:9" x14ac:dyDescent="0.25">
      <c r="A577" s="47" t="s">
        <v>812</v>
      </c>
      <c r="B577" s="47" t="s">
        <v>140</v>
      </c>
      <c r="C577" s="47" t="s">
        <v>794</v>
      </c>
      <c r="D577" s="47" t="s">
        <v>1066</v>
      </c>
      <c r="E577" s="47" t="s">
        <v>1067</v>
      </c>
      <c r="F577" s="47" t="s">
        <v>14</v>
      </c>
      <c r="G577" s="47" t="s">
        <v>983</v>
      </c>
      <c r="H577" s="47" t="e">
        <f>VLOOKUP(D577,#REF!,7,FALSE)</f>
        <v>#REF!</v>
      </c>
      <c r="I577" s="47" t="e">
        <f>VLOOKUP(H577,#REF!,2,FALSE)</f>
        <v>#REF!</v>
      </c>
    </row>
    <row r="578" spans="1:9" x14ac:dyDescent="0.25">
      <c r="A578" s="47" t="s">
        <v>812</v>
      </c>
      <c r="B578" s="47" t="s">
        <v>978</v>
      </c>
      <c r="C578" s="47" t="s">
        <v>39</v>
      </c>
      <c r="D578" s="47" t="s">
        <v>124</v>
      </c>
      <c r="E578" s="47" t="s">
        <v>125</v>
      </c>
      <c r="F578" s="47" t="s">
        <v>37</v>
      </c>
      <c r="G578" s="47" t="s">
        <v>38</v>
      </c>
      <c r="H578" s="47" t="e">
        <f>VLOOKUP(D578,#REF!,7,FALSE)</f>
        <v>#REF!</v>
      </c>
      <c r="I578" s="47" t="e">
        <f>VLOOKUP(H578,#REF!,2,FALSE)</f>
        <v>#REF!</v>
      </c>
    </row>
    <row r="579" spans="1:9" x14ac:dyDescent="0.25">
      <c r="A579" s="47" t="s">
        <v>812</v>
      </c>
      <c r="B579" s="47" t="s">
        <v>968</v>
      </c>
      <c r="C579" s="47" t="s">
        <v>136</v>
      </c>
      <c r="D579" s="47" t="s">
        <v>1068</v>
      </c>
      <c r="E579" s="47" t="s">
        <v>1069</v>
      </c>
      <c r="F579" s="47" t="s">
        <v>37</v>
      </c>
      <c r="G579" s="47" t="s">
        <v>136</v>
      </c>
      <c r="H579" s="47" t="e">
        <f>VLOOKUP(D579,#REF!,7,FALSE)</f>
        <v>#REF!</v>
      </c>
      <c r="I579" s="47" t="e">
        <f>VLOOKUP(H579,#REF!,2,FALSE)</f>
        <v>#REF!</v>
      </c>
    </row>
    <row r="580" spans="1:9" x14ac:dyDescent="0.25">
      <c r="A580" s="47" t="s">
        <v>812</v>
      </c>
      <c r="B580" s="47" t="s">
        <v>128</v>
      </c>
      <c r="C580" s="47" t="s">
        <v>180</v>
      </c>
      <c r="D580" s="47" t="s">
        <v>425</v>
      </c>
      <c r="E580" s="47" t="s">
        <v>426</v>
      </c>
      <c r="F580" s="47" t="s">
        <v>37</v>
      </c>
      <c r="G580" s="47" t="s">
        <v>132</v>
      </c>
      <c r="H580" s="47" t="e">
        <f>VLOOKUP(D580,#REF!,7,FALSE)</f>
        <v>#REF!</v>
      </c>
      <c r="I580" s="47" t="e">
        <f>VLOOKUP(H580,#REF!,2,FALSE)</f>
        <v>#REF!</v>
      </c>
    </row>
    <row r="581" spans="1:9" x14ac:dyDescent="0.25">
      <c r="A581" s="47" t="s">
        <v>812</v>
      </c>
      <c r="B581" s="47" t="s">
        <v>128</v>
      </c>
      <c r="C581" s="47" t="s">
        <v>163</v>
      </c>
      <c r="D581" s="47" t="s">
        <v>300</v>
      </c>
      <c r="E581" s="47" t="s">
        <v>301</v>
      </c>
      <c r="F581" s="47" t="s">
        <v>37</v>
      </c>
      <c r="G581" s="47" t="s">
        <v>308</v>
      </c>
      <c r="H581" s="47" t="e">
        <f>VLOOKUP(D581,#REF!,7,FALSE)</f>
        <v>#REF!</v>
      </c>
      <c r="I581" s="47" t="e">
        <f>VLOOKUP(H581,#REF!,2,FALSE)</f>
        <v>#REF!</v>
      </c>
    </row>
    <row r="582" spans="1:9" x14ac:dyDescent="0.25">
      <c r="A582" s="47" t="s">
        <v>812</v>
      </c>
      <c r="B582" s="47" t="s">
        <v>128</v>
      </c>
      <c r="C582" s="47" t="s">
        <v>136</v>
      </c>
      <c r="D582" s="47" t="s">
        <v>1070</v>
      </c>
      <c r="E582" s="47" t="s">
        <v>271</v>
      </c>
      <c r="F582" s="47" t="s">
        <v>37</v>
      </c>
      <c r="G582" s="47" t="s">
        <v>136</v>
      </c>
      <c r="H582" s="47" t="e">
        <f>VLOOKUP(D582,#REF!,7,FALSE)</f>
        <v>#REF!</v>
      </c>
      <c r="I582" s="47" t="e">
        <f>VLOOKUP(H582,#REF!,2,FALSE)</f>
        <v>#REF!</v>
      </c>
    </row>
    <row r="583" spans="1:9" x14ac:dyDescent="0.25">
      <c r="A583" s="47" t="s">
        <v>812</v>
      </c>
      <c r="B583" s="47" t="s">
        <v>128</v>
      </c>
      <c r="C583" s="47" t="s">
        <v>160</v>
      </c>
      <c r="D583" s="47" t="s">
        <v>304</v>
      </c>
      <c r="E583" s="47" t="s">
        <v>305</v>
      </c>
      <c r="F583" s="47" t="s">
        <v>37</v>
      </c>
      <c r="G583" s="47" t="s">
        <v>308</v>
      </c>
      <c r="H583" s="47" t="e">
        <f>VLOOKUP(D583,#REF!,7,FALSE)</f>
        <v>#REF!</v>
      </c>
      <c r="I583" s="47" t="e">
        <f>VLOOKUP(H583,#REF!,2,FALSE)</f>
        <v>#REF!</v>
      </c>
    </row>
    <row r="584" spans="1:9" x14ac:dyDescent="0.25">
      <c r="A584" s="47" t="s">
        <v>812</v>
      </c>
      <c r="B584" s="47" t="s">
        <v>128</v>
      </c>
      <c r="C584" s="47" t="s">
        <v>120</v>
      </c>
      <c r="D584" s="47" t="s">
        <v>173</v>
      </c>
      <c r="E584" s="47" t="s">
        <v>174</v>
      </c>
      <c r="F584" s="47" t="s">
        <v>37</v>
      </c>
      <c r="G584" s="47" t="s">
        <v>123</v>
      </c>
      <c r="H584" s="47" t="e">
        <f>VLOOKUP(D584,#REF!,7,FALSE)</f>
        <v>#REF!</v>
      </c>
      <c r="I584" s="47" t="e">
        <f>VLOOKUP(H584,#REF!,2,FALSE)</f>
        <v>#REF!</v>
      </c>
    </row>
    <row r="585" spans="1:9" x14ac:dyDescent="0.25">
      <c r="A585" s="47" t="s">
        <v>812</v>
      </c>
      <c r="B585" s="47" t="s">
        <v>177</v>
      </c>
      <c r="C585" s="47" t="s">
        <v>34</v>
      </c>
      <c r="D585" s="47" t="s">
        <v>203</v>
      </c>
      <c r="E585" s="47" t="s">
        <v>204</v>
      </c>
      <c r="F585" s="47" t="s">
        <v>37</v>
      </c>
      <c r="G585" s="47" t="s">
        <v>38</v>
      </c>
      <c r="H585" s="47" t="e">
        <f>VLOOKUP(D585,#REF!,7,FALSE)</f>
        <v>#REF!</v>
      </c>
      <c r="I585" s="47" t="e">
        <f>VLOOKUP(H585,#REF!,2,FALSE)</f>
        <v>#REF!</v>
      </c>
    </row>
    <row r="586" spans="1:9" x14ac:dyDescent="0.25">
      <c r="A586" s="47" t="s">
        <v>812</v>
      </c>
      <c r="B586" s="47" t="s">
        <v>128</v>
      </c>
      <c r="C586" s="47" t="s">
        <v>39</v>
      </c>
      <c r="D586" s="47" t="s">
        <v>40</v>
      </c>
      <c r="E586" s="47" t="s">
        <v>41</v>
      </c>
      <c r="F586" s="47" t="s">
        <v>37</v>
      </c>
      <c r="G586" s="47" t="s">
        <v>38</v>
      </c>
      <c r="H586" s="47" t="e">
        <f>VLOOKUP(D586,#REF!,7,FALSE)</f>
        <v>#REF!</v>
      </c>
      <c r="I586" s="47" t="e">
        <f>VLOOKUP(H586,#REF!,2,FALSE)</f>
        <v>#REF!</v>
      </c>
    </row>
    <row r="587" spans="1:9" x14ac:dyDescent="0.25">
      <c r="A587" s="47" t="s">
        <v>812</v>
      </c>
      <c r="B587" s="47" t="s">
        <v>1071</v>
      </c>
      <c r="C587" s="47" t="s">
        <v>133</v>
      </c>
      <c r="D587" s="47" t="s">
        <v>430</v>
      </c>
      <c r="E587" s="47" t="s">
        <v>431</v>
      </c>
      <c r="F587" s="47" t="s">
        <v>37</v>
      </c>
      <c r="G587" s="47" t="s">
        <v>132</v>
      </c>
      <c r="H587" s="47" t="e">
        <f>VLOOKUP(D587,#REF!,7,FALSE)</f>
        <v>#REF!</v>
      </c>
      <c r="I587" s="47" t="e">
        <f>VLOOKUP(H587,#REF!,2,FALSE)</f>
        <v>#REF!</v>
      </c>
    </row>
    <row r="588" spans="1:9" x14ac:dyDescent="0.25">
      <c r="A588" s="47" t="s">
        <v>812</v>
      </c>
      <c r="B588" s="47" t="s">
        <v>128</v>
      </c>
      <c r="C588" s="47" t="s">
        <v>133</v>
      </c>
      <c r="D588" s="47" t="s">
        <v>423</v>
      </c>
      <c r="E588" s="47" t="s">
        <v>424</v>
      </c>
      <c r="F588" s="47" t="s">
        <v>37</v>
      </c>
      <c r="G588" s="47" t="s">
        <v>132</v>
      </c>
      <c r="H588" s="47" t="e">
        <f>VLOOKUP(D588,#REF!,7,FALSE)</f>
        <v>#REF!</v>
      </c>
      <c r="I588" s="47" t="e">
        <f>VLOOKUP(H588,#REF!,2,FALSE)</f>
        <v>#REF!</v>
      </c>
    </row>
    <row r="589" spans="1:9" x14ac:dyDescent="0.25">
      <c r="A589" s="47" t="s">
        <v>812</v>
      </c>
      <c r="B589" s="47" t="s">
        <v>177</v>
      </c>
      <c r="C589" s="47" t="s">
        <v>160</v>
      </c>
      <c r="D589" s="47" t="s">
        <v>161</v>
      </c>
      <c r="E589" s="47" t="s">
        <v>162</v>
      </c>
      <c r="F589" s="47" t="s">
        <v>37</v>
      </c>
      <c r="G589" s="47" t="s">
        <v>308</v>
      </c>
      <c r="H589" s="47" t="e">
        <f>VLOOKUP(D589,#REF!,7,FALSE)</f>
        <v>#REF!</v>
      </c>
      <c r="I589" s="47" t="e">
        <f>VLOOKUP(H589,#REF!,2,FALSE)</f>
        <v>#REF!</v>
      </c>
    </row>
    <row r="590" spans="1:9" x14ac:dyDescent="0.25">
      <c r="A590" s="47" t="s">
        <v>812</v>
      </c>
      <c r="B590" s="47" t="s">
        <v>177</v>
      </c>
      <c r="C590" s="47" t="s">
        <v>823</v>
      </c>
      <c r="D590" s="47" t="s">
        <v>1072</v>
      </c>
      <c r="E590" s="47" t="s">
        <v>1073</v>
      </c>
      <c r="F590" s="47" t="s">
        <v>37</v>
      </c>
      <c r="G590" s="47" t="s">
        <v>308</v>
      </c>
      <c r="H590" s="47" t="e">
        <f>VLOOKUP(D590,#REF!,7,FALSE)</f>
        <v>#REF!</v>
      </c>
      <c r="I590" s="47" t="e">
        <f>VLOOKUP(H590,#REF!,2,FALSE)</f>
        <v>#REF!</v>
      </c>
    </row>
    <row r="591" spans="1:9" x14ac:dyDescent="0.25">
      <c r="A591" s="47" t="s">
        <v>812</v>
      </c>
      <c r="B591" s="47" t="s">
        <v>177</v>
      </c>
      <c r="C591" s="47" t="s">
        <v>120</v>
      </c>
      <c r="D591" s="47" t="s">
        <v>178</v>
      </c>
      <c r="E591" s="47" t="s">
        <v>179</v>
      </c>
      <c r="F591" s="47" t="s">
        <v>37</v>
      </c>
      <c r="G591" s="47" t="s">
        <v>123</v>
      </c>
      <c r="H591" s="47" t="e">
        <f>VLOOKUP(D591,#REF!,7,FALSE)</f>
        <v>#REF!</v>
      </c>
      <c r="I591" s="47" t="e">
        <f>VLOOKUP(H591,#REF!,2,FALSE)</f>
        <v>#REF!</v>
      </c>
    </row>
    <row r="592" spans="1:9" x14ac:dyDescent="0.25">
      <c r="A592" s="47" t="s">
        <v>812</v>
      </c>
      <c r="B592" s="47" t="s">
        <v>177</v>
      </c>
      <c r="C592" s="47" t="s">
        <v>180</v>
      </c>
      <c r="D592" s="47" t="s">
        <v>181</v>
      </c>
      <c r="E592" s="47" t="s">
        <v>182</v>
      </c>
      <c r="F592" s="47" t="s">
        <v>37</v>
      </c>
      <c r="G592" s="47" t="s">
        <v>42</v>
      </c>
      <c r="H592" s="47" t="e">
        <f>VLOOKUP(D592,#REF!,7,FALSE)</f>
        <v>#REF!</v>
      </c>
      <c r="I592" s="47" t="e">
        <f>VLOOKUP(H592,#REF!,2,FALSE)</f>
        <v>#REF!</v>
      </c>
    </row>
    <row r="593" spans="1:9" x14ac:dyDescent="0.25">
      <c r="A593" s="47" t="s">
        <v>812</v>
      </c>
      <c r="B593" s="47" t="s">
        <v>128</v>
      </c>
      <c r="C593" s="47" t="s">
        <v>34</v>
      </c>
      <c r="D593" s="47" t="s">
        <v>272</v>
      </c>
      <c r="E593" s="47" t="s">
        <v>273</v>
      </c>
      <c r="F593" s="47" t="s">
        <v>37</v>
      </c>
      <c r="G593" s="47" t="s">
        <v>38</v>
      </c>
      <c r="H593" s="47" t="e">
        <f>VLOOKUP(D593,#REF!,7,FALSE)</f>
        <v>#REF!</v>
      </c>
      <c r="I593" s="47" t="e">
        <f>VLOOKUP(H593,#REF!,2,FALSE)</f>
        <v>#REF!</v>
      </c>
    </row>
    <row r="594" spans="1:9" x14ac:dyDescent="0.25">
      <c r="A594" s="47" t="s">
        <v>812</v>
      </c>
      <c r="B594" s="47" t="s">
        <v>177</v>
      </c>
      <c r="C594" s="47" t="s">
        <v>133</v>
      </c>
      <c r="D594" s="47" t="s">
        <v>295</v>
      </c>
      <c r="E594" s="47" t="s">
        <v>296</v>
      </c>
      <c r="F594" s="47" t="s">
        <v>37</v>
      </c>
      <c r="G594" s="47" t="s">
        <v>132</v>
      </c>
      <c r="H594" s="47" t="e">
        <f>VLOOKUP(D594,#REF!,7,FALSE)</f>
        <v>#REF!</v>
      </c>
      <c r="I594" s="47" t="e">
        <f>VLOOKUP(H594,#REF!,2,FALSE)</f>
        <v>#REF!</v>
      </c>
    </row>
    <row r="595" spans="1:9" x14ac:dyDescent="0.25">
      <c r="A595" s="47" t="s">
        <v>812</v>
      </c>
      <c r="B595" s="47" t="s">
        <v>177</v>
      </c>
      <c r="C595" s="47" t="s">
        <v>163</v>
      </c>
      <c r="D595" s="47" t="s">
        <v>201</v>
      </c>
      <c r="E595" s="47" t="s">
        <v>202</v>
      </c>
      <c r="F595" s="47" t="s">
        <v>37</v>
      </c>
      <c r="G595" s="47" t="s">
        <v>132</v>
      </c>
      <c r="H595" s="47" t="e">
        <f>VLOOKUP(D595,#REF!,7,FALSE)</f>
        <v>#REF!</v>
      </c>
      <c r="I595" s="47" t="e">
        <f>VLOOKUP(H595,#REF!,2,FALSE)</f>
        <v>#REF!</v>
      </c>
    </row>
    <row r="596" spans="1:9" x14ac:dyDescent="0.25">
      <c r="A596" s="47" t="s">
        <v>812</v>
      </c>
      <c r="B596" s="47" t="s">
        <v>177</v>
      </c>
      <c r="C596" s="47" t="s">
        <v>129</v>
      </c>
      <c r="D596" s="47" t="s">
        <v>309</v>
      </c>
      <c r="E596" s="47" t="s">
        <v>310</v>
      </c>
      <c r="F596" s="47" t="s">
        <v>37</v>
      </c>
      <c r="G596" s="47" t="s">
        <v>793</v>
      </c>
      <c r="H596" s="47" t="e">
        <f>VLOOKUP(D596,#REF!,7,FALSE)</f>
        <v>#REF!</v>
      </c>
      <c r="I596" s="47" t="e">
        <f>VLOOKUP(H596,#REF!,2,FALSE)</f>
        <v>#REF!</v>
      </c>
    </row>
    <row r="597" spans="1:9" x14ac:dyDescent="0.25">
      <c r="A597" s="47" t="s">
        <v>812</v>
      </c>
      <c r="B597" s="47" t="s">
        <v>177</v>
      </c>
      <c r="C597" s="47" t="s">
        <v>823</v>
      </c>
      <c r="D597" s="47" t="s">
        <v>1074</v>
      </c>
      <c r="E597" s="47" t="s">
        <v>1075</v>
      </c>
      <c r="F597" s="47" t="s">
        <v>37</v>
      </c>
      <c r="G597" s="47" t="s">
        <v>793</v>
      </c>
      <c r="H597" s="47" t="e">
        <f>VLOOKUP(D597,#REF!,7,FALSE)</f>
        <v>#REF!</v>
      </c>
      <c r="I597" s="47" t="e">
        <f>VLOOKUP(H597,#REF!,2,FALSE)</f>
        <v>#REF!</v>
      </c>
    </row>
    <row r="598" spans="1:9" x14ac:dyDescent="0.25">
      <c r="A598" s="47" t="s">
        <v>781</v>
      </c>
      <c r="B598" s="47" t="s">
        <v>159</v>
      </c>
      <c r="C598" s="47" t="s">
        <v>136</v>
      </c>
      <c r="D598" s="47" t="s">
        <v>1076</v>
      </c>
      <c r="E598" s="47" t="s">
        <v>1077</v>
      </c>
      <c r="F598" s="47" t="s">
        <v>37</v>
      </c>
      <c r="G598" s="47" t="s">
        <v>793</v>
      </c>
      <c r="H598" s="47" t="e">
        <f>VLOOKUP(D598,#REF!,7,FALSE)</f>
        <v>#REF!</v>
      </c>
      <c r="I598" s="47" t="e">
        <f>VLOOKUP(H598,#REF!,2,FALSE)</f>
        <v>#REF!</v>
      </c>
    </row>
    <row r="599" spans="1:9" x14ac:dyDescent="0.25">
      <c r="A599" s="47" t="s">
        <v>781</v>
      </c>
      <c r="B599" s="47" t="s">
        <v>119</v>
      </c>
      <c r="C599" s="47" t="s">
        <v>136</v>
      </c>
      <c r="D599" s="47" t="s">
        <v>1078</v>
      </c>
      <c r="E599" s="47" t="s">
        <v>1079</v>
      </c>
      <c r="F599" s="47" t="s">
        <v>37</v>
      </c>
      <c r="G599" s="47" t="s">
        <v>793</v>
      </c>
      <c r="H599" s="47" t="e">
        <f>VLOOKUP(D599,#REF!,7,FALSE)</f>
        <v>#REF!</v>
      </c>
      <c r="I599" s="47" t="e">
        <f>VLOOKUP(H599,#REF!,2,FALSE)</f>
        <v>#REF!</v>
      </c>
    </row>
    <row r="600" spans="1:9" x14ac:dyDescent="0.25">
      <c r="A600" s="47" t="s">
        <v>781</v>
      </c>
      <c r="B600" s="47" t="s">
        <v>177</v>
      </c>
      <c r="C600" s="47" t="s">
        <v>823</v>
      </c>
      <c r="D600" s="47" t="s">
        <v>1080</v>
      </c>
      <c r="E600" s="47" t="s">
        <v>1081</v>
      </c>
      <c r="F600" s="47" t="s">
        <v>37</v>
      </c>
      <c r="G600" s="47" t="s">
        <v>136</v>
      </c>
      <c r="H600" s="47" t="e">
        <f>VLOOKUP(D600,#REF!,7,FALSE)</f>
        <v>#REF!</v>
      </c>
      <c r="I600" s="47" t="e">
        <f>VLOOKUP(H600,#REF!,2,FALSE)</f>
        <v>#REF!</v>
      </c>
    </row>
    <row r="601" spans="1:9" x14ac:dyDescent="0.25">
      <c r="A601" s="47" t="s">
        <v>812</v>
      </c>
      <c r="B601" s="47" t="s">
        <v>10</v>
      </c>
      <c r="C601" s="47" t="s">
        <v>1179</v>
      </c>
      <c r="D601" s="47" t="s">
        <v>1197</v>
      </c>
      <c r="E601" s="47" t="s">
        <v>1198</v>
      </c>
      <c r="F601" s="47" t="s">
        <v>1523</v>
      </c>
      <c r="G601" s="47" t="s">
        <v>983</v>
      </c>
      <c r="H601" s="47" t="e">
        <f>VLOOKUP(D601,#REF!,7,FALSE)</f>
        <v>#REF!</v>
      </c>
      <c r="I601" s="47" t="e">
        <f>VLOOKUP(H601,#REF!,2,FALSE)</f>
        <v>#REF!</v>
      </c>
    </row>
    <row r="602" spans="1:9" x14ac:dyDescent="0.25">
      <c r="A602" s="47" t="s">
        <v>781</v>
      </c>
      <c r="B602" s="47" t="s">
        <v>10</v>
      </c>
      <c r="C602" s="47" t="s">
        <v>1179</v>
      </c>
      <c r="D602" s="47" t="s">
        <v>1233</v>
      </c>
      <c r="E602" s="47" t="s">
        <v>1234</v>
      </c>
      <c r="F602" s="47" t="s">
        <v>1523</v>
      </c>
      <c r="G602" s="47" t="s">
        <v>983</v>
      </c>
      <c r="H602" s="47" t="e">
        <f>VLOOKUP(D602,#REF!,7,FALSE)</f>
        <v>#REF!</v>
      </c>
      <c r="I602" s="47" t="e">
        <f>VLOOKUP(H602,#REF!,2,FALSE)</f>
        <v>#REF!</v>
      </c>
    </row>
    <row r="603" spans="1:9" x14ac:dyDescent="0.25">
      <c r="A603" s="47" t="s">
        <v>781</v>
      </c>
      <c r="B603" s="47" t="s">
        <v>96</v>
      </c>
      <c r="C603" s="47" t="s">
        <v>1179</v>
      </c>
      <c r="D603" s="47" t="s">
        <v>1225</v>
      </c>
      <c r="E603" s="47" t="s">
        <v>1226</v>
      </c>
      <c r="F603" s="47" t="s">
        <v>1523</v>
      </c>
      <c r="G603" s="47" t="s">
        <v>983</v>
      </c>
      <c r="H603" s="47" t="e">
        <f>VLOOKUP(D603,#REF!,7,FALSE)</f>
        <v>#REF!</v>
      </c>
      <c r="I603" s="47" t="e">
        <f>VLOOKUP(H603,#REF!,2,FALSE)</f>
        <v>#REF!</v>
      </c>
    </row>
    <row r="604" spans="1:9" x14ac:dyDescent="0.25">
      <c r="A604" s="47" t="s">
        <v>812</v>
      </c>
      <c r="B604" s="47" t="s">
        <v>47</v>
      </c>
      <c r="C604" s="47" t="s">
        <v>1179</v>
      </c>
      <c r="D604" s="47" t="s">
        <v>1209</v>
      </c>
      <c r="E604" s="47" t="s">
        <v>1210</v>
      </c>
      <c r="F604" s="47" t="s">
        <v>1523</v>
      </c>
      <c r="G604" s="47" t="s">
        <v>983</v>
      </c>
      <c r="H604" s="47" t="e">
        <f>VLOOKUP(D604,#REF!,7,FALSE)</f>
        <v>#REF!</v>
      </c>
      <c r="I604" s="47" t="e">
        <f>VLOOKUP(H604,#REF!,2,FALSE)</f>
        <v>#REF!</v>
      </c>
    </row>
    <row r="605" spans="1:9" x14ac:dyDescent="0.25">
      <c r="A605" s="47" t="s">
        <v>781</v>
      </c>
      <c r="B605" s="47" t="s">
        <v>47</v>
      </c>
      <c r="C605" s="47" t="s">
        <v>1179</v>
      </c>
      <c r="D605" s="47" t="s">
        <v>1180</v>
      </c>
      <c r="E605" s="47" t="s">
        <v>1181</v>
      </c>
      <c r="F605" s="47" t="s">
        <v>1523</v>
      </c>
      <c r="G605" s="47" t="s">
        <v>983</v>
      </c>
      <c r="H605" s="47" t="e">
        <f>VLOOKUP(D605,#REF!,7,FALSE)</f>
        <v>#REF!</v>
      </c>
      <c r="I605" s="47" t="e">
        <f>VLOOKUP(H605,#REF!,2,FALSE)</f>
        <v>#REF!</v>
      </c>
    </row>
    <row r="606" spans="1:9" x14ac:dyDescent="0.25">
      <c r="A606" s="47" t="s">
        <v>781</v>
      </c>
      <c r="B606" s="47" t="s">
        <v>96</v>
      </c>
      <c r="C606" s="47" t="s">
        <v>1182</v>
      </c>
      <c r="D606" s="47" t="s">
        <v>1183</v>
      </c>
      <c r="E606" s="47" t="s">
        <v>1184</v>
      </c>
      <c r="F606" s="47" t="s">
        <v>1523</v>
      </c>
      <c r="G606" s="47" t="s">
        <v>983</v>
      </c>
      <c r="H606" s="47" t="e">
        <f>VLOOKUP(D606,#REF!,7,FALSE)</f>
        <v>#REF!</v>
      </c>
      <c r="I606" s="47" t="e">
        <f>VLOOKUP(H606,#REF!,2,FALSE)</f>
        <v>#REF!</v>
      </c>
    </row>
    <row r="607" spans="1:9" x14ac:dyDescent="0.25">
      <c r="A607" s="47" t="s">
        <v>812</v>
      </c>
      <c r="B607" s="47" t="s">
        <v>1191</v>
      </c>
      <c r="C607" s="47" t="s">
        <v>1182</v>
      </c>
      <c r="D607" s="47" t="s">
        <v>1192</v>
      </c>
      <c r="E607" s="47" t="s">
        <v>1193</v>
      </c>
      <c r="F607" s="47" t="s">
        <v>1523</v>
      </c>
      <c r="G607" s="47" t="s">
        <v>983</v>
      </c>
      <c r="H607" s="47" t="e">
        <f>VLOOKUP(D607,#REF!,7,FALSE)</f>
        <v>#REF!</v>
      </c>
      <c r="I607" s="47" t="e">
        <f>VLOOKUP(H607,#REF!,2,FALSE)</f>
        <v>#REF!</v>
      </c>
    </row>
    <row r="608" spans="1:9" x14ac:dyDescent="0.25">
      <c r="A608" s="47" t="s">
        <v>781</v>
      </c>
      <c r="B608" s="47" t="s">
        <v>10</v>
      </c>
      <c r="C608" s="47" t="s">
        <v>1182</v>
      </c>
      <c r="D608" s="47" t="s">
        <v>1199</v>
      </c>
      <c r="E608" s="47" t="s">
        <v>1200</v>
      </c>
      <c r="F608" s="47" t="s">
        <v>1523</v>
      </c>
      <c r="G608" s="47" t="s">
        <v>983</v>
      </c>
      <c r="H608" s="47" t="e">
        <f>VLOOKUP(D608,#REF!,7,FALSE)</f>
        <v>#REF!</v>
      </c>
      <c r="I608" s="47" t="e">
        <f>VLOOKUP(H608,#REF!,2,FALSE)</f>
        <v>#REF!</v>
      </c>
    </row>
    <row r="609" spans="1:9" x14ac:dyDescent="0.25">
      <c r="A609" s="47" t="s">
        <v>781</v>
      </c>
      <c r="B609" s="47" t="s">
        <v>1191</v>
      </c>
      <c r="C609" s="47" t="s">
        <v>1182</v>
      </c>
      <c r="D609" s="47" t="s">
        <v>1221</v>
      </c>
      <c r="E609" s="47" t="s">
        <v>1222</v>
      </c>
      <c r="F609" s="47" t="s">
        <v>1523</v>
      </c>
      <c r="G609" s="47" t="s">
        <v>983</v>
      </c>
      <c r="H609" s="47" t="e">
        <f>VLOOKUP(D609,#REF!,7,FALSE)</f>
        <v>#REF!</v>
      </c>
      <c r="I609" s="47" t="e">
        <f>VLOOKUP(H609,#REF!,2,FALSE)</f>
        <v>#REF!</v>
      </c>
    </row>
    <row r="610" spans="1:9" x14ac:dyDescent="0.25">
      <c r="A610" s="47" t="s">
        <v>781</v>
      </c>
      <c r="B610" s="47" t="s">
        <v>96</v>
      </c>
      <c r="C610" s="47" t="s">
        <v>535</v>
      </c>
      <c r="D610" s="47" t="s">
        <v>1230</v>
      </c>
      <c r="E610" s="47" t="s">
        <v>1231</v>
      </c>
      <c r="F610" s="47" t="s">
        <v>19</v>
      </c>
      <c r="G610" s="47" t="s">
        <v>287</v>
      </c>
      <c r="H610" s="47" t="e">
        <f>VLOOKUP(D610,#REF!,7,FALSE)</f>
        <v>#REF!</v>
      </c>
      <c r="I610" s="47" t="e">
        <f>VLOOKUP(H610,#REF!,2,FALSE)</f>
        <v>#REF!</v>
      </c>
    </row>
    <row r="611" spans="1:9" x14ac:dyDescent="0.25">
      <c r="A611" s="47" t="s">
        <v>812</v>
      </c>
      <c r="B611" s="47" t="s">
        <v>140</v>
      </c>
      <c r="C611" s="47" t="s">
        <v>1524</v>
      </c>
      <c r="D611" s="47" t="s">
        <v>1470</v>
      </c>
      <c r="E611" s="47" t="s">
        <v>1471</v>
      </c>
      <c r="F611" s="47" t="s">
        <v>14</v>
      </c>
      <c r="G611" s="47" t="s">
        <v>983</v>
      </c>
      <c r="H611" s="47" t="e">
        <f>VLOOKUP(D611,#REF!,7,FALSE)</f>
        <v>#REF!</v>
      </c>
      <c r="I611" s="47" t="e">
        <f>VLOOKUP(H611,#REF!,2,FALSE)</f>
        <v>#REF!</v>
      </c>
    </row>
    <row r="612" spans="1:9" x14ac:dyDescent="0.25">
      <c r="A612" s="47" t="s">
        <v>812</v>
      </c>
      <c r="B612" s="47" t="s">
        <v>96</v>
      </c>
      <c r="C612" s="47" t="s">
        <v>1524</v>
      </c>
      <c r="D612" s="47" t="s">
        <v>1468</v>
      </c>
      <c r="E612" s="47" t="s">
        <v>1469</v>
      </c>
      <c r="F612" s="47" t="s">
        <v>14</v>
      </c>
      <c r="G612" s="47" t="s">
        <v>983</v>
      </c>
      <c r="H612" s="47" t="e">
        <f>VLOOKUP(D612,#REF!,7,FALSE)</f>
        <v>#REF!</v>
      </c>
      <c r="I612" s="47" t="e">
        <f>VLOOKUP(H612,#REF!,2,FALSE)</f>
        <v>#REF!</v>
      </c>
    </row>
    <row r="613" spans="1:9" x14ac:dyDescent="0.25">
      <c r="A613" s="47" t="s">
        <v>781</v>
      </c>
      <c r="B613" s="47" t="s">
        <v>96</v>
      </c>
      <c r="C613" s="47" t="s">
        <v>1524</v>
      </c>
      <c r="D613" s="47" t="s">
        <v>1464</v>
      </c>
      <c r="E613" s="47" t="s">
        <v>1465</v>
      </c>
      <c r="F613" s="47" t="s">
        <v>14</v>
      </c>
      <c r="G613" s="47" t="s">
        <v>983</v>
      </c>
      <c r="H613" s="47" t="e">
        <f>VLOOKUP(D613,#REF!,7,FALSE)</f>
        <v>#REF!</v>
      </c>
      <c r="I613" s="47" t="e">
        <f>VLOOKUP(H613,#REF!,2,FALSE)</f>
        <v>#REF!</v>
      </c>
    </row>
    <row r="614" spans="1:9" x14ac:dyDescent="0.25">
      <c r="A614" s="47" t="s">
        <v>781</v>
      </c>
      <c r="B614" s="47" t="s">
        <v>47</v>
      </c>
      <c r="C614" s="47" t="s">
        <v>1524</v>
      </c>
      <c r="D614" s="47" t="s">
        <v>1463</v>
      </c>
      <c r="E614" s="47" t="s">
        <v>139</v>
      </c>
      <c r="F614" s="47" t="s">
        <v>14</v>
      </c>
      <c r="G614" s="47" t="s">
        <v>983</v>
      </c>
      <c r="H614" s="47" t="e">
        <f>VLOOKUP(D614,#REF!,7,FALSE)</f>
        <v>#REF!</v>
      </c>
      <c r="I614" s="47" t="e">
        <f>VLOOKUP(H614,#REF!,2,FALSE)</f>
        <v>#REF!</v>
      </c>
    </row>
    <row r="615" spans="1:9" x14ac:dyDescent="0.25">
      <c r="A615" s="47" t="s">
        <v>781</v>
      </c>
      <c r="B615" s="47" t="s">
        <v>10</v>
      </c>
      <c r="C615" s="47" t="s">
        <v>1524</v>
      </c>
      <c r="D615" s="47" t="s">
        <v>1461</v>
      </c>
      <c r="E615" s="47" t="s">
        <v>1462</v>
      </c>
      <c r="F615" s="47" t="s">
        <v>14</v>
      </c>
      <c r="G615" s="47" t="s">
        <v>983</v>
      </c>
      <c r="H615" s="47" t="e">
        <f>VLOOKUP(D615,#REF!,7,FALSE)</f>
        <v>#REF!</v>
      </c>
      <c r="I615" s="47" t="e">
        <f>VLOOKUP(H615,#REF!,2,FALSE)</f>
        <v>#REF!</v>
      </c>
    </row>
    <row r="616" spans="1:9" x14ac:dyDescent="0.25">
      <c r="A616" s="47" t="s">
        <v>812</v>
      </c>
      <c r="B616" s="47" t="s">
        <v>47</v>
      </c>
      <c r="C616" s="47" t="s">
        <v>1524</v>
      </c>
      <c r="D616" s="47" t="s">
        <v>1466</v>
      </c>
      <c r="E616" s="47" t="s">
        <v>1467</v>
      </c>
      <c r="F616" s="47" t="s">
        <v>14</v>
      </c>
      <c r="G616" s="47" t="s">
        <v>983</v>
      </c>
      <c r="H616" s="47" t="e">
        <f>VLOOKUP(D616,#REF!,7,FALSE)</f>
        <v>#REF!</v>
      </c>
      <c r="I616" s="47" t="e">
        <f>VLOOKUP(H616,#REF!,2,FALSE)</f>
        <v>#REF!</v>
      </c>
    </row>
    <row r="617" spans="1:9" x14ac:dyDescent="0.25">
      <c r="A617" s="47" t="s">
        <v>781</v>
      </c>
      <c r="B617" s="47" t="s">
        <v>119</v>
      </c>
      <c r="C617" s="47" t="s">
        <v>136</v>
      </c>
      <c r="D617" s="47" t="s">
        <v>1419</v>
      </c>
      <c r="E617" s="47" t="s">
        <v>1420</v>
      </c>
      <c r="F617" s="47" t="s">
        <v>37</v>
      </c>
      <c r="G617" s="47" t="s">
        <v>136</v>
      </c>
      <c r="H617" s="47" t="e">
        <f>VLOOKUP(D617,#REF!,7,FALSE)</f>
        <v>#REF!</v>
      </c>
      <c r="I617" s="47" t="e">
        <f>VLOOKUP(H617,#REF!,2,FALSE)</f>
        <v>#REF!</v>
      </c>
    </row>
    <row r="618" spans="1:9" x14ac:dyDescent="0.25">
      <c r="A618" s="47" t="s">
        <v>781</v>
      </c>
      <c r="B618" s="47" t="s">
        <v>96</v>
      </c>
      <c r="C618" s="47" t="s">
        <v>284</v>
      </c>
      <c r="D618" s="47" t="s">
        <v>586</v>
      </c>
      <c r="E618" s="47" t="s">
        <v>587</v>
      </c>
      <c r="F618" s="47" t="s">
        <v>19</v>
      </c>
      <c r="G618" s="47" t="s">
        <v>237</v>
      </c>
      <c r="H618" s="47" t="e">
        <f>VLOOKUP(D618,#REF!,7,FALSE)</f>
        <v>#REF!</v>
      </c>
      <c r="I618" s="47" t="e">
        <f>VLOOKUP(H618,#REF!,2,FALSE)</f>
        <v>#REF!</v>
      </c>
    </row>
    <row r="619" spans="1:9" x14ac:dyDescent="0.25">
      <c r="A619" s="47" t="s">
        <v>812</v>
      </c>
      <c r="B619" s="47" t="s">
        <v>47</v>
      </c>
      <c r="C619" s="47" t="s">
        <v>508</v>
      </c>
      <c r="D619" s="47" t="s">
        <v>358</v>
      </c>
      <c r="E619" s="47" t="s">
        <v>1212</v>
      </c>
      <c r="F619" s="47" t="s">
        <v>19</v>
      </c>
      <c r="G619" s="47" t="s">
        <v>24</v>
      </c>
      <c r="H619" s="47" t="e">
        <f>VLOOKUP(D619,#REF!,7,FALSE)</f>
        <v>#REF!</v>
      </c>
      <c r="I619" s="47" t="e">
        <f>VLOOKUP(H619,#REF!,2,FALSE)</f>
        <v>#REF!</v>
      </c>
    </row>
    <row r="620" spans="1:9" x14ac:dyDescent="0.25">
      <c r="A620" s="47" t="s">
        <v>781</v>
      </c>
      <c r="B620" s="47" t="s">
        <v>140</v>
      </c>
      <c r="C620" s="47" t="s">
        <v>284</v>
      </c>
      <c r="D620" s="47" t="s">
        <v>285</v>
      </c>
      <c r="E620" s="47" t="s">
        <v>286</v>
      </c>
      <c r="F620" s="47" t="s">
        <v>19</v>
      </c>
      <c r="G620" s="47" t="s">
        <v>287</v>
      </c>
      <c r="H620" s="47" t="e">
        <f>VLOOKUP(D620,#REF!,7,FALSE)</f>
        <v>#REF!</v>
      </c>
      <c r="I620" s="47" t="e">
        <f>VLOOKUP(H620,#REF!,2,FALSE)</f>
        <v>#REF!</v>
      </c>
    </row>
    <row r="621" spans="1:9" x14ac:dyDescent="0.25">
      <c r="A621" s="47" t="s">
        <v>781</v>
      </c>
      <c r="B621" s="47" t="s">
        <v>47</v>
      </c>
      <c r="C621" s="47" t="s">
        <v>284</v>
      </c>
      <c r="D621" s="47" t="s">
        <v>720</v>
      </c>
      <c r="E621" s="47" t="s">
        <v>721</v>
      </c>
      <c r="F621" s="47" t="s">
        <v>19</v>
      </c>
      <c r="G621" s="47" t="s">
        <v>87</v>
      </c>
      <c r="H621" s="47" t="e">
        <f>VLOOKUP(D621,#REF!,7,FALSE)</f>
        <v>#REF!</v>
      </c>
      <c r="I621" s="47" t="e">
        <f>VLOOKUP(H621,#REF!,2,FALSE)</f>
        <v>#REF!</v>
      </c>
    </row>
    <row r="622" spans="1:9" x14ac:dyDescent="0.25">
      <c r="A622" s="47" t="s">
        <v>812</v>
      </c>
      <c r="B622" s="47" t="s">
        <v>96</v>
      </c>
      <c r="C622" s="47" t="s">
        <v>1483</v>
      </c>
      <c r="D622" s="47" t="s">
        <v>1484</v>
      </c>
      <c r="E622" s="47" t="s">
        <v>510</v>
      </c>
      <c r="F622" s="47" t="s">
        <v>19</v>
      </c>
      <c r="G622" s="47" t="s">
        <v>287</v>
      </c>
      <c r="H622" s="47" t="e">
        <f>VLOOKUP(D622,#REF!,7,FALSE)</f>
        <v>#REF!</v>
      </c>
      <c r="I622" s="47" t="e">
        <f>VLOOKUP(H622,#REF!,2,FALSE)</f>
        <v>#REF!</v>
      </c>
    </row>
    <row r="623" spans="1:9" x14ac:dyDescent="0.25">
      <c r="A623" s="47" t="s">
        <v>781</v>
      </c>
      <c r="B623" s="47" t="s">
        <v>96</v>
      </c>
      <c r="C623" s="47" t="s">
        <v>229</v>
      </c>
      <c r="D623" s="47" t="s">
        <v>230</v>
      </c>
      <c r="E623" s="47" t="s">
        <v>231</v>
      </c>
      <c r="F623" s="47" t="s">
        <v>19</v>
      </c>
      <c r="G623" s="47" t="s">
        <v>24</v>
      </c>
      <c r="H623" s="47" t="e">
        <f>VLOOKUP(D623,#REF!,7,FALSE)</f>
        <v>#REF!</v>
      </c>
      <c r="I623" s="47" t="e">
        <f>VLOOKUP(H623,#REF!,2,FALSE)</f>
        <v>#REF!</v>
      </c>
    </row>
    <row r="624" spans="1:9" x14ac:dyDescent="0.25">
      <c r="A624" s="47" t="s">
        <v>781</v>
      </c>
      <c r="B624" s="47" t="s">
        <v>47</v>
      </c>
      <c r="C624" s="47" t="s">
        <v>229</v>
      </c>
      <c r="D624" s="47" t="s">
        <v>615</v>
      </c>
      <c r="E624" s="47" t="s">
        <v>616</v>
      </c>
      <c r="F624" s="47" t="s">
        <v>19</v>
      </c>
      <c r="G624" s="47" t="s">
        <v>83</v>
      </c>
      <c r="H624" s="47" t="e">
        <f>VLOOKUP(D624,#REF!,7,FALSE)</f>
        <v>#REF!</v>
      </c>
      <c r="I624" s="47" t="e">
        <f>VLOOKUP(H624,#REF!,2,FALSE)</f>
        <v>#REF!</v>
      </c>
    </row>
    <row r="625" spans="1:9" x14ac:dyDescent="0.25">
      <c r="A625" s="47" t="s">
        <v>812</v>
      </c>
      <c r="B625" s="47" t="s">
        <v>47</v>
      </c>
      <c r="C625" s="47" t="s">
        <v>229</v>
      </c>
      <c r="D625" s="47" t="s">
        <v>474</v>
      </c>
      <c r="E625" s="47" t="s">
        <v>475</v>
      </c>
      <c r="F625" s="47" t="s">
        <v>19</v>
      </c>
      <c r="G625" s="47" t="s">
        <v>83</v>
      </c>
      <c r="H625" s="47" t="e">
        <f>VLOOKUP(D625,#REF!,7,FALSE)</f>
        <v>#REF!</v>
      </c>
      <c r="I625" s="47" t="e">
        <f>VLOOKUP(H625,#REF!,2,FALSE)</f>
        <v>#REF!</v>
      </c>
    </row>
    <row r="626" spans="1:9" x14ac:dyDescent="0.25">
      <c r="A626" s="47" t="s">
        <v>781</v>
      </c>
      <c r="B626" s="47" t="s">
        <v>10</v>
      </c>
      <c r="C626" s="47" t="s">
        <v>229</v>
      </c>
      <c r="D626" s="47" t="s">
        <v>691</v>
      </c>
      <c r="E626" s="47" t="s">
        <v>692</v>
      </c>
      <c r="F626" s="47" t="s">
        <v>19</v>
      </c>
      <c r="G626" s="47" t="s">
        <v>24</v>
      </c>
      <c r="H626" s="47" t="e">
        <f>VLOOKUP(D626,#REF!,7,FALSE)</f>
        <v>#REF!</v>
      </c>
      <c r="I626" s="47" t="e">
        <f>VLOOKUP(H626,#REF!,2,FALSE)</f>
        <v>#REF!</v>
      </c>
    </row>
    <row r="627" spans="1:9" x14ac:dyDescent="0.25">
      <c r="A627" s="47" t="s">
        <v>812</v>
      </c>
      <c r="B627" s="47" t="s">
        <v>10</v>
      </c>
      <c r="C627" s="47" t="s">
        <v>229</v>
      </c>
      <c r="D627" s="47" t="s">
        <v>715</v>
      </c>
      <c r="E627" s="47" t="s">
        <v>716</v>
      </c>
      <c r="F627" s="47" t="s">
        <v>19</v>
      </c>
      <c r="G627" s="47" t="s">
        <v>112</v>
      </c>
      <c r="H627" s="47" t="e">
        <f>VLOOKUP(D627,#REF!,7,FALSE)</f>
        <v>#REF!</v>
      </c>
      <c r="I627" s="47" t="e">
        <f>VLOOKUP(H627,#REF!,2,FALSE)</f>
        <v>#REF!</v>
      </c>
    </row>
    <row r="628" spans="1:9" x14ac:dyDescent="0.25">
      <c r="A628" s="47" t="s">
        <v>812</v>
      </c>
      <c r="B628" s="47" t="s">
        <v>140</v>
      </c>
      <c r="C628" s="47" t="s">
        <v>1260</v>
      </c>
      <c r="D628" s="47" t="s">
        <v>1261</v>
      </c>
      <c r="E628" s="47" t="s">
        <v>1525</v>
      </c>
      <c r="F628" s="47" t="s">
        <v>19</v>
      </c>
      <c r="G628" s="47" t="s">
        <v>237</v>
      </c>
      <c r="H628" s="47" t="e">
        <f>VLOOKUP(D628,#REF!,7,FALSE)</f>
        <v>#REF!</v>
      </c>
      <c r="I628" s="47" t="e">
        <f>VLOOKUP(H628,#REF!,2,FALSE)</f>
        <v>#REF!</v>
      </c>
    </row>
    <row r="629" spans="1:9" x14ac:dyDescent="0.25">
      <c r="A629" s="47" t="s">
        <v>781</v>
      </c>
      <c r="B629" s="47" t="s">
        <v>96</v>
      </c>
      <c r="C629" s="47" t="s">
        <v>484</v>
      </c>
      <c r="D629" s="47" t="s">
        <v>485</v>
      </c>
      <c r="E629" s="47" t="s">
        <v>486</v>
      </c>
      <c r="F629" s="47" t="s">
        <v>19</v>
      </c>
      <c r="G629" s="47" t="s">
        <v>55</v>
      </c>
      <c r="H629" s="47" t="e">
        <f>VLOOKUP(D629,#REF!,7,FALSE)</f>
        <v>#REF!</v>
      </c>
      <c r="I629" s="47" t="e">
        <f>VLOOKUP(H629,#REF!,2,FALSE)</f>
        <v>#REF!</v>
      </c>
    </row>
    <row r="630" spans="1:9" x14ac:dyDescent="0.25">
      <c r="A630" s="47" t="s">
        <v>781</v>
      </c>
      <c r="B630" s="47" t="s">
        <v>10</v>
      </c>
      <c r="C630" s="47" t="s">
        <v>276</v>
      </c>
      <c r="D630" s="47" t="s">
        <v>1172</v>
      </c>
      <c r="E630" s="47" t="s">
        <v>1477</v>
      </c>
      <c r="F630" s="47" t="s">
        <v>19</v>
      </c>
      <c r="G630" s="47" t="s">
        <v>79</v>
      </c>
      <c r="H630" s="47" t="e">
        <f>VLOOKUP(D630,#REF!,7,FALSE)</f>
        <v>#REF!</v>
      </c>
      <c r="I630" s="47" t="e">
        <f>VLOOKUP(H630,#REF!,2,FALSE)</f>
        <v>#REF!</v>
      </c>
    </row>
    <row r="631" spans="1:9" x14ac:dyDescent="0.25">
      <c r="A631" s="47" t="s">
        <v>812</v>
      </c>
      <c r="B631" s="47" t="s">
        <v>10</v>
      </c>
      <c r="C631" s="47" t="s">
        <v>276</v>
      </c>
      <c r="D631" s="47" t="s">
        <v>563</v>
      </c>
      <c r="E631" s="47" t="s">
        <v>564</v>
      </c>
      <c r="F631" s="47" t="s">
        <v>19</v>
      </c>
      <c r="G631" s="47" t="s">
        <v>55</v>
      </c>
      <c r="H631" s="47" t="e">
        <f>VLOOKUP(D631,#REF!,7,FALSE)</f>
        <v>#REF!</v>
      </c>
      <c r="I631" s="47" t="e">
        <f>VLOOKUP(H631,#REF!,2,FALSE)</f>
        <v>#REF!</v>
      </c>
    </row>
    <row r="632" spans="1:9" x14ac:dyDescent="0.25">
      <c r="A632" s="47" t="s">
        <v>781</v>
      </c>
      <c r="B632" s="47" t="s">
        <v>47</v>
      </c>
      <c r="C632" s="47" t="s">
        <v>276</v>
      </c>
      <c r="D632" s="47" t="s">
        <v>588</v>
      </c>
      <c r="E632" s="47" t="s">
        <v>589</v>
      </c>
      <c r="F632" s="47" t="s">
        <v>19</v>
      </c>
      <c r="G632" s="47" t="s">
        <v>15</v>
      </c>
      <c r="H632" s="47" t="e">
        <f>VLOOKUP(D632,#REF!,7,FALSE)</f>
        <v>#REF!</v>
      </c>
      <c r="I632" s="47" t="e">
        <f>VLOOKUP(H632,#REF!,2,FALSE)</f>
        <v>#REF!</v>
      </c>
    </row>
    <row r="633" spans="1:9" x14ac:dyDescent="0.25">
      <c r="A633" s="47" t="s">
        <v>812</v>
      </c>
      <c r="B633" s="47" t="s">
        <v>47</v>
      </c>
      <c r="C633" s="47" t="s">
        <v>276</v>
      </c>
      <c r="D633" s="47" t="s">
        <v>1173</v>
      </c>
      <c r="E633" s="47" t="s">
        <v>1174</v>
      </c>
      <c r="F633" s="47" t="s">
        <v>19</v>
      </c>
      <c r="G633" s="47" t="s">
        <v>24</v>
      </c>
      <c r="H633" s="47" t="e">
        <f>VLOOKUP(D633,#REF!,7,FALSE)</f>
        <v>#REF!</v>
      </c>
      <c r="I633" s="47" t="e">
        <f>VLOOKUP(H633,#REF!,2,FALSE)</f>
        <v>#REF!</v>
      </c>
    </row>
    <row r="634" spans="1:9" x14ac:dyDescent="0.25">
      <c r="A634" s="47" t="s">
        <v>812</v>
      </c>
      <c r="B634" s="47" t="s">
        <v>96</v>
      </c>
      <c r="C634" s="47" t="s">
        <v>276</v>
      </c>
      <c r="D634" s="47" t="s">
        <v>1252</v>
      </c>
      <c r="E634" s="47" t="s">
        <v>1491</v>
      </c>
      <c r="F634" s="47" t="s">
        <v>19</v>
      </c>
      <c r="G634" s="47" t="s">
        <v>79</v>
      </c>
      <c r="H634" s="47" t="e">
        <f>VLOOKUP(D634,#REF!,7,FALSE)</f>
        <v>#REF!</v>
      </c>
      <c r="I634" s="47" t="e">
        <f>VLOOKUP(H634,#REF!,2,FALSE)</f>
        <v>#REF!</v>
      </c>
    </row>
    <row r="635" spans="1:9" x14ac:dyDescent="0.25">
      <c r="A635" s="47" t="s">
        <v>812</v>
      </c>
      <c r="B635" s="47" t="s">
        <v>10</v>
      </c>
      <c r="C635" s="47" t="s">
        <v>210</v>
      </c>
      <c r="D635" s="47" t="s">
        <v>211</v>
      </c>
      <c r="E635" s="47" t="s">
        <v>212</v>
      </c>
      <c r="F635" s="47" t="s">
        <v>19</v>
      </c>
      <c r="G635" s="47" t="s">
        <v>87</v>
      </c>
      <c r="H635" s="47" t="e">
        <f>VLOOKUP(D635,#REF!,7,FALSE)</f>
        <v>#REF!</v>
      </c>
      <c r="I635" s="47" t="e">
        <f>VLOOKUP(H635,#REF!,2,FALSE)</f>
        <v>#REF!</v>
      </c>
    </row>
    <row r="636" spans="1:9" x14ac:dyDescent="0.25">
      <c r="A636" s="47" t="s">
        <v>781</v>
      </c>
      <c r="B636" s="47" t="s">
        <v>10</v>
      </c>
      <c r="C636" s="47" t="s">
        <v>401</v>
      </c>
      <c r="D636" s="47" t="s">
        <v>402</v>
      </c>
      <c r="E636" s="47" t="s">
        <v>403</v>
      </c>
      <c r="F636" s="47" t="s">
        <v>19</v>
      </c>
      <c r="G636" s="47" t="s">
        <v>87</v>
      </c>
      <c r="H636" s="47" t="e">
        <f>VLOOKUP(D636,#REF!,7,FALSE)</f>
        <v>#REF!</v>
      </c>
      <c r="I636" s="47" t="e">
        <f>VLOOKUP(H636,#REF!,2,FALSE)</f>
        <v>#REF!</v>
      </c>
    </row>
    <row r="637" spans="1:9" x14ac:dyDescent="0.25">
      <c r="A637" s="47" t="s">
        <v>781</v>
      </c>
      <c r="B637" s="47" t="s">
        <v>47</v>
      </c>
      <c r="C637" s="47" t="s">
        <v>210</v>
      </c>
      <c r="D637" s="47" t="s">
        <v>603</v>
      </c>
      <c r="E637" s="47" t="s">
        <v>1526</v>
      </c>
      <c r="F637" s="47" t="s">
        <v>19</v>
      </c>
      <c r="G637" s="47" t="s">
        <v>87</v>
      </c>
      <c r="H637" s="47" t="e">
        <f>VLOOKUP(D637,#REF!,7,FALSE)</f>
        <v>#REF!</v>
      </c>
      <c r="I637" s="47" t="e">
        <f>VLOOKUP(H637,#REF!,2,FALSE)</f>
        <v>#REF!</v>
      </c>
    </row>
    <row r="638" spans="1:9" x14ac:dyDescent="0.25">
      <c r="A638" s="47" t="s">
        <v>781</v>
      </c>
      <c r="B638" s="47" t="s">
        <v>140</v>
      </c>
      <c r="C638" s="47" t="s">
        <v>210</v>
      </c>
      <c r="D638" s="47" t="s">
        <v>635</v>
      </c>
      <c r="E638" s="47" t="s">
        <v>1527</v>
      </c>
      <c r="F638" s="47" t="s">
        <v>14</v>
      </c>
      <c r="G638" s="47" t="s">
        <v>87</v>
      </c>
      <c r="H638" s="47" t="e">
        <f>VLOOKUP(D638,#REF!,7,FALSE)</f>
        <v>#REF!</v>
      </c>
      <c r="I638" s="47" t="e">
        <f>VLOOKUP(H638,#REF!,2,FALSE)</f>
        <v>#REF!</v>
      </c>
    </row>
  </sheetData>
  <autoFilter ref="A1:I638" xr:uid="{00000000-0009-0000-0000-000014000000}"/>
  <conditionalFormatting sqref="C1">
    <cfRule type="duplicateValues" dxfId="7" priority="6"/>
  </conditionalFormatting>
  <conditionalFormatting sqref="D2:D360">
    <cfRule type="duplicateValues" dxfId="6" priority="665"/>
  </conditionalFormatting>
  <conditionalFormatting sqref="D361">
    <cfRule type="duplicateValues" dxfId="5" priority="5"/>
  </conditionalFormatting>
  <conditionalFormatting sqref="D362">
    <cfRule type="duplicateValues" dxfId="4" priority="4"/>
  </conditionalFormatting>
  <conditionalFormatting sqref="D363">
    <cfRule type="duplicateValues" dxfId="3" priority="3"/>
  </conditionalFormatting>
  <conditionalFormatting sqref="D364">
    <cfRule type="duplicateValues" dxfId="2" priority="2"/>
  </conditionalFormatting>
  <conditionalFormatting sqref="D365:D638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D6"/>
  <sheetViews>
    <sheetView workbookViewId="0">
      <selection activeCell="E13" sqref="E13"/>
    </sheetView>
  </sheetViews>
  <sheetFormatPr defaultRowHeight="15" x14ac:dyDescent="0.25"/>
  <cols>
    <col min="3" max="3" width="35.42578125" bestFit="1" customWidth="1"/>
    <col min="4" max="4" width="23.5703125" bestFit="1" customWidth="1"/>
  </cols>
  <sheetData>
    <row r="2" spans="2:4" x14ac:dyDescent="0.25">
      <c r="B2" s="37" t="s">
        <v>864</v>
      </c>
      <c r="C2" s="37" t="s">
        <v>1439</v>
      </c>
      <c r="D2" s="37" t="s">
        <v>1528</v>
      </c>
    </row>
    <row r="3" spans="2:4" x14ac:dyDescent="0.25">
      <c r="B3" s="37" t="s">
        <v>891</v>
      </c>
      <c r="C3" s="37" t="s">
        <v>892</v>
      </c>
      <c r="D3" s="37" t="s">
        <v>1529</v>
      </c>
    </row>
    <row r="4" spans="2:4" x14ac:dyDescent="0.25">
      <c r="B4" s="37" t="s">
        <v>982</v>
      </c>
      <c r="C4" s="37" t="s">
        <v>670</v>
      </c>
      <c r="D4" s="37" t="s">
        <v>1530</v>
      </c>
    </row>
    <row r="5" spans="2:4" x14ac:dyDescent="0.25">
      <c r="B5" s="37" t="s">
        <v>984</v>
      </c>
      <c r="C5" s="37" t="s">
        <v>985</v>
      </c>
      <c r="D5" s="37" t="s">
        <v>1530</v>
      </c>
    </row>
    <row r="6" spans="2:4" x14ac:dyDescent="0.25">
      <c r="B6" s="37" t="s">
        <v>1060</v>
      </c>
      <c r="C6" s="37" t="s">
        <v>1061</v>
      </c>
      <c r="D6" s="37" t="s">
        <v>1531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D2:D88"/>
  <sheetViews>
    <sheetView topLeftCell="A25" workbookViewId="0">
      <selection activeCell="G9" sqref="G9"/>
    </sheetView>
  </sheetViews>
  <sheetFormatPr defaultRowHeight="15" x14ac:dyDescent="0.25"/>
  <cols>
    <col min="4" max="4" width="24.42578125" bestFit="1" customWidth="1"/>
  </cols>
  <sheetData>
    <row r="2" spans="4:4" x14ac:dyDescent="0.25">
      <c r="D2" s="55" t="s">
        <v>1532</v>
      </c>
    </row>
    <row r="3" spans="4:4" x14ac:dyDescent="0.25">
      <c r="D3" s="47" t="s">
        <v>1533</v>
      </c>
    </row>
    <row r="4" spans="4:4" x14ac:dyDescent="0.25">
      <c r="D4" s="47" t="s">
        <v>1534</v>
      </c>
    </row>
    <row r="5" spans="4:4" x14ac:dyDescent="0.25">
      <c r="D5" s="47" t="s">
        <v>1535</v>
      </c>
    </row>
    <row r="6" spans="4:4" x14ac:dyDescent="0.25">
      <c r="D6" s="47" t="s">
        <v>1536</v>
      </c>
    </row>
    <row r="7" spans="4:4" x14ac:dyDescent="0.25">
      <c r="D7" s="47" t="s">
        <v>1537</v>
      </c>
    </row>
    <row r="8" spans="4:4" x14ac:dyDescent="0.25">
      <c r="D8" s="47" t="s">
        <v>1538</v>
      </c>
    </row>
    <row r="9" spans="4:4" x14ac:dyDescent="0.25">
      <c r="D9" s="47" t="s">
        <v>1539</v>
      </c>
    </row>
    <row r="10" spans="4:4" x14ac:dyDescent="0.25">
      <c r="D10" s="47" t="s">
        <v>1540</v>
      </c>
    </row>
    <row r="11" spans="4:4" x14ac:dyDescent="0.25">
      <c r="D11" s="47" t="s">
        <v>1541</v>
      </c>
    </row>
    <row r="12" spans="4:4" x14ac:dyDescent="0.25">
      <c r="D12" s="47" t="s">
        <v>1542</v>
      </c>
    </row>
    <row r="13" spans="4:4" x14ac:dyDescent="0.25">
      <c r="D13" s="47" t="s">
        <v>1543</v>
      </c>
    </row>
    <row r="14" spans="4:4" x14ac:dyDescent="0.25">
      <c r="D14" s="47" t="s">
        <v>1544</v>
      </c>
    </row>
    <row r="15" spans="4:4" x14ac:dyDescent="0.25">
      <c r="D15" s="47" t="s">
        <v>1529</v>
      </c>
    </row>
    <row r="16" spans="4:4" x14ac:dyDescent="0.25">
      <c r="D16" s="47" t="s">
        <v>1545</v>
      </c>
    </row>
    <row r="17" spans="4:4" x14ac:dyDescent="0.25">
      <c r="D17" s="47" t="s">
        <v>1546</v>
      </c>
    </row>
    <row r="18" spans="4:4" x14ac:dyDescent="0.25">
      <c r="D18" s="47" t="s">
        <v>1547</v>
      </c>
    </row>
    <row r="19" spans="4:4" x14ac:dyDescent="0.25">
      <c r="D19" s="47" t="s">
        <v>1417</v>
      </c>
    </row>
    <row r="20" spans="4:4" x14ac:dyDescent="0.25">
      <c r="D20" s="47" t="s">
        <v>1548</v>
      </c>
    </row>
    <row r="21" spans="4:4" x14ac:dyDescent="0.25">
      <c r="D21" s="47" t="s">
        <v>1549</v>
      </c>
    </row>
    <row r="22" spans="4:4" x14ac:dyDescent="0.25">
      <c r="D22" s="47" t="s">
        <v>1550</v>
      </c>
    </row>
    <row r="23" spans="4:4" x14ac:dyDescent="0.25">
      <c r="D23" s="47" t="s">
        <v>1551</v>
      </c>
    </row>
    <row r="24" spans="4:4" x14ac:dyDescent="0.25">
      <c r="D24" s="47" t="s">
        <v>1552</v>
      </c>
    </row>
    <row r="25" spans="4:4" x14ac:dyDescent="0.25">
      <c r="D25" s="47" t="s">
        <v>1553</v>
      </c>
    </row>
    <row r="26" spans="4:4" x14ac:dyDescent="0.25">
      <c r="D26" s="47" t="s">
        <v>1554</v>
      </c>
    </row>
    <row r="27" spans="4:4" x14ac:dyDescent="0.25">
      <c r="D27" s="47" t="s">
        <v>1555</v>
      </c>
    </row>
    <row r="28" spans="4:4" x14ac:dyDescent="0.25">
      <c r="D28" s="47" t="s">
        <v>1427</v>
      </c>
    </row>
    <row r="29" spans="4:4" x14ac:dyDescent="0.25">
      <c r="D29" s="47" t="s">
        <v>1556</v>
      </c>
    </row>
    <row r="30" spans="4:4" x14ac:dyDescent="0.25">
      <c r="D30" s="47" t="s">
        <v>1557</v>
      </c>
    </row>
    <row r="31" spans="4:4" x14ac:dyDescent="0.25">
      <c r="D31" s="47" t="s">
        <v>875</v>
      </c>
    </row>
    <row r="32" spans="4:4" x14ac:dyDescent="0.25">
      <c r="D32" s="47" t="s">
        <v>1558</v>
      </c>
    </row>
    <row r="33" spans="4:4" x14ac:dyDescent="0.25">
      <c r="D33" s="47" t="s">
        <v>1559</v>
      </c>
    </row>
    <row r="34" spans="4:4" x14ac:dyDescent="0.25">
      <c r="D34" s="47" t="s">
        <v>1560</v>
      </c>
    </row>
    <row r="35" spans="4:4" x14ac:dyDescent="0.25">
      <c r="D35" s="47" t="s">
        <v>1561</v>
      </c>
    </row>
    <row r="36" spans="4:4" x14ac:dyDescent="0.25">
      <c r="D36" s="47" t="e">
        <v>#N/A</v>
      </c>
    </row>
    <row r="37" spans="4:4" x14ac:dyDescent="0.25">
      <c r="D37" s="47" t="s">
        <v>1562</v>
      </c>
    </row>
    <row r="38" spans="4:4" x14ac:dyDescent="0.25">
      <c r="D38" s="47" t="s">
        <v>1563</v>
      </c>
    </row>
    <row r="39" spans="4:4" x14ac:dyDescent="0.25">
      <c r="D39" s="47" t="s">
        <v>1564</v>
      </c>
    </row>
    <row r="40" spans="4:4" x14ac:dyDescent="0.25">
      <c r="D40" s="47" t="s">
        <v>1565</v>
      </c>
    </row>
    <row r="41" spans="4:4" x14ac:dyDescent="0.25">
      <c r="D41" s="47" t="s">
        <v>1566</v>
      </c>
    </row>
    <row r="42" spans="4:4" x14ac:dyDescent="0.25">
      <c r="D42" s="47" t="s">
        <v>1567</v>
      </c>
    </row>
    <row r="43" spans="4:4" x14ac:dyDescent="0.25">
      <c r="D43" s="47" t="s">
        <v>1568</v>
      </c>
    </row>
    <row r="44" spans="4:4" x14ac:dyDescent="0.25">
      <c r="D44" s="47" t="s">
        <v>1569</v>
      </c>
    </row>
    <row r="45" spans="4:4" x14ac:dyDescent="0.25">
      <c r="D45" s="47" t="s">
        <v>1570</v>
      </c>
    </row>
    <row r="46" spans="4:4" x14ac:dyDescent="0.25">
      <c r="D46" s="47" t="s">
        <v>1571</v>
      </c>
    </row>
    <row r="47" spans="4:4" x14ac:dyDescent="0.25">
      <c r="D47" s="47" t="s">
        <v>1572</v>
      </c>
    </row>
    <row r="48" spans="4:4" x14ac:dyDescent="0.25">
      <c r="D48" s="47" t="s">
        <v>1573</v>
      </c>
    </row>
    <row r="49" spans="4:4" x14ac:dyDescent="0.25">
      <c r="D49" s="47" t="s">
        <v>1574</v>
      </c>
    </row>
    <row r="50" spans="4:4" x14ac:dyDescent="0.25">
      <c r="D50" s="47" t="s">
        <v>1411</v>
      </c>
    </row>
    <row r="51" spans="4:4" x14ac:dyDescent="0.25">
      <c r="D51" s="47" t="s">
        <v>1132</v>
      </c>
    </row>
    <row r="52" spans="4:4" x14ac:dyDescent="0.25">
      <c r="D52" s="47" t="s">
        <v>1438</v>
      </c>
    </row>
    <row r="53" spans="4:4" x14ac:dyDescent="0.25">
      <c r="D53" s="47" t="s">
        <v>1575</v>
      </c>
    </row>
    <row r="54" spans="4:4" x14ac:dyDescent="0.25">
      <c r="D54" s="47" t="s">
        <v>1418</v>
      </c>
    </row>
    <row r="55" spans="4:4" x14ac:dyDescent="0.25">
      <c r="D55" s="47" t="s">
        <v>1576</v>
      </c>
    </row>
    <row r="56" spans="4:4" x14ac:dyDescent="0.25">
      <c r="D56" s="47" t="s">
        <v>1134</v>
      </c>
    </row>
    <row r="57" spans="4:4" x14ac:dyDescent="0.25">
      <c r="D57" s="47" t="s">
        <v>1577</v>
      </c>
    </row>
    <row r="58" spans="4:4" x14ac:dyDescent="0.25">
      <c r="D58" s="47" t="s">
        <v>1578</v>
      </c>
    </row>
    <row r="59" spans="4:4" x14ac:dyDescent="0.25">
      <c r="D59" s="47" t="s">
        <v>1415</v>
      </c>
    </row>
    <row r="60" spans="4:4" x14ac:dyDescent="0.25">
      <c r="D60" s="47" t="s">
        <v>1413</v>
      </c>
    </row>
    <row r="61" spans="4:4" x14ac:dyDescent="0.25">
      <c r="D61" s="47" t="s">
        <v>1579</v>
      </c>
    </row>
    <row r="62" spans="4:4" x14ac:dyDescent="0.25">
      <c r="D62" s="47" t="s">
        <v>1580</v>
      </c>
    </row>
    <row r="63" spans="4:4" x14ac:dyDescent="0.25">
      <c r="D63" s="47" t="s">
        <v>1581</v>
      </c>
    </row>
    <row r="64" spans="4:4" x14ac:dyDescent="0.25">
      <c r="D64" s="47" t="s">
        <v>1582</v>
      </c>
    </row>
    <row r="65" spans="4:4" x14ac:dyDescent="0.25">
      <c r="D65" s="47" t="s">
        <v>1583</v>
      </c>
    </row>
    <row r="66" spans="4:4" x14ac:dyDescent="0.25">
      <c r="D66" s="47" t="s">
        <v>1584</v>
      </c>
    </row>
    <row r="67" spans="4:4" x14ac:dyDescent="0.25">
      <c r="D67" s="47" t="s">
        <v>1424</v>
      </c>
    </row>
    <row r="68" spans="4:4" x14ac:dyDescent="0.25">
      <c r="D68" s="47" t="s">
        <v>1585</v>
      </c>
    </row>
    <row r="69" spans="4:4" x14ac:dyDescent="0.25">
      <c r="D69" s="47" t="s">
        <v>1586</v>
      </c>
    </row>
    <row r="70" spans="4:4" x14ac:dyDescent="0.25">
      <c r="D70" s="47" t="s">
        <v>1587</v>
      </c>
    </row>
    <row r="71" spans="4:4" x14ac:dyDescent="0.25">
      <c r="D71" s="47" t="s">
        <v>1588</v>
      </c>
    </row>
    <row r="72" spans="4:4" x14ac:dyDescent="0.25">
      <c r="D72" s="47" t="s">
        <v>1589</v>
      </c>
    </row>
    <row r="73" spans="4:4" x14ac:dyDescent="0.25">
      <c r="D73" s="47" t="s">
        <v>1590</v>
      </c>
    </row>
    <row r="74" spans="4:4" x14ac:dyDescent="0.25">
      <c r="D74" s="47" t="s">
        <v>1591</v>
      </c>
    </row>
    <row r="75" spans="4:4" x14ac:dyDescent="0.25">
      <c r="D75" s="47" t="s">
        <v>1592</v>
      </c>
    </row>
    <row r="76" spans="4:4" x14ac:dyDescent="0.25">
      <c r="D76" s="47" t="s">
        <v>1593</v>
      </c>
    </row>
    <row r="77" spans="4:4" x14ac:dyDescent="0.25">
      <c r="D77" s="47" t="s">
        <v>1594</v>
      </c>
    </row>
    <row r="78" spans="4:4" x14ac:dyDescent="0.25">
      <c r="D78" s="47" t="s">
        <v>1595</v>
      </c>
    </row>
    <row r="79" spans="4:4" x14ac:dyDescent="0.25">
      <c r="D79" s="47" t="s">
        <v>1596</v>
      </c>
    </row>
    <row r="80" spans="4:4" x14ac:dyDescent="0.25">
      <c r="D80" s="47" t="s">
        <v>1597</v>
      </c>
    </row>
    <row r="81" spans="4:4" x14ac:dyDescent="0.25">
      <c r="D81" s="47" t="s">
        <v>1598</v>
      </c>
    </row>
    <row r="82" spans="4:4" x14ac:dyDescent="0.25">
      <c r="D82" s="47" t="s">
        <v>1599</v>
      </c>
    </row>
    <row r="83" spans="4:4" x14ac:dyDescent="0.25">
      <c r="D83" s="47" t="s">
        <v>1600</v>
      </c>
    </row>
    <row r="84" spans="4:4" x14ac:dyDescent="0.25">
      <c r="D84" s="47" t="s">
        <v>1601</v>
      </c>
    </row>
    <row r="85" spans="4:4" x14ac:dyDescent="0.25">
      <c r="D85" s="47" t="s">
        <v>1602</v>
      </c>
    </row>
    <row r="86" spans="4:4" x14ac:dyDescent="0.25">
      <c r="D86" s="47" t="s">
        <v>1531</v>
      </c>
    </row>
    <row r="87" spans="4:4" x14ac:dyDescent="0.25">
      <c r="D87" s="47" t="s">
        <v>1603</v>
      </c>
    </row>
    <row r="88" spans="4:4" x14ac:dyDescent="0.25">
      <c r="D88" s="47" t="s">
        <v>1414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5">
    <pageSetUpPr fitToPage="1"/>
  </sheetPr>
  <dimension ref="A1:C40"/>
  <sheetViews>
    <sheetView tabSelected="1" zoomScale="120" zoomScaleNormal="120" workbookViewId="0">
      <pane ySplit="2" topLeftCell="A24" activePane="bottomLeft" state="frozen"/>
      <selection pane="bottomLeft" activeCell="C11" sqref="C11"/>
    </sheetView>
  </sheetViews>
  <sheetFormatPr defaultRowHeight="15" x14ac:dyDescent="0.25"/>
  <cols>
    <col min="1" max="1" width="17.140625" customWidth="1"/>
    <col min="2" max="2" width="37.85546875" customWidth="1"/>
    <col min="3" max="3" width="29.42578125" bestFit="1" customWidth="1"/>
  </cols>
  <sheetData>
    <row r="1" spans="1:3" x14ac:dyDescent="0.25">
      <c r="A1" s="96" t="s">
        <v>3935</v>
      </c>
      <c r="B1" s="96" t="s">
        <v>3934</v>
      </c>
      <c r="C1" s="96" t="s">
        <v>3936</v>
      </c>
    </row>
    <row r="2" spans="1:3" x14ac:dyDescent="0.25">
      <c r="A2" s="94" t="s">
        <v>1435</v>
      </c>
      <c r="B2" s="95"/>
      <c r="C2" s="70"/>
    </row>
    <row r="3" spans="1:3" ht="15.6" customHeight="1" x14ac:dyDescent="0.25">
      <c r="A3" s="73" t="s">
        <v>225</v>
      </c>
      <c r="B3" s="73" t="s">
        <v>226</v>
      </c>
      <c r="C3" s="43" t="s">
        <v>1572</v>
      </c>
    </row>
    <row r="4" spans="1:3" ht="15.6" customHeight="1" x14ac:dyDescent="0.25">
      <c r="A4" s="74" t="s">
        <v>3910</v>
      </c>
      <c r="B4" s="73" t="s">
        <v>193</v>
      </c>
      <c r="C4" s="43" t="s">
        <v>1568</v>
      </c>
    </row>
    <row r="5" spans="1:3" ht="15.6" customHeight="1" x14ac:dyDescent="0.25">
      <c r="A5" s="73" t="s">
        <v>3926</v>
      </c>
      <c r="B5" s="73" t="s">
        <v>207</v>
      </c>
      <c r="C5" s="43" t="s">
        <v>3918</v>
      </c>
    </row>
    <row r="6" spans="1:3" ht="15.6" customHeight="1" x14ac:dyDescent="0.25">
      <c r="A6" s="73" t="s">
        <v>68</v>
      </c>
      <c r="B6" s="73" t="s">
        <v>69</v>
      </c>
      <c r="C6" s="43" t="s">
        <v>3919</v>
      </c>
    </row>
    <row r="7" spans="1:3" ht="15.6" customHeight="1" x14ac:dyDescent="0.25">
      <c r="A7" s="73" t="s">
        <v>3920</v>
      </c>
      <c r="B7" s="73" t="s">
        <v>233</v>
      </c>
      <c r="C7" s="43" t="s">
        <v>1591</v>
      </c>
    </row>
    <row r="8" spans="1:3" ht="15.6" customHeight="1" x14ac:dyDescent="0.25">
      <c r="A8" s="69" t="s">
        <v>1436</v>
      </c>
      <c r="B8" s="70"/>
      <c r="C8" s="70"/>
    </row>
    <row r="9" spans="1:3" ht="15.6" customHeight="1" x14ac:dyDescent="0.25">
      <c r="A9" s="43" t="s">
        <v>1604</v>
      </c>
      <c r="B9" s="43" t="s">
        <v>1607</v>
      </c>
      <c r="C9" s="43" t="s">
        <v>3914</v>
      </c>
    </row>
    <row r="10" spans="1:3" ht="15.6" customHeight="1" x14ac:dyDescent="0.25">
      <c r="A10" s="43" t="s">
        <v>601</v>
      </c>
      <c r="B10" s="43" t="s">
        <v>1606</v>
      </c>
      <c r="C10" s="43" t="s">
        <v>1587</v>
      </c>
    </row>
    <row r="11" spans="1:3" ht="15.6" customHeight="1" x14ac:dyDescent="0.25">
      <c r="A11" s="43" t="s">
        <v>377</v>
      </c>
      <c r="B11" s="43" t="s">
        <v>1608</v>
      </c>
      <c r="C11" s="43" t="s">
        <v>3919</v>
      </c>
    </row>
    <row r="12" spans="1:3" ht="15.6" customHeight="1" x14ac:dyDescent="0.25">
      <c r="A12" s="43" t="s">
        <v>567</v>
      </c>
      <c r="B12" s="43" t="s">
        <v>1610</v>
      </c>
      <c r="C12" s="43" t="s">
        <v>1567</v>
      </c>
    </row>
    <row r="13" spans="1:3" ht="15.6" customHeight="1" x14ac:dyDescent="0.25">
      <c r="A13" s="43" t="s">
        <v>635</v>
      </c>
      <c r="B13" s="43" t="s">
        <v>636</v>
      </c>
      <c r="C13" s="43" t="s">
        <v>1776</v>
      </c>
    </row>
    <row r="14" spans="1:3" ht="15.6" customHeight="1" x14ac:dyDescent="0.25">
      <c r="A14" s="43" t="s">
        <v>74</v>
      </c>
      <c r="B14" s="43" t="s">
        <v>1609</v>
      </c>
      <c r="C14" s="43" t="s">
        <v>1776</v>
      </c>
    </row>
    <row r="15" spans="1:3" ht="15.6" customHeight="1" x14ac:dyDescent="0.25">
      <c r="A15" s="69" t="s">
        <v>1437</v>
      </c>
      <c r="B15" s="70"/>
      <c r="C15" s="70"/>
    </row>
    <row r="16" spans="1:3" ht="15.6" customHeight="1" x14ac:dyDescent="0.25">
      <c r="A16" s="43" t="s">
        <v>138</v>
      </c>
      <c r="B16" s="43" t="s">
        <v>1611</v>
      </c>
      <c r="C16" s="43" t="s">
        <v>1552</v>
      </c>
    </row>
    <row r="17" spans="1:3" ht="15.6" customHeight="1" x14ac:dyDescent="0.25">
      <c r="A17" s="43" t="s">
        <v>609</v>
      </c>
      <c r="B17" s="43" t="s">
        <v>610</v>
      </c>
      <c r="C17" s="43" t="s">
        <v>2041</v>
      </c>
    </row>
    <row r="18" spans="1:3" ht="15.6" customHeight="1" x14ac:dyDescent="0.25">
      <c r="A18" s="43" t="s">
        <v>291</v>
      </c>
      <c r="B18" s="43" t="s">
        <v>1612</v>
      </c>
      <c r="C18" s="43" t="s">
        <v>1591</v>
      </c>
    </row>
    <row r="19" spans="1:3" ht="15.6" customHeight="1" x14ac:dyDescent="0.25">
      <c r="A19" s="43" t="s">
        <v>529</v>
      </c>
      <c r="B19" s="43" t="s">
        <v>1613</v>
      </c>
      <c r="C19" s="43" t="s">
        <v>1592</v>
      </c>
    </row>
    <row r="20" spans="1:3" ht="15.6" customHeight="1" x14ac:dyDescent="0.25">
      <c r="A20" s="43" t="s">
        <v>31</v>
      </c>
      <c r="B20" s="43" t="s">
        <v>1614</v>
      </c>
      <c r="C20" s="43" t="s">
        <v>3912</v>
      </c>
    </row>
    <row r="21" spans="1:3" ht="15.6" customHeight="1" x14ac:dyDescent="0.25">
      <c r="A21" s="43" t="s">
        <v>742</v>
      </c>
      <c r="B21" s="43" t="s">
        <v>1615</v>
      </c>
      <c r="C21" s="43" t="s">
        <v>1603</v>
      </c>
    </row>
    <row r="22" spans="1:3" ht="15.6" customHeight="1" x14ac:dyDescent="0.25">
      <c r="A22" s="69" t="s">
        <v>1450</v>
      </c>
      <c r="B22" s="70"/>
      <c r="C22" s="70"/>
    </row>
    <row r="23" spans="1:3" ht="15.6" customHeight="1" x14ac:dyDescent="0.25">
      <c r="A23" s="43" t="s">
        <v>154</v>
      </c>
      <c r="B23" s="43" t="s">
        <v>155</v>
      </c>
      <c r="C23" s="43" t="s">
        <v>1587</v>
      </c>
    </row>
    <row r="24" spans="1:3" ht="15.6" customHeight="1" x14ac:dyDescent="0.25">
      <c r="A24" s="43" t="s">
        <v>89</v>
      </c>
      <c r="B24" s="43" t="s">
        <v>1616</v>
      </c>
      <c r="C24" s="43" t="s">
        <v>3913</v>
      </c>
    </row>
    <row r="25" spans="1:3" ht="15.6" customHeight="1" x14ac:dyDescent="0.25">
      <c r="A25" s="43" t="s">
        <v>3930</v>
      </c>
      <c r="B25" s="43" t="s">
        <v>524</v>
      </c>
      <c r="C25" s="43" t="s">
        <v>1539</v>
      </c>
    </row>
    <row r="26" spans="1:3" ht="15.6" customHeight="1" x14ac:dyDescent="0.25">
      <c r="A26" s="43" t="s">
        <v>703</v>
      </c>
      <c r="B26" s="43" t="s">
        <v>704</v>
      </c>
      <c r="C26" s="43" t="s">
        <v>1603</v>
      </c>
    </row>
    <row r="27" spans="1:3" ht="15.6" customHeight="1" x14ac:dyDescent="0.25">
      <c r="A27" s="43" t="s">
        <v>436</v>
      </c>
      <c r="B27" s="43" t="s">
        <v>1605</v>
      </c>
      <c r="C27" s="43" t="s">
        <v>1752</v>
      </c>
    </row>
    <row r="28" spans="1:3" ht="15.6" customHeight="1" x14ac:dyDescent="0.25">
      <c r="A28" s="69" t="s">
        <v>1452</v>
      </c>
      <c r="B28" s="70"/>
      <c r="C28" s="70"/>
    </row>
    <row r="29" spans="1:3" ht="15.6" customHeight="1" x14ac:dyDescent="0.25">
      <c r="A29" s="43" t="s">
        <v>49</v>
      </c>
      <c r="B29" s="43" t="s">
        <v>50</v>
      </c>
      <c r="C29" s="43" t="s">
        <v>1537</v>
      </c>
    </row>
    <row r="30" spans="1:3" ht="15.6" customHeight="1" x14ac:dyDescent="0.25">
      <c r="A30" s="43" t="s">
        <v>349</v>
      </c>
      <c r="B30" s="43" t="s">
        <v>350</v>
      </c>
      <c r="C30" s="43" t="s">
        <v>1539</v>
      </c>
    </row>
    <row r="31" spans="1:3" ht="15.6" customHeight="1" x14ac:dyDescent="0.25">
      <c r="A31" s="43" t="s">
        <v>1224</v>
      </c>
      <c r="B31" s="43" t="s">
        <v>1617</v>
      </c>
      <c r="C31" s="43" t="s">
        <v>1572</v>
      </c>
    </row>
    <row r="32" spans="1:3" ht="15.6" customHeight="1" x14ac:dyDescent="0.25">
      <c r="A32" s="43" t="s">
        <v>655</v>
      </c>
      <c r="B32" s="43" t="s">
        <v>1618</v>
      </c>
      <c r="C32" s="43" t="s">
        <v>1602</v>
      </c>
    </row>
    <row r="33" spans="1:3" ht="15.6" customHeight="1" x14ac:dyDescent="0.25">
      <c r="A33" s="43" t="s">
        <v>526</v>
      </c>
      <c r="B33" s="43" t="s">
        <v>527</v>
      </c>
      <c r="C33" s="43" t="s">
        <v>1603</v>
      </c>
    </row>
    <row r="34" spans="1:3" ht="15.6" customHeight="1" x14ac:dyDescent="0.25">
      <c r="A34" s="69" t="s">
        <v>1619</v>
      </c>
      <c r="B34" s="70"/>
      <c r="C34" s="70"/>
    </row>
    <row r="35" spans="1:3" ht="15.6" customHeight="1" x14ac:dyDescent="0.25">
      <c r="A35" s="43" t="s">
        <v>1178</v>
      </c>
      <c r="B35" s="43" t="s">
        <v>627</v>
      </c>
      <c r="C35" s="43" t="s">
        <v>1537</v>
      </c>
    </row>
    <row r="36" spans="1:3" ht="15.6" customHeight="1" x14ac:dyDescent="0.25">
      <c r="A36" s="43" t="s">
        <v>195</v>
      </c>
      <c r="B36" s="43" t="s">
        <v>196</v>
      </c>
      <c r="C36" s="43" t="s">
        <v>1572</v>
      </c>
    </row>
    <row r="37" spans="1:3" ht="15.6" customHeight="1" x14ac:dyDescent="0.25">
      <c r="A37" s="43" t="s">
        <v>713</v>
      </c>
      <c r="B37" s="43" t="s">
        <v>714</v>
      </c>
      <c r="C37" s="43" t="s">
        <v>2041</v>
      </c>
    </row>
    <row r="38" spans="1:3" ht="15.6" customHeight="1" x14ac:dyDescent="0.25">
      <c r="A38" s="43" t="s">
        <v>574</v>
      </c>
      <c r="B38" s="43" t="s">
        <v>575</v>
      </c>
      <c r="C38" s="43" t="s">
        <v>1603</v>
      </c>
    </row>
    <row r="39" spans="1:3" ht="15.6" customHeight="1" x14ac:dyDescent="0.25">
      <c r="A39" s="43" t="s">
        <v>694</v>
      </c>
      <c r="B39" s="43" t="s">
        <v>695</v>
      </c>
      <c r="C39" s="43" t="s">
        <v>1539</v>
      </c>
    </row>
    <row r="40" spans="1:3" ht="15.6" customHeight="1" x14ac:dyDescent="0.25">
      <c r="A40" s="1"/>
      <c r="B40" s="1"/>
    </row>
  </sheetData>
  <mergeCells count="1">
    <mergeCell ref="A2:B2"/>
  </mergeCells>
  <conditionalFormatting sqref="A3:A7">
    <cfRule type="duplicateValues" dxfId="0" priority="2171"/>
  </conditionalFormatting>
  <pageMargins left="0.7" right="0.7" top="0.75" bottom="0.75" header="0.3" footer="0.3"/>
  <pageSetup scale="8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I10"/>
  <sheetViews>
    <sheetView showGridLines="0" view="pageBreakPreview" topLeftCell="A2" zoomScale="90" zoomScaleNormal="70" zoomScaleSheetLayoutView="90" workbookViewId="0">
      <selection activeCell="D9" sqref="D9"/>
    </sheetView>
  </sheetViews>
  <sheetFormatPr defaultColWidth="8.7109375" defaultRowHeight="12" x14ac:dyDescent="0.2"/>
  <cols>
    <col min="1" max="1" width="8.7109375" style="18" customWidth="1"/>
    <col min="2" max="2" width="25.28515625" style="18" bestFit="1" customWidth="1"/>
    <col min="3" max="3" width="21.42578125" style="18" customWidth="1"/>
    <col min="4" max="4" width="22.5703125" style="18" customWidth="1"/>
    <col min="5" max="5" width="22.42578125" style="18" customWidth="1"/>
    <col min="6" max="9" width="21.42578125" style="18" customWidth="1"/>
    <col min="10" max="10" width="8.7109375" style="18" customWidth="1"/>
    <col min="11" max="16384" width="8.7109375" style="18"/>
  </cols>
  <sheetData>
    <row r="1" spans="2:9" ht="12" customHeight="1" thickBot="1" x14ac:dyDescent="0.25"/>
    <row r="2" spans="2:9" ht="15.95" customHeight="1" thickTop="1" x14ac:dyDescent="0.25">
      <c r="B2" s="86" t="s">
        <v>0</v>
      </c>
      <c r="C2" s="84"/>
      <c r="D2" s="84"/>
      <c r="E2" s="84"/>
      <c r="F2" s="84"/>
      <c r="G2" s="84"/>
      <c r="H2" s="84"/>
      <c r="I2" s="85"/>
    </row>
    <row r="3" spans="2:9" ht="15.6" customHeight="1" x14ac:dyDescent="0.25">
      <c r="B3" s="87" t="s">
        <v>1082</v>
      </c>
      <c r="C3" s="81"/>
      <c r="D3" s="81"/>
      <c r="E3" s="81"/>
      <c r="F3" s="81"/>
      <c r="G3" s="81"/>
      <c r="H3" s="81"/>
      <c r="I3" s="82"/>
    </row>
    <row r="4" spans="2:9" ht="15.95" customHeight="1" thickBot="1" x14ac:dyDescent="0.3">
      <c r="B4" s="88" t="s">
        <v>1645</v>
      </c>
      <c r="C4" s="78"/>
      <c r="D4" s="78"/>
      <c r="E4" s="78"/>
      <c r="F4" s="78"/>
      <c r="G4" s="78"/>
      <c r="H4" s="78"/>
      <c r="I4" s="79"/>
    </row>
    <row r="5" spans="2:9" s="23" customFormat="1" ht="12.6" customHeight="1" thickTop="1" thickBot="1" x14ac:dyDescent="0.25">
      <c r="B5" s="19" t="s">
        <v>237</v>
      </c>
      <c r="C5" s="20" t="s">
        <v>1084</v>
      </c>
      <c r="D5" s="21" t="s">
        <v>1085</v>
      </c>
      <c r="E5" s="21" t="s">
        <v>1086</v>
      </c>
      <c r="F5" s="21" t="s">
        <v>1087</v>
      </c>
      <c r="G5" s="21" t="s">
        <v>1088</v>
      </c>
      <c r="H5" s="21" t="s">
        <v>1089</v>
      </c>
      <c r="I5" s="22" t="s">
        <v>1090</v>
      </c>
    </row>
    <row r="6" spans="2:9" ht="62.45" customHeight="1" thickTop="1" x14ac:dyDescent="0.2">
      <c r="B6" s="63" t="s">
        <v>10</v>
      </c>
      <c r="C6" s="64" t="e">
        <f>VLOOKUP(C$5&amp;$B6&amp;$B5,#REF!,4,FALSE)</f>
        <v>#REF!</v>
      </c>
      <c r="D6" s="64" t="e">
        <f>VLOOKUP(D$5&amp;$B6&amp;$B5,#REF!,4,FALSE)</f>
        <v>#REF!</v>
      </c>
      <c r="E6" s="64" t="e">
        <f>VLOOKUP(E$5&amp;$B6&amp;$B5,#REF!,4,FALSE)</f>
        <v>#REF!</v>
      </c>
      <c r="F6" s="64" t="e">
        <f>VLOOKUP(F$5&amp;$B6&amp;$B5,#REF!,4,FALSE)</f>
        <v>#REF!</v>
      </c>
      <c r="G6" s="64" t="e">
        <f>VLOOKUP(G$5&amp;$B6&amp;$B5,#REF!,4,FALSE)</f>
        <v>#REF!</v>
      </c>
      <c r="H6" s="64" t="e">
        <f>VLOOKUP(H$5&amp;$B6&amp;$B5,#REF!,4,FALSE)</f>
        <v>#REF!</v>
      </c>
      <c r="I6" s="64" t="e">
        <f>VLOOKUP(I$5&amp;$B6&amp;$B5,#REF!,4,FALSE)</f>
        <v>#REF!</v>
      </c>
    </row>
    <row r="7" spans="2:9" ht="62.45" customHeight="1" x14ac:dyDescent="0.2">
      <c r="B7" s="26" t="s">
        <v>47</v>
      </c>
      <c r="C7" s="25" t="e">
        <f>VLOOKUP(C$5&amp;$B7&amp;$B5,#REF!,4,FALSE)</f>
        <v>#REF!</v>
      </c>
      <c r="D7" s="25" t="e">
        <f>VLOOKUP(D$5&amp;$B7&amp;$B5,#REF!,4,FALSE)</f>
        <v>#REF!</v>
      </c>
      <c r="E7" s="25" t="e">
        <f>VLOOKUP(E$5&amp;$B7&amp;$B5,#REF!,4,FALSE)</f>
        <v>#REF!</v>
      </c>
      <c r="F7" s="25" t="e">
        <f>VLOOKUP(F$5&amp;$B7&amp;$B5,#REF!,4,FALSE)</f>
        <v>#REF!</v>
      </c>
      <c r="G7" s="25" t="e">
        <f>VLOOKUP(G$5&amp;$B7&amp;$B5,#REF!,4,FALSE)</f>
        <v>#REF!</v>
      </c>
      <c r="H7" s="25" t="e">
        <f>VLOOKUP(H$5&amp;$B7&amp;$B5,#REF!,4,FALSE)</f>
        <v>#REF!</v>
      </c>
      <c r="I7" s="25" t="e">
        <f>VLOOKUP(I$5&amp;$B7&amp;$B5,#REF!,4,FALSE)</f>
        <v>#REF!</v>
      </c>
    </row>
    <row r="8" spans="2:9" ht="62.45" customHeight="1" x14ac:dyDescent="0.2">
      <c r="B8" s="26" t="s">
        <v>96</v>
      </c>
      <c r="C8" s="25" t="e">
        <f>VLOOKUP(C$5&amp;$B8&amp;$B5,#REF!,4,FALSE)</f>
        <v>#REF!</v>
      </c>
      <c r="D8" s="25" t="e">
        <f>VLOOKUP(D$5&amp;$B8&amp;$B5,#REF!,4,FALSE)</f>
        <v>#REF!</v>
      </c>
      <c r="E8" s="25" t="e">
        <f>VLOOKUP(E$5&amp;$B8&amp;$B5,#REF!,4,FALSE)</f>
        <v>#REF!</v>
      </c>
      <c r="F8" s="25" t="e">
        <f>VLOOKUP(F$5&amp;$B8&amp;$B5,#REF!,4,FALSE)</f>
        <v>#REF!</v>
      </c>
      <c r="G8" s="25" t="e">
        <f>VLOOKUP(G$5&amp;$B8&amp;$B5,#REF!,4,FALSE)</f>
        <v>#REF!</v>
      </c>
      <c r="H8" s="25" t="e">
        <f>VLOOKUP(H$5&amp;$B8&amp;$B5,#REF!,4,FALSE)</f>
        <v>#REF!</v>
      </c>
      <c r="I8" s="25" t="e">
        <f>VLOOKUP(I$5&amp;$B8&amp;$B5,#REF!,4,FALSE)</f>
        <v>#REF!</v>
      </c>
    </row>
    <row r="9" spans="2:9" ht="62.45" customHeight="1" thickBot="1" x14ac:dyDescent="0.25">
      <c r="B9" s="28" t="s">
        <v>140</v>
      </c>
      <c r="C9" s="29" t="e">
        <f>VLOOKUP(C$5&amp;$B9&amp;$B5,#REF!,4,FALSE)</f>
        <v>#REF!</v>
      </c>
      <c r="D9" s="29" t="e">
        <f>VLOOKUP(D$5&amp;$B9&amp;$B5,#REF!,4,FALSE)</f>
        <v>#REF!</v>
      </c>
      <c r="E9" s="29" t="e">
        <f>VLOOKUP(E$5&amp;$B9&amp;$B5,#REF!,4,FALSE)</f>
        <v>#REF!</v>
      </c>
      <c r="F9" s="29" t="e">
        <f>VLOOKUP(F$5&amp;$B9&amp;$B5,#REF!,4,FALSE)</f>
        <v>#REF!</v>
      </c>
      <c r="G9" s="29" t="e">
        <f>VLOOKUP(G$5&amp;$B9&amp;$B5,#REF!,4,FALSE)</f>
        <v>#REF!</v>
      </c>
      <c r="H9" s="29" t="e">
        <f>VLOOKUP(H$5&amp;$B9&amp;$B5,#REF!,4,FALSE)</f>
        <v>#REF!</v>
      </c>
      <c r="I9" s="29" t="e">
        <f>VLOOKUP(I$5&amp;$B9&amp;$B5,#REF!,4,FALSE)</f>
        <v>#REF!</v>
      </c>
    </row>
    <row r="10" spans="2:9" ht="17.45" customHeight="1" thickTop="1" x14ac:dyDescent="0.2">
      <c r="B10" s="61"/>
      <c r="C10" s="62"/>
      <c r="D10" s="62"/>
      <c r="E10" s="62"/>
      <c r="F10" s="62"/>
      <c r="G10" s="62"/>
      <c r="H10" s="62"/>
      <c r="I10" s="62"/>
    </row>
  </sheetData>
  <mergeCells count="3">
    <mergeCell ref="B2:I2"/>
    <mergeCell ref="B3:I3"/>
    <mergeCell ref="B4:I4"/>
  </mergeCells>
  <pageMargins left="0.7" right="0.7" top="0.75" bottom="0.75" header="0.3" footer="0.3"/>
  <pageSetup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697"/>
  <sheetViews>
    <sheetView workbookViewId="0">
      <selection activeCell="J570" sqref="J570"/>
    </sheetView>
  </sheetViews>
  <sheetFormatPr defaultRowHeight="15" x14ac:dyDescent="0.25"/>
  <cols>
    <col min="3" max="3" width="10.5703125" bestFit="1" customWidth="1"/>
    <col min="8" max="8" width="14.85546875" bestFit="1" customWidth="1"/>
    <col min="9" max="9" width="30.85546875" bestFit="1" customWidth="1"/>
  </cols>
  <sheetData>
    <row r="1" spans="1:19" x14ac:dyDescent="0.25">
      <c r="A1" s="71" t="s">
        <v>1689</v>
      </c>
      <c r="B1" s="71" t="s">
        <v>2</v>
      </c>
      <c r="C1" s="71" t="s">
        <v>3</v>
      </c>
      <c r="D1" s="71" t="s">
        <v>4</v>
      </c>
      <c r="E1" s="71" t="s">
        <v>5</v>
      </c>
      <c r="F1" s="71" t="s">
        <v>6</v>
      </c>
      <c r="G1" s="71" t="s">
        <v>7</v>
      </c>
      <c r="H1" s="71" t="s">
        <v>8</v>
      </c>
      <c r="I1" s="71" t="s">
        <v>1271</v>
      </c>
      <c r="J1" s="71" t="s">
        <v>1475</v>
      </c>
      <c r="K1" s="71" t="s">
        <v>1272</v>
      </c>
      <c r="L1" s="71" t="s">
        <v>1690</v>
      </c>
      <c r="M1" s="71" t="s">
        <v>1691</v>
      </c>
      <c r="N1" s="71" t="s">
        <v>1692</v>
      </c>
      <c r="O1" s="71" t="s">
        <v>1093</v>
      </c>
      <c r="P1" s="71" t="s">
        <v>1693</v>
      </c>
      <c r="Q1" s="71" t="s">
        <v>1694</v>
      </c>
      <c r="R1" s="71" t="s">
        <v>1695</v>
      </c>
      <c r="S1" s="71" t="s">
        <v>1390</v>
      </c>
    </row>
    <row r="2" spans="1:19" x14ac:dyDescent="0.25">
      <c r="A2" s="72" t="s">
        <v>1172</v>
      </c>
      <c r="B2" s="72" t="s">
        <v>9</v>
      </c>
      <c r="C2" s="72" t="s">
        <v>140</v>
      </c>
      <c r="D2" s="72" t="s">
        <v>276</v>
      </c>
      <c r="E2" s="72" t="s">
        <v>1172</v>
      </c>
      <c r="F2" s="72" t="s">
        <v>1477</v>
      </c>
      <c r="G2" s="72" t="s">
        <v>19</v>
      </c>
      <c r="H2" s="72" t="s">
        <v>79</v>
      </c>
      <c r="I2" s="72" t="s">
        <v>1534</v>
      </c>
      <c r="J2" s="72" t="s">
        <v>1696</v>
      </c>
      <c r="K2" s="72" t="s">
        <v>1697</v>
      </c>
      <c r="L2" s="72" t="s">
        <v>1698</v>
      </c>
      <c r="M2" s="72" t="s">
        <v>1699</v>
      </c>
      <c r="N2" s="72" t="s">
        <v>1700</v>
      </c>
      <c r="O2" s="72"/>
      <c r="P2" s="72"/>
      <c r="Q2" s="72"/>
      <c r="R2" s="72"/>
      <c r="S2" s="72"/>
    </row>
    <row r="3" spans="1:19" x14ac:dyDescent="0.25">
      <c r="A3" s="72" t="s">
        <v>49</v>
      </c>
      <c r="B3" s="72" t="s">
        <v>9</v>
      </c>
      <c r="C3" s="72" t="s">
        <v>96</v>
      </c>
      <c r="D3" s="72" t="s">
        <v>1646</v>
      </c>
      <c r="E3" s="72" t="s">
        <v>49</v>
      </c>
      <c r="F3" s="72" t="s">
        <v>1647</v>
      </c>
      <c r="G3" s="72" t="s">
        <v>14</v>
      </c>
      <c r="H3" s="72" t="s">
        <v>51</v>
      </c>
      <c r="I3" s="72" t="s">
        <v>1537</v>
      </c>
      <c r="J3" s="72" t="s">
        <v>1701</v>
      </c>
      <c r="K3" s="72" t="s">
        <v>1702</v>
      </c>
      <c r="L3" s="72" t="s">
        <v>1703</v>
      </c>
      <c r="M3" s="72" t="s">
        <v>1704</v>
      </c>
      <c r="N3" s="72" t="s">
        <v>1705</v>
      </c>
      <c r="O3" s="72"/>
      <c r="P3" s="72"/>
      <c r="Q3" s="72"/>
      <c r="R3" s="72"/>
      <c r="S3" s="72"/>
    </row>
    <row r="4" spans="1:19" x14ac:dyDescent="0.25">
      <c r="A4" s="72" t="s">
        <v>349</v>
      </c>
      <c r="B4" s="72" t="s">
        <v>9</v>
      </c>
      <c r="C4" s="72" t="s">
        <v>140</v>
      </c>
      <c r="D4" s="72" t="s">
        <v>348</v>
      </c>
      <c r="E4" s="72" t="s">
        <v>349</v>
      </c>
      <c r="F4" s="72" t="s">
        <v>350</v>
      </c>
      <c r="G4" s="72" t="s">
        <v>14</v>
      </c>
      <c r="H4" s="72" t="s">
        <v>15</v>
      </c>
      <c r="I4" s="72" t="s">
        <v>1539</v>
      </c>
      <c r="J4" s="72" t="s">
        <v>1706</v>
      </c>
      <c r="K4" s="72" t="s">
        <v>1707</v>
      </c>
      <c r="L4" s="72" t="s">
        <v>1708</v>
      </c>
      <c r="M4" s="72" t="s">
        <v>1709</v>
      </c>
      <c r="N4" s="72" t="s">
        <v>1710</v>
      </c>
      <c r="O4" s="72"/>
      <c r="P4" s="72"/>
      <c r="Q4" s="72"/>
      <c r="R4" s="72"/>
      <c r="S4" s="72"/>
    </row>
    <row r="5" spans="1:19" x14ac:dyDescent="0.25">
      <c r="A5" s="72" t="s">
        <v>536</v>
      </c>
      <c r="B5" s="72" t="s">
        <v>9</v>
      </c>
      <c r="C5" s="72" t="s">
        <v>10</v>
      </c>
      <c r="D5" s="72" t="s">
        <v>535</v>
      </c>
      <c r="E5" s="72" t="s">
        <v>536</v>
      </c>
      <c r="F5" s="72" t="s">
        <v>537</v>
      </c>
      <c r="G5" s="72" t="s">
        <v>19</v>
      </c>
      <c r="H5" s="72" t="s">
        <v>79</v>
      </c>
      <c r="I5" s="72" t="s">
        <v>1711</v>
      </c>
      <c r="J5" s="72" t="s">
        <v>1712</v>
      </c>
      <c r="K5" s="72" t="s">
        <v>1713</v>
      </c>
      <c r="L5" s="72" t="s">
        <v>1714</v>
      </c>
      <c r="M5" s="72" t="s">
        <v>1715</v>
      </c>
      <c r="N5" s="72" t="s">
        <v>1716</v>
      </c>
      <c r="O5" s="72"/>
      <c r="P5" s="72"/>
      <c r="Q5" s="72"/>
      <c r="R5" s="72"/>
      <c r="S5" s="72"/>
    </row>
    <row r="6" spans="1:19" x14ac:dyDescent="0.25">
      <c r="A6" s="72" t="s">
        <v>611</v>
      </c>
      <c r="B6" s="72" t="s">
        <v>9</v>
      </c>
      <c r="C6" s="72" t="s">
        <v>96</v>
      </c>
      <c r="D6" s="72" t="s">
        <v>396</v>
      </c>
      <c r="E6" s="72" t="s">
        <v>611</v>
      </c>
      <c r="F6" s="72" t="s">
        <v>612</v>
      </c>
      <c r="G6" s="72" t="s">
        <v>28</v>
      </c>
      <c r="H6" s="72" t="s">
        <v>24</v>
      </c>
      <c r="I6" s="72" t="s">
        <v>1717</v>
      </c>
      <c r="J6" s="72" t="s">
        <v>1718</v>
      </c>
      <c r="K6" s="72" t="s">
        <v>1719</v>
      </c>
      <c r="L6" s="72" t="s">
        <v>1720</v>
      </c>
      <c r="M6" s="72" t="s">
        <v>1721</v>
      </c>
      <c r="N6" s="72" t="s">
        <v>1722</v>
      </c>
      <c r="O6" s="72"/>
      <c r="P6" s="72"/>
      <c r="Q6" s="72"/>
      <c r="R6" s="72"/>
      <c r="S6" s="72"/>
    </row>
    <row r="7" spans="1:19" x14ac:dyDescent="0.25">
      <c r="A7" s="72" t="s">
        <v>748</v>
      </c>
      <c r="B7" s="72" t="s">
        <v>9</v>
      </c>
      <c r="C7" s="72" t="s">
        <v>140</v>
      </c>
      <c r="D7" s="72" t="s">
        <v>1480</v>
      </c>
      <c r="E7" s="72" t="s">
        <v>748</v>
      </c>
      <c r="F7" s="72" t="s">
        <v>749</v>
      </c>
      <c r="G7" s="72" t="s">
        <v>28</v>
      </c>
      <c r="H7" s="72" t="s">
        <v>24</v>
      </c>
      <c r="I7" s="72" t="s">
        <v>1723</v>
      </c>
      <c r="J7" s="72" t="s">
        <v>1724</v>
      </c>
      <c r="K7" s="72" t="s">
        <v>1725</v>
      </c>
      <c r="L7" s="72" t="s">
        <v>1726</v>
      </c>
      <c r="M7" s="72" t="s">
        <v>1727</v>
      </c>
      <c r="N7" s="72" t="s">
        <v>1728</v>
      </c>
      <c r="O7" s="72"/>
      <c r="P7" s="72"/>
      <c r="Q7" s="72"/>
      <c r="R7" s="72"/>
      <c r="S7" s="72"/>
    </row>
    <row r="8" spans="1:19" x14ac:dyDescent="0.25">
      <c r="A8" s="72" t="s">
        <v>63</v>
      </c>
      <c r="B8" s="72" t="s">
        <v>9</v>
      </c>
      <c r="C8" s="72" t="s">
        <v>159</v>
      </c>
      <c r="D8" s="72" t="s">
        <v>62</v>
      </c>
      <c r="E8" s="72" t="s">
        <v>63</v>
      </c>
      <c r="F8" s="72" t="s">
        <v>64</v>
      </c>
      <c r="G8" s="72" t="s">
        <v>28</v>
      </c>
      <c r="H8" s="72" t="s">
        <v>983</v>
      </c>
      <c r="I8" s="72" t="s">
        <v>1729</v>
      </c>
      <c r="J8" s="72" t="s">
        <v>1730</v>
      </c>
      <c r="K8" s="72" t="s">
        <v>1731</v>
      </c>
      <c r="L8" s="72" t="s">
        <v>1732</v>
      </c>
      <c r="M8" s="72" t="s">
        <v>1733</v>
      </c>
      <c r="N8" s="72" t="s">
        <v>1734</v>
      </c>
      <c r="O8" s="72"/>
      <c r="P8" s="72"/>
      <c r="Q8" s="72"/>
      <c r="R8" s="72"/>
      <c r="S8" s="72"/>
    </row>
    <row r="9" spans="1:19" x14ac:dyDescent="0.25">
      <c r="A9" s="72" t="s">
        <v>540</v>
      </c>
      <c r="B9" s="72" t="s">
        <v>9</v>
      </c>
      <c r="C9" s="72" t="s">
        <v>140</v>
      </c>
      <c r="D9" s="72" t="s">
        <v>1479</v>
      </c>
      <c r="E9" s="72" t="s">
        <v>540</v>
      </c>
      <c r="F9" s="72" t="s">
        <v>541</v>
      </c>
      <c r="G9" s="72" t="s">
        <v>28</v>
      </c>
      <c r="H9" s="72" t="s">
        <v>983</v>
      </c>
      <c r="I9" s="72" t="s">
        <v>1729</v>
      </c>
      <c r="J9" s="72" t="s">
        <v>1730</v>
      </c>
      <c r="K9" s="72" t="s">
        <v>1735</v>
      </c>
      <c r="L9" s="72" t="s">
        <v>1736</v>
      </c>
      <c r="M9" s="72" t="s">
        <v>1737</v>
      </c>
      <c r="N9" s="72" t="s">
        <v>1738</v>
      </c>
      <c r="O9" s="72"/>
      <c r="P9" s="72"/>
      <c r="Q9" s="72"/>
      <c r="R9" s="72"/>
      <c r="S9" s="72"/>
    </row>
    <row r="10" spans="1:19" x14ac:dyDescent="0.25">
      <c r="A10" s="72" t="s">
        <v>673</v>
      </c>
      <c r="B10" s="72" t="s">
        <v>9</v>
      </c>
      <c r="C10" s="72" t="s">
        <v>96</v>
      </c>
      <c r="D10" s="72" t="s">
        <v>150</v>
      </c>
      <c r="E10" s="72" t="s">
        <v>673</v>
      </c>
      <c r="F10" s="72" t="s">
        <v>674</v>
      </c>
      <c r="G10" s="72" t="s">
        <v>28</v>
      </c>
      <c r="H10" s="72" t="s">
        <v>983</v>
      </c>
      <c r="I10" s="72" t="s">
        <v>1547</v>
      </c>
      <c r="J10" s="72" t="s">
        <v>1739</v>
      </c>
      <c r="K10" s="72" t="s">
        <v>1740</v>
      </c>
      <c r="L10" s="72" t="s">
        <v>1741</v>
      </c>
      <c r="M10" s="72" t="s">
        <v>1742</v>
      </c>
      <c r="N10" s="72" t="s">
        <v>1743</v>
      </c>
      <c r="O10" s="72"/>
      <c r="P10" s="72"/>
      <c r="Q10" s="72"/>
      <c r="R10" s="72"/>
      <c r="S10" s="72"/>
    </row>
    <row r="11" spans="1:19" x14ac:dyDescent="0.25">
      <c r="A11" s="72" t="s">
        <v>752</v>
      </c>
      <c r="B11" s="72" t="s">
        <v>9</v>
      </c>
      <c r="C11" s="72" t="s">
        <v>140</v>
      </c>
      <c r="D11" s="72" t="s">
        <v>84</v>
      </c>
      <c r="E11" s="72" t="s">
        <v>752</v>
      </c>
      <c r="F11" s="72" t="s">
        <v>753</v>
      </c>
      <c r="G11" s="72" t="s">
        <v>28</v>
      </c>
      <c r="H11" s="72" t="s">
        <v>83</v>
      </c>
      <c r="I11" s="72" t="s">
        <v>1717</v>
      </c>
      <c r="J11" s="72" t="s">
        <v>1718</v>
      </c>
      <c r="K11" s="72" t="s">
        <v>1744</v>
      </c>
      <c r="L11" s="72" t="s">
        <v>1745</v>
      </c>
      <c r="M11" s="72" t="s">
        <v>1746</v>
      </c>
      <c r="N11" s="72" t="s">
        <v>1747</v>
      </c>
      <c r="O11" s="72"/>
      <c r="P11" s="72"/>
      <c r="Q11" s="72"/>
      <c r="R11" s="72"/>
      <c r="S11" s="72"/>
    </row>
    <row r="12" spans="1:19" x14ac:dyDescent="0.25">
      <c r="A12" s="72" t="s">
        <v>85</v>
      </c>
      <c r="B12" s="72" t="s">
        <v>9</v>
      </c>
      <c r="C12" s="72" t="s">
        <v>47</v>
      </c>
      <c r="D12" s="72" t="s">
        <v>84</v>
      </c>
      <c r="E12" s="72" t="s">
        <v>85</v>
      </c>
      <c r="F12" s="72" t="s">
        <v>86</v>
      </c>
      <c r="G12" s="72" t="s">
        <v>28</v>
      </c>
      <c r="H12" s="72" t="s">
        <v>983</v>
      </c>
      <c r="I12" s="72" t="s">
        <v>1547</v>
      </c>
      <c r="J12" s="72" t="s">
        <v>1739</v>
      </c>
      <c r="K12" s="72" t="s">
        <v>1748</v>
      </c>
      <c r="L12" s="72" t="s">
        <v>1749</v>
      </c>
      <c r="M12" s="72" t="s">
        <v>1750</v>
      </c>
      <c r="N12" s="72" t="s">
        <v>1751</v>
      </c>
      <c r="O12" s="72"/>
      <c r="P12" s="72"/>
      <c r="Q12" s="72"/>
      <c r="R12" s="72"/>
      <c r="S12" s="72"/>
    </row>
    <row r="13" spans="1:19" x14ac:dyDescent="0.25">
      <c r="A13" s="72" t="s">
        <v>98</v>
      </c>
      <c r="B13" s="72" t="s">
        <v>9</v>
      </c>
      <c r="C13" s="72" t="s">
        <v>10</v>
      </c>
      <c r="D13" s="72" t="s">
        <v>97</v>
      </c>
      <c r="E13" s="72" t="s">
        <v>98</v>
      </c>
      <c r="F13" s="72" t="s">
        <v>99</v>
      </c>
      <c r="G13" s="72" t="s">
        <v>14</v>
      </c>
      <c r="H13" s="72" t="s">
        <v>983</v>
      </c>
      <c r="I13" s="72" t="s">
        <v>1752</v>
      </c>
      <c r="J13" s="72" t="s">
        <v>1753</v>
      </c>
      <c r="K13" s="72" t="s">
        <v>1754</v>
      </c>
      <c r="L13" s="72" t="s">
        <v>1755</v>
      </c>
      <c r="M13" s="72" t="s">
        <v>1756</v>
      </c>
      <c r="N13" s="72" t="s">
        <v>1757</v>
      </c>
      <c r="O13" s="72"/>
      <c r="P13" s="72"/>
      <c r="Q13" s="72"/>
      <c r="R13" s="72"/>
      <c r="S13" s="72"/>
    </row>
    <row r="14" spans="1:19" x14ac:dyDescent="0.25">
      <c r="A14" s="72" t="s">
        <v>121</v>
      </c>
      <c r="B14" s="72" t="s">
        <v>9</v>
      </c>
      <c r="C14" s="72" t="s">
        <v>119</v>
      </c>
      <c r="D14" s="72" t="s">
        <v>120</v>
      </c>
      <c r="E14" s="72" t="s">
        <v>121</v>
      </c>
      <c r="F14" s="72" t="s">
        <v>122</v>
      </c>
      <c r="G14" s="72" t="s">
        <v>37</v>
      </c>
      <c r="H14" s="72" t="s">
        <v>123</v>
      </c>
      <c r="I14" s="72" t="s">
        <v>1417</v>
      </c>
      <c r="J14" s="72" t="s">
        <v>1758</v>
      </c>
      <c r="K14" s="72" t="s">
        <v>1759</v>
      </c>
      <c r="L14" s="72" t="s">
        <v>1760</v>
      </c>
      <c r="M14" s="72" t="s">
        <v>1273</v>
      </c>
      <c r="N14" s="72" t="s">
        <v>1274</v>
      </c>
      <c r="O14" s="72"/>
      <c r="P14" s="72"/>
      <c r="Q14" s="72"/>
      <c r="R14" s="72"/>
      <c r="S14" s="72"/>
    </row>
    <row r="15" spans="1:19" x14ac:dyDescent="0.25">
      <c r="A15" s="72" t="s">
        <v>166</v>
      </c>
      <c r="B15" s="72" t="s">
        <v>9</v>
      </c>
      <c r="C15" s="72" t="s">
        <v>128</v>
      </c>
      <c r="D15" s="72" t="s">
        <v>163</v>
      </c>
      <c r="E15" s="72" t="s">
        <v>166</v>
      </c>
      <c r="F15" s="72" t="s">
        <v>167</v>
      </c>
      <c r="G15" s="72" t="s">
        <v>37</v>
      </c>
      <c r="H15" s="72" t="s">
        <v>136</v>
      </c>
      <c r="I15" s="72" t="s">
        <v>1417</v>
      </c>
      <c r="J15" s="72" t="s">
        <v>1758</v>
      </c>
      <c r="K15" s="72" t="s">
        <v>1761</v>
      </c>
      <c r="L15" s="72" t="s">
        <v>1762</v>
      </c>
      <c r="M15" s="72" t="s">
        <v>1275</v>
      </c>
      <c r="N15" s="72" t="s">
        <v>1276</v>
      </c>
      <c r="O15" s="72"/>
      <c r="P15" s="72"/>
      <c r="Q15" s="72"/>
      <c r="R15" s="72"/>
      <c r="S15" s="72"/>
    </row>
    <row r="16" spans="1:19" x14ac:dyDescent="0.25">
      <c r="A16" s="72" t="s">
        <v>161</v>
      </c>
      <c r="B16" s="72" t="s">
        <v>9</v>
      </c>
      <c r="C16" s="72" t="s">
        <v>159</v>
      </c>
      <c r="D16" s="72" t="s">
        <v>160</v>
      </c>
      <c r="E16" s="72" t="s">
        <v>161</v>
      </c>
      <c r="F16" s="72" t="s">
        <v>162</v>
      </c>
      <c r="G16" s="72" t="s">
        <v>37</v>
      </c>
      <c r="H16" s="72" t="s">
        <v>136</v>
      </c>
      <c r="I16" s="72" t="s">
        <v>1548</v>
      </c>
      <c r="J16" s="72" t="s">
        <v>1763</v>
      </c>
      <c r="K16" s="72" t="s">
        <v>1764</v>
      </c>
      <c r="L16" s="72" t="s">
        <v>1765</v>
      </c>
      <c r="M16" s="72" t="s">
        <v>1279</v>
      </c>
      <c r="N16" s="72" t="s">
        <v>1280</v>
      </c>
      <c r="O16" s="72"/>
      <c r="P16" s="72"/>
      <c r="Q16" s="72"/>
      <c r="R16" s="72"/>
      <c r="S16" s="72"/>
    </row>
    <row r="17" spans="1:19" x14ac:dyDescent="0.25">
      <c r="A17" s="72" t="s">
        <v>145</v>
      </c>
      <c r="B17" s="72" t="s">
        <v>9</v>
      </c>
      <c r="C17" s="72" t="s">
        <v>943</v>
      </c>
      <c r="D17" s="72" t="s">
        <v>144</v>
      </c>
      <c r="E17" s="72" t="s">
        <v>145</v>
      </c>
      <c r="F17" s="72" t="s">
        <v>146</v>
      </c>
      <c r="G17" s="72" t="s">
        <v>28</v>
      </c>
      <c r="H17" s="72" t="s">
        <v>287</v>
      </c>
      <c r="I17" s="72" t="s">
        <v>1766</v>
      </c>
      <c r="J17" s="72" t="s">
        <v>1767</v>
      </c>
      <c r="K17" s="72" t="s">
        <v>1768</v>
      </c>
      <c r="L17" s="72" t="s">
        <v>1769</v>
      </c>
      <c r="M17" s="72" t="s">
        <v>1770</v>
      </c>
      <c r="N17" s="72" t="s">
        <v>1771</v>
      </c>
      <c r="O17" s="72"/>
      <c r="P17" s="72"/>
      <c r="Q17" s="72"/>
      <c r="R17" s="72"/>
      <c r="S17" s="72"/>
    </row>
    <row r="18" spans="1:19" x14ac:dyDescent="0.25">
      <c r="A18" s="72" t="s">
        <v>701</v>
      </c>
      <c r="B18" s="72" t="s">
        <v>9</v>
      </c>
      <c r="C18" s="72" t="s">
        <v>96</v>
      </c>
      <c r="D18" s="72" t="s">
        <v>504</v>
      </c>
      <c r="E18" s="72" t="s">
        <v>701</v>
      </c>
      <c r="F18" s="72" t="s">
        <v>702</v>
      </c>
      <c r="G18" s="72" t="s">
        <v>28</v>
      </c>
      <c r="H18" s="72" t="s">
        <v>55</v>
      </c>
      <c r="I18" s="72" t="s">
        <v>1723</v>
      </c>
      <c r="J18" s="72" t="s">
        <v>1724</v>
      </c>
      <c r="K18" s="72" t="s">
        <v>1772</v>
      </c>
      <c r="L18" s="72" t="s">
        <v>1773</v>
      </c>
      <c r="M18" s="72" t="s">
        <v>1774</v>
      </c>
      <c r="N18" s="72" t="s">
        <v>1775</v>
      </c>
      <c r="O18" s="72"/>
      <c r="P18" s="72"/>
      <c r="Q18" s="72"/>
      <c r="R18" s="72"/>
      <c r="S18" s="72"/>
    </row>
    <row r="19" spans="1:19" x14ac:dyDescent="0.25">
      <c r="A19" s="72" t="s">
        <v>138</v>
      </c>
      <c r="B19" s="72" t="s">
        <v>9</v>
      </c>
      <c r="C19" s="72" t="s">
        <v>10</v>
      </c>
      <c r="D19" s="72" t="s">
        <v>1195</v>
      </c>
      <c r="E19" s="72" t="s">
        <v>138</v>
      </c>
      <c r="F19" s="72" t="s">
        <v>139</v>
      </c>
      <c r="G19" s="72" t="s">
        <v>14</v>
      </c>
      <c r="H19" s="72" t="s">
        <v>51</v>
      </c>
      <c r="I19" s="72" t="s">
        <v>1776</v>
      </c>
      <c r="J19" s="72" t="s">
        <v>1777</v>
      </c>
      <c r="K19" s="72" t="s">
        <v>1778</v>
      </c>
      <c r="L19" s="72" t="s">
        <v>1779</v>
      </c>
      <c r="M19" s="72" t="s">
        <v>1780</v>
      </c>
      <c r="N19" s="72" t="s">
        <v>1781</v>
      </c>
      <c r="O19" s="72"/>
      <c r="P19" s="72"/>
      <c r="Q19" s="72"/>
      <c r="R19" s="72"/>
      <c r="S19" s="72"/>
    </row>
    <row r="20" spans="1:19" x14ac:dyDescent="0.25">
      <c r="A20" s="72" t="s">
        <v>582</v>
      </c>
      <c r="B20" s="72" t="s">
        <v>9</v>
      </c>
      <c r="C20" s="72" t="s">
        <v>47</v>
      </c>
      <c r="D20" s="72" t="s">
        <v>479</v>
      </c>
      <c r="E20" s="72" t="s">
        <v>582</v>
      </c>
      <c r="F20" s="72" t="s">
        <v>583</v>
      </c>
      <c r="G20" s="72" t="s">
        <v>28</v>
      </c>
      <c r="H20" s="72" t="s">
        <v>55</v>
      </c>
      <c r="I20" s="72" t="s">
        <v>1782</v>
      </c>
      <c r="J20" s="72" t="s">
        <v>1783</v>
      </c>
      <c r="K20" s="72" t="s">
        <v>1784</v>
      </c>
      <c r="L20" s="72" t="s">
        <v>1785</v>
      </c>
      <c r="M20" s="72" t="s">
        <v>1786</v>
      </c>
      <c r="N20" s="72" t="s">
        <v>1787</v>
      </c>
      <c r="O20" s="72"/>
      <c r="P20" s="72"/>
      <c r="Q20" s="72"/>
      <c r="R20" s="72"/>
      <c r="S20" s="72"/>
    </row>
    <row r="21" spans="1:19" x14ac:dyDescent="0.25">
      <c r="A21" s="72" t="s">
        <v>26</v>
      </c>
      <c r="B21" s="72" t="s">
        <v>9</v>
      </c>
      <c r="C21" s="72" t="s">
        <v>10</v>
      </c>
      <c r="D21" s="72" t="s">
        <v>25</v>
      </c>
      <c r="E21" s="72" t="s">
        <v>26</v>
      </c>
      <c r="F21" s="72" t="s">
        <v>27</v>
      </c>
      <c r="G21" s="72" t="s">
        <v>28</v>
      </c>
      <c r="H21" s="72" t="s">
        <v>83</v>
      </c>
      <c r="I21" s="72" t="s">
        <v>1556</v>
      </c>
      <c r="J21" s="72" t="s">
        <v>1788</v>
      </c>
      <c r="K21" s="72" t="s">
        <v>1789</v>
      </c>
      <c r="L21" s="72" t="s">
        <v>1790</v>
      </c>
      <c r="M21" s="72" t="s">
        <v>1791</v>
      </c>
      <c r="N21" s="72" t="s">
        <v>1792</v>
      </c>
      <c r="O21" s="72"/>
      <c r="P21" s="72"/>
      <c r="Q21" s="72"/>
      <c r="R21" s="72"/>
      <c r="S21" s="72"/>
    </row>
    <row r="22" spans="1:19" x14ac:dyDescent="0.25">
      <c r="A22" s="72" t="s">
        <v>190</v>
      </c>
      <c r="B22" s="72" t="s">
        <v>9</v>
      </c>
      <c r="C22" s="72" t="s">
        <v>140</v>
      </c>
      <c r="D22" s="72" t="s">
        <v>76</v>
      </c>
      <c r="E22" s="72" t="s">
        <v>190</v>
      </c>
      <c r="F22" s="72" t="s">
        <v>191</v>
      </c>
      <c r="G22" s="72" t="s">
        <v>28</v>
      </c>
      <c r="H22" s="72" t="s">
        <v>20</v>
      </c>
      <c r="I22" s="72" t="s">
        <v>1579</v>
      </c>
      <c r="J22" s="72" t="s">
        <v>1793</v>
      </c>
      <c r="K22" s="72" t="s">
        <v>1794</v>
      </c>
      <c r="L22" s="72" t="s">
        <v>1795</v>
      </c>
      <c r="M22" s="72" t="s">
        <v>1796</v>
      </c>
      <c r="N22" s="72" t="s">
        <v>1797</v>
      </c>
      <c r="O22" s="72"/>
      <c r="P22" s="72"/>
      <c r="Q22" s="72"/>
      <c r="R22" s="72"/>
      <c r="S22" s="72"/>
    </row>
    <row r="23" spans="1:19" x14ac:dyDescent="0.25">
      <c r="A23" s="72" t="s">
        <v>754</v>
      </c>
      <c r="B23" s="72" t="s">
        <v>9</v>
      </c>
      <c r="C23" s="72" t="s">
        <v>96</v>
      </c>
      <c r="D23" s="72" t="s">
        <v>501</v>
      </c>
      <c r="E23" s="72" t="s">
        <v>754</v>
      </c>
      <c r="F23" s="72" t="s">
        <v>755</v>
      </c>
      <c r="G23" s="72" t="s">
        <v>28</v>
      </c>
      <c r="H23" s="72" t="s">
        <v>287</v>
      </c>
      <c r="I23" s="72" t="s">
        <v>1134</v>
      </c>
      <c r="J23" s="72" t="s">
        <v>1798</v>
      </c>
      <c r="K23" s="72" t="s">
        <v>1799</v>
      </c>
      <c r="L23" s="72" t="s">
        <v>1800</v>
      </c>
      <c r="M23" s="72" t="s">
        <v>1801</v>
      </c>
      <c r="N23" s="72" t="s">
        <v>1802</v>
      </c>
      <c r="O23" s="72"/>
      <c r="P23" s="72"/>
      <c r="Q23" s="72"/>
      <c r="R23" s="72"/>
      <c r="S23" s="72"/>
    </row>
    <row r="24" spans="1:19" x14ac:dyDescent="0.25">
      <c r="A24" s="72" t="s">
        <v>22</v>
      </c>
      <c r="B24" s="72" t="s">
        <v>9</v>
      </c>
      <c r="C24" s="72" t="s">
        <v>96</v>
      </c>
      <c r="D24" s="72" t="s">
        <v>21</v>
      </c>
      <c r="E24" s="72" t="s">
        <v>22</v>
      </c>
      <c r="F24" s="72" t="s">
        <v>23</v>
      </c>
      <c r="G24" s="72" t="s">
        <v>19</v>
      </c>
      <c r="H24" s="72" t="s">
        <v>792</v>
      </c>
      <c r="I24" s="72" t="s">
        <v>1803</v>
      </c>
      <c r="J24" s="72" t="s">
        <v>1804</v>
      </c>
      <c r="K24" s="72" t="s">
        <v>1805</v>
      </c>
      <c r="L24" s="72" t="s">
        <v>1806</v>
      </c>
      <c r="M24" s="72" t="s">
        <v>1807</v>
      </c>
      <c r="N24" s="72" t="s">
        <v>1808</v>
      </c>
      <c r="O24" s="72"/>
      <c r="P24" s="72"/>
      <c r="Q24" s="72"/>
      <c r="R24" s="72"/>
      <c r="S24" s="72"/>
    </row>
    <row r="25" spans="1:19" x14ac:dyDescent="0.25">
      <c r="A25" s="72" t="s">
        <v>485</v>
      </c>
      <c r="B25" s="72" t="s">
        <v>9</v>
      </c>
      <c r="C25" s="72" t="s">
        <v>10</v>
      </c>
      <c r="D25" s="72" t="s">
        <v>484</v>
      </c>
      <c r="E25" s="72" t="s">
        <v>485</v>
      </c>
      <c r="F25" s="72" t="s">
        <v>486</v>
      </c>
      <c r="G25" s="72" t="s">
        <v>19</v>
      </c>
      <c r="H25" s="72" t="s">
        <v>55</v>
      </c>
      <c r="I25" s="72" t="s">
        <v>1555</v>
      </c>
      <c r="J25" s="72" t="s">
        <v>1809</v>
      </c>
      <c r="K25" s="72" t="s">
        <v>1810</v>
      </c>
      <c r="L25" s="72" t="s">
        <v>1811</v>
      </c>
      <c r="M25" s="72" t="s">
        <v>1812</v>
      </c>
      <c r="N25" s="72" t="s">
        <v>1813</v>
      </c>
      <c r="O25" s="72"/>
      <c r="P25" s="72"/>
      <c r="Q25" s="72"/>
      <c r="R25" s="72"/>
      <c r="S25" s="72"/>
    </row>
    <row r="26" spans="1:19" x14ac:dyDescent="0.25">
      <c r="A26" s="72" t="s">
        <v>89</v>
      </c>
      <c r="B26" s="72" t="s">
        <v>9</v>
      </c>
      <c r="C26" s="72" t="s">
        <v>96</v>
      </c>
      <c r="D26" s="72" t="s">
        <v>88</v>
      </c>
      <c r="E26" s="72" t="s">
        <v>89</v>
      </c>
      <c r="F26" s="72" t="s">
        <v>90</v>
      </c>
      <c r="G26" s="72" t="s">
        <v>14</v>
      </c>
      <c r="H26" s="72" t="s">
        <v>91</v>
      </c>
      <c r="I26" s="72" t="s">
        <v>1558</v>
      </c>
      <c r="J26" s="72" t="s">
        <v>1814</v>
      </c>
      <c r="K26" s="72" t="s">
        <v>1815</v>
      </c>
      <c r="L26" s="72" t="s">
        <v>1816</v>
      </c>
      <c r="M26" s="72" t="s">
        <v>1817</v>
      </c>
      <c r="N26" s="72" t="s">
        <v>1818</v>
      </c>
      <c r="O26" s="72"/>
      <c r="P26" s="72"/>
      <c r="Q26" s="72"/>
      <c r="R26" s="72"/>
      <c r="S26" s="72"/>
    </row>
    <row r="27" spans="1:19" x14ac:dyDescent="0.25">
      <c r="A27" s="72" t="s">
        <v>1604</v>
      </c>
      <c r="B27" s="72" t="s">
        <v>9</v>
      </c>
      <c r="C27" s="72" t="s">
        <v>96</v>
      </c>
      <c r="D27" s="72" t="s">
        <v>1648</v>
      </c>
      <c r="E27" s="72" t="s">
        <v>1604</v>
      </c>
      <c r="F27" s="72" t="s">
        <v>118</v>
      </c>
      <c r="G27" s="72" t="s">
        <v>14</v>
      </c>
      <c r="H27" s="72" t="s">
        <v>33</v>
      </c>
      <c r="I27" s="72" t="s">
        <v>1819</v>
      </c>
      <c r="J27" s="72" t="s">
        <v>1820</v>
      </c>
      <c r="K27" s="72" t="s">
        <v>1821</v>
      </c>
      <c r="L27" s="72" t="s">
        <v>1822</v>
      </c>
      <c r="M27" s="72" t="s">
        <v>1823</v>
      </c>
      <c r="N27" s="72" t="s">
        <v>1824</v>
      </c>
      <c r="O27" s="72"/>
      <c r="P27" s="72"/>
      <c r="Q27" s="72"/>
      <c r="R27" s="72"/>
      <c r="S27" s="72"/>
    </row>
    <row r="28" spans="1:19" x14ac:dyDescent="0.25">
      <c r="A28" s="72" t="s">
        <v>406</v>
      </c>
      <c r="B28" s="72" t="s">
        <v>9</v>
      </c>
      <c r="C28" s="72" t="s">
        <v>96</v>
      </c>
      <c r="D28" s="72" t="s">
        <v>360</v>
      </c>
      <c r="E28" s="72" t="s">
        <v>406</v>
      </c>
      <c r="F28" s="72" t="s">
        <v>23</v>
      </c>
      <c r="G28" s="72" t="s">
        <v>14</v>
      </c>
      <c r="H28" s="72" t="s">
        <v>1457</v>
      </c>
      <c r="I28" s="72" t="s">
        <v>1825</v>
      </c>
      <c r="J28" s="72" t="s">
        <v>1826</v>
      </c>
      <c r="K28" s="72" t="s">
        <v>1827</v>
      </c>
      <c r="L28" s="72" t="s">
        <v>1828</v>
      </c>
      <c r="M28" s="72" t="s">
        <v>1829</v>
      </c>
      <c r="N28" s="72" t="s">
        <v>1830</v>
      </c>
      <c r="O28" s="72"/>
      <c r="P28" s="72"/>
      <c r="Q28" s="72"/>
      <c r="R28" s="72"/>
      <c r="S28" s="72"/>
    </row>
    <row r="29" spans="1:19" x14ac:dyDescent="0.25">
      <c r="A29" s="72" t="s">
        <v>385</v>
      </c>
      <c r="B29" s="72" t="s">
        <v>9</v>
      </c>
      <c r="C29" s="72" t="s">
        <v>96</v>
      </c>
      <c r="D29" s="72" t="s">
        <v>1219</v>
      </c>
      <c r="E29" s="72" t="s">
        <v>385</v>
      </c>
      <c r="F29" s="72" t="s">
        <v>386</v>
      </c>
      <c r="G29" s="72" t="s">
        <v>14</v>
      </c>
      <c r="H29" s="72" t="s">
        <v>1456</v>
      </c>
      <c r="I29" s="72" t="s">
        <v>1831</v>
      </c>
      <c r="J29" s="72" t="s">
        <v>1832</v>
      </c>
      <c r="K29" s="72" t="s">
        <v>1833</v>
      </c>
      <c r="L29" s="72" t="s">
        <v>1834</v>
      </c>
      <c r="M29" s="72" t="s">
        <v>1835</v>
      </c>
      <c r="N29" s="72" t="s">
        <v>1836</v>
      </c>
      <c r="O29" s="72"/>
      <c r="P29" s="72"/>
      <c r="Q29" s="72"/>
      <c r="R29" s="72"/>
      <c r="S29" s="72"/>
    </row>
    <row r="30" spans="1:19" x14ac:dyDescent="0.25">
      <c r="A30" s="72" t="s">
        <v>142</v>
      </c>
      <c r="B30" s="72" t="s">
        <v>9</v>
      </c>
      <c r="C30" s="72" t="s">
        <v>47</v>
      </c>
      <c r="D30" s="72" t="s">
        <v>1649</v>
      </c>
      <c r="E30" s="72" t="s">
        <v>142</v>
      </c>
      <c r="F30" s="72" t="s">
        <v>143</v>
      </c>
      <c r="G30" s="72" t="s">
        <v>14</v>
      </c>
      <c r="H30" s="72" t="s">
        <v>15</v>
      </c>
      <c r="I30" s="72" t="s">
        <v>1567</v>
      </c>
      <c r="J30" s="72" t="s">
        <v>1837</v>
      </c>
      <c r="K30" s="72" t="s">
        <v>1838</v>
      </c>
      <c r="L30" s="72" t="s">
        <v>1839</v>
      </c>
      <c r="M30" s="72" t="s">
        <v>1840</v>
      </c>
      <c r="N30" s="72" t="s">
        <v>1841</v>
      </c>
      <c r="O30" s="72"/>
      <c r="P30" s="72"/>
      <c r="Q30" s="72"/>
      <c r="R30" s="72"/>
      <c r="S30" s="72"/>
    </row>
    <row r="31" spans="1:19" x14ac:dyDescent="0.25">
      <c r="A31" s="72" t="s">
        <v>154</v>
      </c>
      <c r="B31" s="72" t="s">
        <v>9</v>
      </c>
      <c r="C31" s="72" t="s">
        <v>10</v>
      </c>
      <c r="D31" s="72" t="s">
        <v>153</v>
      </c>
      <c r="E31" s="72" t="s">
        <v>154</v>
      </c>
      <c r="F31" s="72" t="s">
        <v>155</v>
      </c>
      <c r="G31" s="72" t="s">
        <v>14</v>
      </c>
      <c r="H31" s="72" t="s">
        <v>46</v>
      </c>
      <c r="I31" s="72" t="s">
        <v>1567</v>
      </c>
      <c r="J31" s="72" t="s">
        <v>1837</v>
      </c>
      <c r="K31" s="72" t="s">
        <v>1842</v>
      </c>
      <c r="L31" s="72" t="s">
        <v>1843</v>
      </c>
      <c r="M31" s="72" t="s">
        <v>1844</v>
      </c>
      <c r="N31" s="72" t="s">
        <v>1845</v>
      </c>
      <c r="O31" s="72"/>
      <c r="P31" s="72"/>
      <c r="Q31" s="72"/>
      <c r="R31" s="72"/>
      <c r="S31" s="72"/>
    </row>
    <row r="32" spans="1:19" x14ac:dyDescent="0.25">
      <c r="A32" s="72" t="s">
        <v>124</v>
      </c>
      <c r="B32" s="72" t="s">
        <v>9</v>
      </c>
      <c r="C32" s="72" t="s">
        <v>119</v>
      </c>
      <c r="D32" s="72" t="s">
        <v>39</v>
      </c>
      <c r="E32" s="72" t="s">
        <v>124</v>
      </c>
      <c r="F32" s="72" t="s">
        <v>125</v>
      </c>
      <c r="G32" s="72" t="s">
        <v>37</v>
      </c>
      <c r="H32" s="72" t="s">
        <v>42</v>
      </c>
      <c r="I32" s="72" t="s">
        <v>1575</v>
      </c>
      <c r="J32" s="72" t="s">
        <v>1846</v>
      </c>
      <c r="K32" s="72" t="s">
        <v>1847</v>
      </c>
      <c r="L32" s="72" t="s">
        <v>1848</v>
      </c>
      <c r="M32" s="72" t="s">
        <v>1299</v>
      </c>
      <c r="N32" s="72" t="s">
        <v>1300</v>
      </c>
      <c r="O32" s="72"/>
      <c r="P32" s="72"/>
      <c r="Q32" s="72"/>
      <c r="R32" s="72"/>
      <c r="S32" s="72"/>
    </row>
    <row r="33" spans="1:19" x14ac:dyDescent="0.25">
      <c r="A33" s="72" t="s">
        <v>1301</v>
      </c>
      <c r="B33" s="72" t="s">
        <v>9</v>
      </c>
      <c r="C33" s="72" t="s">
        <v>177</v>
      </c>
      <c r="D33" s="72" t="s">
        <v>120</v>
      </c>
      <c r="E33" s="72" t="s">
        <v>1301</v>
      </c>
      <c r="F33" s="72" t="s">
        <v>179</v>
      </c>
      <c r="G33" s="72" t="s">
        <v>37</v>
      </c>
      <c r="H33" s="72" t="s">
        <v>123</v>
      </c>
      <c r="I33" s="72" t="s">
        <v>1849</v>
      </c>
      <c r="J33" s="72" t="s">
        <v>1850</v>
      </c>
      <c r="K33" s="72" t="s">
        <v>1851</v>
      </c>
      <c r="L33" s="72" t="s">
        <v>1852</v>
      </c>
      <c r="M33" s="72" t="s">
        <v>1302</v>
      </c>
      <c r="N33" s="72" t="s">
        <v>1853</v>
      </c>
      <c r="O33" s="72"/>
      <c r="P33" s="72"/>
      <c r="Q33" s="72"/>
      <c r="R33" s="72"/>
      <c r="S33" s="72"/>
    </row>
    <row r="34" spans="1:19" x14ac:dyDescent="0.25">
      <c r="A34" s="72" t="s">
        <v>300</v>
      </c>
      <c r="B34" s="72" t="s">
        <v>9</v>
      </c>
      <c r="C34" s="72" t="s">
        <v>10</v>
      </c>
      <c r="D34" s="72" t="s">
        <v>163</v>
      </c>
      <c r="E34" s="72" t="s">
        <v>300</v>
      </c>
      <c r="F34" s="72" t="s">
        <v>301</v>
      </c>
      <c r="G34" s="72" t="s">
        <v>37</v>
      </c>
      <c r="H34" s="72" t="s">
        <v>132</v>
      </c>
      <c r="I34" s="72" t="s">
        <v>1427</v>
      </c>
      <c r="J34" s="72" t="s">
        <v>1854</v>
      </c>
      <c r="K34" s="72" t="s">
        <v>1855</v>
      </c>
      <c r="L34" s="72" t="s">
        <v>1856</v>
      </c>
      <c r="M34" s="72" t="s">
        <v>1303</v>
      </c>
      <c r="N34" s="72" t="s">
        <v>1304</v>
      </c>
      <c r="O34" s="72"/>
      <c r="P34" s="72"/>
      <c r="Q34" s="72"/>
      <c r="R34" s="72"/>
      <c r="S34" s="72"/>
    </row>
    <row r="35" spans="1:19" x14ac:dyDescent="0.25">
      <c r="A35" s="72" t="s">
        <v>168</v>
      </c>
      <c r="B35" s="72" t="s">
        <v>9</v>
      </c>
      <c r="C35" s="72" t="s">
        <v>128</v>
      </c>
      <c r="D35" s="72" t="s">
        <v>34</v>
      </c>
      <c r="E35" s="72" t="s">
        <v>168</v>
      </c>
      <c r="F35" s="72" t="s">
        <v>169</v>
      </c>
      <c r="G35" s="72" t="s">
        <v>37</v>
      </c>
      <c r="H35" s="72" t="s">
        <v>42</v>
      </c>
      <c r="I35" s="72" t="s">
        <v>1576</v>
      </c>
      <c r="J35" s="72" t="s">
        <v>1857</v>
      </c>
      <c r="K35" s="72" t="s">
        <v>1858</v>
      </c>
      <c r="L35" s="72" t="s">
        <v>1859</v>
      </c>
      <c r="M35" s="72" t="s">
        <v>1314</v>
      </c>
      <c r="N35" s="72" t="s">
        <v>1315</v>
      </c>
      <c r="O35" s="72"/>
      <c r="P35" s="72"/>
      <c r="Q35" s="72"/>
      <c r="R35" s="72"/>
      <c r="S35" s="72"/>
    </row>
    <row r="36" spans="1:19" x14ac:dyDescent="0.25">
      <c r="A36" s="72" t="s">
        <v>181</v>
      </c>
      <c r="B36" s="72" t="s">
        <v>9</v>
      </c>
      <c r="C36" s="72" t="s">
        <v>177</v>
      </c>
      <c r="D36" s="72" t="s">
        <v>180</v>
      </c>
      <c r="E36" s="72" t="s">
        <v>181</v>
      </c>
      <c r="F36" s="72" t="s">
        <v>182</v>
      </c>
      <c r="G36" s="72" t="s">
        <v>37</v>
      </c>
      <c r="H36" s="72" t="s">
        <v>132</v>
      </c>
      <c r="I36" s="72" t="s">
        <v>1576</v>
      </c>
      <c r="J36" s="72" t="s">
        <v>1857</v>
      </c>
      <c r="K36" s="72" t="s">
        <v>1860</v>
      </c>
      <c r="L36" s="72" t="s">
        <v>1861</v>
      </c>
      <c r="M36" s="72" t="s">
        <v>1316</v>
      </c>
      <c r="N36" s="72" t="s">
        <v>1317</v>
      </c>
      <c r="O36" s="72"/>
      <c r="P36" s="72"/>
      <c r="Q36" s="72"/>
      <c r="R36" s="72"/>
      <c r="S36" s="72"/>
    </row>
    <row r="37" spans="1:19" x14ac:dyDescent="0.25">
      <c r="A37" s="72" t="s">
        <v>183</v>
      </c>
      <c r="B37" s="72" t="s">
        <v>9</v>
      </c>
      <c r="C37" s="72" t="s">
        <v>119</v>
      </c>
      <c r="D37" s="72" t="s">
        <v>160</v>
      </c>
      <c r="E37" s="72" t="s">
        <v>183</v>
      </c>
      <c r="F37" s="72" t="s">
        <v>184</v>
      </c>
      <c r="G37" s="72" t="s">
        <v>37</v>
      </c>
      <c r="H37" s="72" t="s">
        <v>136</v>
      </c>
      <c r="I37" s="72" t="s">
        <v>1862</v>
      </c>
      <c r="J37" s="72" t="s">
        <v>1863</v>
      </c>
      <c r="K37" s="72" t="s">
        <v>1864</v>
      </c>
      <c r="L37" s="72" t="s">
        <v>1865</v>
      </c>
      <c r="M37" s="72" t="s">
        <v>1324</v>
      </c>
      <c r="N37" s="72" t="s">
        <v>1325</v>
      </c>
      <c r="O37" s="72"/>
      <c r="P37" s="72"/>
      <c r="Q37" s="72"/>
      <c r="R37" s="72"/>
      <c r="S37" s="72"/>
    </row>
    <row r="38" spans="1:19" x14ac:dyDescent="0.25">
      <c r="A38" s="72" t="s">
        <v>183</v>
      </c>
      <c r="B38" s="72" t="s">
        <v>9</v>
      </c>
      <c r="C38" s="72" t="s">
        <v>177</v>
      </c>
      <c r="D38" s="72" t="s">
        <v>160</v>
      </c>
      <c r="E38" s="72" t="s">
        <v>183</v>
      </c>
      <c r="F38" s="72" t="s">
        <v>184</v>
      </c>
      <c r="G38" s="72" t="s">
        <v>37</v>
      </c>
      <c r="H38" s="72" t="s">
        <v>136</v>
      </c>
      <c r="I38" s="72" t="s">
        <v>1862</v>
      </c>
      <c r="J38" s="72" t="s">
        <v>1863</v>
      </c>
      <c r="K38" s="72" t="s">
        <v>1866</v>
      </c>
      <c r="L38" s="72" t="s">
        <v>1867</v>
      </c>
      <c r="M38" s="72" t="s">
        <v>1326</v>
      </c>
      <c r="N38" s="72" t="s">
        <v>1325</v>
      </c>
      <c r="O38" s="72"/>
      <c r="P38" s="72"/>
      <c r="Q38" s="72"/>
      <c r="R38" s="72"/>
      <c r="S38" s="72"/>
    </row>
    <row r="39" spans="1:19" x14ac:dyDescent="0.25">
      <c r="A39" s="72" t="s">
        <v>81</v>
      </c>
      <c r="B39" s="72" t="s">
        <v>9</v>
      </c>
      <c r="C39" s="72" t="s">
        <v>47</v>
      </c>
      <c r="D39" s="72" t="s">
        <v>80</v>
      </c>
      <c r="E39" s="72" t="s">
        <v>81</v>
      </c>
      <c r="F39" s="72" t="s">
        <v>82</v>
      </c>
      <c r="G39" s="72" t="s">
        <v>28</v>
      </c>
      <c r="H39" s="72" t="s">
        <v>83</v>
      </c>
      <c r="I39" s="72" t="s">
        <v>1415</v>
      </c>
      <c r="J39" s="72" t="s">
        <v>1868</v>
      </c>
      <c r="K39" s="72" t="s">
        <v>1869</v>
      </c>
      <c r="L39" s="72" t="s">
        <v>1870</v>
      </c>
      <c r="M39" s="72" t="s">
        <v>1871</v>
      </c>
      <c r="N39" s="72" t="s">
        <v>1872</v>
      </c>
      <c r="O39" s="72"/>
      <c r="P39" s="72"/>
      <c r="Q39" s="72"/>
      <c r="R39" s="72"/>
      <c r="S39" s="72"/>
    </row>
    <row r="40" spans="1:19" x14ac:dyDescent="0.25">
      <c r="A40" s="72" t="s">
        <v>107</v>
      </c>
      <c r="B40" s="72" t="s">
        <v>9</v>
      </c>
      <c r="C40" s="72" t="s">
        <v>96</v>
      </c>
      <c r="D40" s="72" t="s">
        <v>106</v>
      </c>
      <c r="E40" s="72" t="s">
        <v>107</v>
      </c>
      <c r="F40" s="72" t="s">
        <v>108</v>
      </c>
      <c r="G40" s="72" t="s">
        <v>28</v>
      </c>
      <c r="H40" s="72" t="s">
        <v>237</v>
      </c>
      <c r="I40" s="72" t="s">
        <v>1415</v>
      </c>
      <c r="J40" s="72" t="s">
        <v>1868</v>
      </c>
      <c r="K40" s="72" t="s">
        <v>1873</v>
      </c>
      <c r="L40" s="72" t="s">
        <v>1874</v>
      </c>
      <c r="M40" s="72" t="s">
        <v>1875</v>
      </c>
      <c r="N40" s="72" t="s">
        <v>1876</v>
      </c>
      <c r="O40" s="72"/>
      <c r="P40" s="72"/>
      <c r="Q40" s="72"/>
      <c r="R40" s="72"/>
      <c r="S40" s="72"/>
    </row>
    <row r="41" spans="1:19" x14ac:dyDescent="0.25">
      <c r="A41" s="72" t="s">
        <v>110</v>
      </c>
      <c r="B41" s="72" t="s">
        <v>9</v>
      </c>
      <c r="C41" s="72" t="s">
        <v>96</v>
      </c>
      <c r="D41" s="72" t="s">
        <v>109</v>
      </c>
      <c r="E41" s="72" t="s">
        <v>110</v>
      </c>
      <c r="F41" s="72" t="s">
        <v>111</v>
      </c>
      <c r="G41" s="72" t="s">
        <v>28</v>
      </c>
      <c r="H41" s="72" t="s">
        <v>46</v>
      </c>
      <c r="I41" s="72" t="s">
        <v>1579</v>
      </c>
      <c r="J41" s="72" t="s">
        <v>1793</v>
      </c>
      <c r="K41" s="72" t="s">
        <v>1877</v>
      </c>
      <c r="L41" s="72" t="s">
        <v>1878</v>
      </c>
      <c r="M41" s="72" t="s">
        <v>1879</v>
      </c>
      <c r="N41" s="72" t="s">
        <v>1880</v>
      </c>
      <c r="O41" s="72"/>
      <c r="P41" s="72"/>
      <c r="Q41" s="72"/>
      <c r="R41" s="72"/>
      <c r="S41" s="72"/>
    </row>
    <row r="42" spans="1:19" x14ac:dyDescent="0.25">
      <c r="A42" s="72" t="s">
        <v>148</v>
      </c>
      <c r="B42" s="72" t="s">
        <v>9</v>
      </c>
      <c r="C42" s="72" t="s">
        <v>943</v>
      </c>
      <c r="D42" s="72" t="s">
        <v>444</v>
      </c>
      <c r="E42" s="72" t="s">
        <v>148</v>
      </c>
      <c r="F42" s="72" t="s">
        <v>149</v>
      </c>
      <c r="G42" s="72" t="s">
        <v>28</v>
      </c>
      <c r="H42" s="72" t="s">
        <v>24</v>
      </c>
      <c r="I42" s="72" t="s">
        <v>1579</v>
      </c>
      <c r="J42" s="72" t="s">
        <v>1793</v>
      </c>
      <c r="K42" s="72" t="s">
        <v>1881</v>
      </c>
      <c r="L42" s="72" t="s">
        <v>1882</v>
      </c>
      <c r="M42" s="72" t="s">
        <v>1883</v>
      </c>
      <c r="N42" s="72" t="s">
        <v>1884</v>
      </c>
      <c r="O42" s="72"/>
      <c r="P42" s="72"/>
      <c r="Q42" s="72"/>
      <c r="R42" s="72"/>
      <c r="S42" s="72"/>
    </row>
    <row r="43" spans="1:19" x14ac:dyDescent="0.25">
      <c r="A43" s="72" t="s">
        <v>35</v>
      </c>
      <c r="B43" s="72" t="s">
        <v>9</v>
      </c>
      <c r="C43" s="72" t="s">
        <v>10</v>
      </c>
      <c r="D43" s="72" t="s">
        <v>34</v>
      </c>
      <c r="E43" s="72" t="s">
        <v>35</v>
      </c>
      <c r="F43" s="72" t="s">
        <v>36</v>
      </c>
      <c r="G43" s="72" t="s">
        <v>37</v>
      </c>
      <c r="H43" s="72" t="s">
        <v>38</v>
      </c>
      <c r="I43" s="72" t="s">
        <v>1580</v>
      </c>
      <c r="J43" s="72" t="s">
        <v>1885</v>
      </c>
      <c r="K43" s="72" t="s">
        <v>1886</v>
      </c>
      <c r="L43" s="72" t="s">
        <v>1887</v>
      </c>
      <c r="M43" s="72" t="s">
        <v>1339</v>
      </c>
      <c r="N43" s="72" t="s">
        <v>1340</v>
      </c>
      <c r="O43" s="72"/>
      <c r="P43" s="72"/>
      <c r="Q43" s="72"/>
      <c r="R43" s="72"/>
      <c r="S43" s="72"/>
    </row>
    <row r="44" spans="1:19" x14ac:dyDescent="0.25">
      <c r="A44" s="72" t="s">
        <v>173</v>
      </c>
      <c r="B44" s="72" t="s">
        <v>9</v>
      </c>
      <c r="C44" s="72" t="s">
        <v>128</v>
      </c>
      <c r="D44" s="72" t="s">
        <v>120</v>
      </c>
      <c r="E44" s="72" t="s">
        <v>173</v>
      </c>
      <c r="F44" s="72" t="s">
        <v>174</v>
      </c>
      <c r="G44" s="72" t="s">
        <v>37</v>
      </c>
      <c r="H44" s="72" t="s">
        <v>123</v>
      </c>
      <c r="I44" s="72" t="s">
        <v>1580</v>
      </c>
      <c r="J44" s="72" t="s">
        <v>1885</v>
      </c>
      <c r="K44" s="72" t="s">
        <v>1888</v>
      </c>
      <c r="L44" s="72" t="s">
        <v>1889</v>
      </c>
      <c r="M44" s="72" t="s">
        <v>1341</v>
      </c>
      <c r="N44" s="72" t="s">
        <v>1342</v>
      </c>
      <c r="O44" s="72"/>
      <c r="P44" s="72"/>
      <c r="Q44" s="72"/>
      <c r="R44" s="72"/>
      <c r="S44" s="72"/>
    </row>
    <row r="45" spans="1:19" x14ac:dyDescent="0.25">
      <c r="A45" s="72" t="s">
        <v>126</v>
      </c>
      <c r="B45" s="72" t="s">
        <v>9</v>
      </c>
      <c r="C45" s="72" t="s">
        <v>119</v>
      </c>
      <c r="D45" s="72" t="s">
        <v>34</v>
      </c>
      <c r="E45" s="72" t="s">
        <v>126</v>
      </c>
      <c r="F45" s="72" t="s">
        <v>127</v>
      </c>
      <c r="G45" s="72" t="s">
        <v>37</v>
      </c>
      <c r="H45" s="72" t="s">
        <v>38</v>
      </c>
      <c r="I45" s="72" t="s">
        <v>1581</v>
      </c>
      <c r="J45" s="72" t="s">
        <v>1890</v>
      </c>
      <c r="K45" s="72" t="s">
        <v>1891</v>
      </c>
      <c r="L45" s="72" t="s">
        <v>1892</v>
      </c>
      <c r="M45" s="72" t="s">
        <v>1348</v>
      </c>
      <c r="N45" s="72" t="s">
        <v>1349</v>
      </c>
      <c r="O45" s="72"/>
      <c r="P45" s="72"/>
      <c r="Q45" s="72"/>
      <c r="R45" s="72"/>
      <c r="S45" s="72"/>
    </row>
    <row r="46" spans="1:19" x14ac:dyDescent="0.25">
      <c r="A46" s="72" t="s">
        <v>164</v>
      </c>
      <c r="B46" s="72" t="s">
        <v>9</v>
      </c>
      <c r="C46" s="72" t="s">
        <v>159</v>
      </c>
      <c r="D46" s="72" t="s">
        <v>163</v>
      </c>
      <c r="E46" s="72" t="s">
        <v>164</v>
      </c>
      <c r="F46" s="72" t="s">
        <v>165</v>
      </c>
      <c r="G46" s="72" t="s">
        <v>37</v>
      </c>
      <c r="H46" s="72" t="s">
        <v>42</v>
      </c>
      <c r="I46" s="72" t="s">
        <v>1581</v>
      </c>
      <c r="J46" s="72" t="s">
        <v>1890</v>
      </c>
      <c r="K46" s="72" t="s">
        <v>1893</v>
      </c>
      <c r="L46" s="72" t="s">
        <v>1894</v>
      </c>
      <c r="M46" s="72" t="s">
        <v>1350</v>
      </c>
      <c r="N46" s="72" t="s">
        <v>1351</v>
      </c>
      <c r="O46" s="72"/>
      <c r="P46" s="72"/>
      <c r="Q46" s="72"/>
      <c r="R46" s="72"/>
      <c r="S46" s="72"/>
    </row>
    <row r="47" spans="1:19" x14ac:dyDescent="0.25">
      <c r="A47" s="72" t="s">
        <v>40</v>
      </c>
      <c r="B47" s="72" t="s">
        <v>9</v>
      </c>
      <c r="C47" s="72" t="s">
        <v>10</v>
      </c>
      <c r="D47" s="72" t="s">
        <v>39</v>
      </c>
      <c r="E47" s="72" t="s">
        <v>40</v>
      </c>
      <c r="F47" s="72" t="s">
        <v>41</v>
      </c>
      <c r="G47" s="72" t="s">
        <v>37</v>
      </c>
      <c r="H47" s="72" t="s">
        <v>42</v>
      </c>
      <c r="I47" s="72" t="s">
        <v>1582</v>
      </c>
      <c r="J47" s="72" t="s">
        <v>1895</v>
      </c>
      <c r="K47" s="72" t="s">
        <v>1896</v>
      </c>
      <c r="L47" s="72" t="s">
        <v>1897</v>
      </c>
      <c r="M47" s="72" t="s">
        <v>1357</v>
      </c>
      <c r="N47" s="72" t="s">
        <v>1358</v>
      </c>
      <c r="O47" s="72"/>
      <c r="P47" s="72"/>
      <c r="Q47" s="72"/>
      <c r="R47" s="72"/>
      <c r="S47" s="72"/>
    </row>
    <row r="48" spans="1:19" x14ac:dyDescent="0.25">
      <c r="A48" s="72" t="s">
        <v>134</v>
      </c>
      <c r="B48" s="72" t="s">
        <v>9</v>
      </c>
      <c r="C48" s="72" t="s">
        <v>119</v>
      </c>
      <c r="D48" s="72" t="s">
        <v>133</v>
      </c>
      <c r="E48" s="72" t="s">
        <v>134</v>
      </c>
      <c r="F48" s="72" t="s">
        <v>135</v>
      </c>
      <c r="G48" s="72" t="s">
        <v>37</v>
      </c>
      <c r="H48" s="72" t="s">
        <v>132</v>
      </c>
      <c r="I48" s="72" t="s">
        <v>1584</v>
      </c>
      <c r="J48" s="72" t="s">
        <v>1898</v>
      </c>
      <c r="K48" s="72" t="s">
        <v>1899</v>
      </c>
      <c r="L48" s="72" t="s">
        <v>1900</v>
      </c>
      <c r="M48" s="72" t="s">
        <v>1375</v>
      </c>
      <c r="N48" s="72" t="s">
        <v>1376</v>
      </c>
      <c r="O48" s="72"/>
      <c r="P48" s="72"/>
      <c r="Q48" s="72"/>
      <c r="R48" s="72"/>
      <c r="S48" s="72"/>
    </row>
    <row r="49" spans="1:19" x14ac:dyDescent="0.25">
      <c r="A49" s="72" t="s">
        <v>175</v>
      </c>
      <c r="B49" s="72" t="s">
        <v>9</v>
      </c>
      <c r="C49" s="72" t="s">
        <v>128</v>
      </c>
      <c r="D49" s="72" t="s">
        <v>39</v>
      </c>
      <c r="E49" s="72" t="s">
        <v>175</v>
      </c>
      <c r="F49" s="72" t="s">
        <v>176</v>
      </c>
      <c r="G49" s="72" t="s">
        <v>37</v>
      </c>
      <c r="H49" s="72" t="s">
        <v>38</v>
      </c>
      <c r="I49" s="72" t="s">
        <v>1584</v>
      </c>
      <c r="J49" s="72" t="s">
        <v>1898</v>
      </c>
      <c r="K49" s="72" t="s">
        <v>1901</v>
      </c>
      <c r="L49" s="72" t="s">
        <v>1902</v>
      </c>
      <c r="M49" s="72" t="s">
        <v>1377</v>
      </c>
      <c r="N49" s="72" t="s">
        <v>1378</v>
      </c>
      <c r="O49" s="72"/>
      <c r="P49" s="72"/>
      <c r="Q49" s="72"/>
      <c r="R49" s="72"/>
      <c r="S49" s="72"/>
    </row>
    <row r="50" spans="1:19" x14ac:dyDescent="0.25">
      <c r="A50" s="72" t="s">
        <v>185</v>
      </c>
      <c r="B50" s="72" t="s">
        <v>9</v>
      </c>
      <c r="C50" s="72" t="s">
        <v>177</v>
      </c>
      <c r="D50" s="72" t="s">
        <v>39</v>
      </c>
      <c r="E50" s="72" t="s">
        <v>185</v>
      </c>
      <c r="F50" s="72" t="s">
        <v>186</v>
      </c>
      <c r="G50" s="72" t="s">
        <v>37</v>
      </c>
      <c r="H50" s="72" t="s">
        <v>42</v>
      </c>
      <c r="I50" s="72" t="s">
        <v>1424</v>
      </c>
      <c r="J50" s="72" t="s">
        <v>1903</v>
      </c>
      <c r="K50" s="72" t="s">
        <v>1904</v>
      </c>
      <c r="L50" s="72" t="s">
        <v>1905</v>
      </c>
      <c r="M50" s="72" t="s">
        <v>1384</v>
      </c>
      <c r="N50" s="72" t="s">
        <v>1385</v>
      </c>
      <c r="O50" s="72"/>
      <c r="P50" s="72"/>
      <c r="Q50" s="72"/>
      <c r="R50" s="72"/>
      <c r="S50" s="72"/>
    </row>
    <row r="51" spans="1:19" x14ac:dyDescent="0.25">
      <c r="A51" s="72" t="s">
        <v>114</v>
      </c>
      <c r="B51" s="72" t="s">
        <v>9</v>
      </c>
      <c r="C51" s="72" t="s">
        <v>96</v>
      </c>
      <c r="D51" s="72" t="s">
        <v>113</v>
      </c>
      <c r="E51" s="72" t="s">
        <v>114</v>
      </c>
      <c r="F51" s="72" t="s">
        <v>115</v>
      </c>
      <c r="G51" s="72" t="s">
        <v>28</v>
      </c>
      <c r="H51" s="72" t="s">
        <v>87</v>
      </c>
      <c r="I51" s="72" t="s">
        <v>1543</v>
      </c>
      <c r="J51" s="72" t="s">
        <v>1906</v>
      </c>
      <c r="K51" s="72" t="s">
        <v>1907</v>
      </c>
      <c r="L51" s="72" t="s">
        <v>1908</v>
      </c>
      <c r="M51" s="72" t="s">
        <v>1909</v>
      </c>
      <c r="N51" s="72" t="s">
        <v>1910</v>
      </c>
      <c r="O51" s="72"/>
      <c r="P51" s="72"/>
      <c r="Q51" s="72"/>
      <c r="R51" s="72"/>
      <c r="S51" s="72"/>
    </row>
    <row r="52" spans="1:19" x14ac:dyDescent="0.25">
      <c r="A52" s="72" t="s">
        <v>151</v>
      </c>
      <c r="B52" s="72" t="s">
        <v>9</v>
      </c>
      <c r="C52" s="72" t="s">
        <v>140</v>
      </c>
      <c r="D52" s="72" t="s">
        <v>150</v>
      </c>
      <c r="E52" s="72" t="s">
        <v>151</v>
      </c>
      <c r="F52" s="72" t="s">
        <v>152</v>
      </c>
      <c r="G52" s="72" t="s">
        <v>28</v>
      </c>
      <c r="H52" s="72" t="s">
        <v>87</v>
      </c>
      <c r="I52" s="72" t="s">
        <v>1543</v>
      </c>
      <c r="J52" s="72" t="s">
        <v>1906</v>
      </c>
      <c r="K52" s="72" t="s">
        <v>1911</v>
      </c>
      <c r="L52" s="72" t="s">
        <v>1912</v>
      </c>
      <c r="M52" s="72" t="s">
        <v>1913</v>
      </c>
      <c r="N52" s="72" t="s">
        <v>1914</v>
      </c>
      <c r="O52" s="72"/>
      <c r="P52" s="72"/>
      <c r="Q52" s="72"/>
      <c r="R52" s="72"/>
      <c r="S52" s="72"/>
    </row>
    <row r="53" spans="1:19" x14ac:dyDescent="0.25">
      <c r="A53" s="72" t="s">
        <v>447</v>
      </c>
      <c r="B53" s="72" t="s">
        <v>9</v>
      </c>
      <c r="C53" s="72" t="s">
        <v>47</v>
      </c>
      <c r="D53" s="72" t="s">
        <v>1185</v>
      </c>
      <c r="E53" s="72" t="s">
        <v>447</v>
      </c>
      <c r="F53" s="72" t="s">
        <v>448</v>
      </c>
      <c r="G53" s="72" t="s">
        <v>19</v>
      </c>
      <c r="H53" s="72" t="s">
        <v>20</v>
      </c>
      <c r="I53" s="72" t="s">
        <v>1711</v>
      </c>
      <c r="J53" s="72" t="s">
        <v>1712</v>
      </c>
      <c r="K53" s="72" t="s">
        <v>1915</v>
      </c>
      <c r="L53" s="72" t="s">
        <v>1916</v>
      </c>
      <c r="M53" s="72" t="s">
        <v>1917</v>
      </c>
      <c r="N53" s="72" t="s">
        <v>1918</v>
      </c>
      <c r="O53" s="72"/>
      <c r="P53" s="72"/>
      <c r="Q53" s="72"/>
      <c r="R53" s="72"/>
      <c r="S53" s="72"/>
    </row>
    <row r="54" spans="1:19" x14ac:dyDescent="0.25">
      <c r="A54" s="72" t="s">
        <v>93</v>
      </c>
      <c r="B54" s="72" t="s">
        <v>9</v>
      </c>
      <c r="C54" s="72" t="s">
        <v>47</v>
      </c>
      <c r="D54" s="72" t="s">
        <v>1219</v>
      </c>
      <c r="E54" s="72" t="s">
        <v>93</v>
      </c>
      <c r="F54" s="72" t="s">
        <v>94</v>
      </c>
      <c r="G54" s="72" t="s">
        <v>14</v>
      </c>
      <c r="H54" s="72" t="s">
        <v>1460</v>
      </c>
      <c r="I54" s="72" t="s">
        <v>1919</v>
      </c>
      <c r="J54" s="72" t="s">
        <v>1920</v>
      </c>
      <c r="K54" s="72" t="s">
        <v>1921</v>
      </c>
      <c r="L54" s="72" t="s">
        <v>1922</v>
      </c>
      <c r="M54" s="72" t="s">
        <v>1923</v>
      </c>
      <c r="N54" s="72" t="s">
        <v>1924</v>
      </c>
      <c r="O54" s="72"/>
      <c r="P54" s="72"/>
      <c r="Q54" s="72"/>
      <c r="R54" s="72"/>
      <c r="S54" s="72"/>
    </row>
    <row r="55" spans="1:19" x14ac:dyDescent="0.25">
      <c r="A55" s="72" t="s">
        <v>208</v>
      </c>
      <c r="B55" s="72" t="s">
        <v>9</v>
      </c>
      <c r="C55" s="72" t="s">
        <v>47</v>
      </c>
      <c r="D55" s="72" t="s">
        <v>1650</v>
      </c>
      <c r="E55" s="72" t="s">
        <v>208</v>
      </c>
      <c r="F55" s="72" t="s">
        <v>209</v>
      </c>
      <c r="G55" s="72" t="s">
        <v>19</v>
      </c>
      <c r="H55" s="72" t="s">
        <v>55</v>
      </c>
      <c r="I55" s="72" t="s">
        <v>1782</v>
      </c>
      <c r="J55" s="72" t="s">
        <v>1783</v>
      </c>
      <c r="K55" s="72" t="s">
        <v>1784</v>
      </c>
      <c r="L55" s="72" t="s">
        <v>1785</v>
      </c>
      <c r="M55" s="72" t="s">
        <v>1925</v>
      </c>
      <c r="N55" s="72" t="s">
        <v>1926</v>
      </c>
      <c r="O55" s="72"/>
      <c r="P55" s="72"/>
      <c r="Q55" s="72"/>
      <c r="R55" s="72"/>
      <c r="S55" s="72"/>
    </row>
    <row r="56" spans="1:19" x14ac:dyDescent="0.25">
      <c r="A56" s="72" t="s">
        <v>1214</v>
      </c>
      <c r="B56" s="72" t="s">
        <v>9</v>
      </c>
      <c r="C56" s="72" t="s">
        <v>96</v>
      </c>
      <c r="D56" s="72" t="s">
        <v>187</v>
      </c>
      <c r="E56" s="72" t="s">
        <v>1214</v>
      </c>
      <c r="F56" s="72" t="s">
        <v>1494</v>
      </c>
      <c r="G56" s="72" t="s">
        <v>19</v>
      </c>
      <c r="H56" s="72" t="s">
        <v>79</v>
      </c>
      <c r="I56" s="72" t="s">
        <v>1599</v>
      </c>
      <c r="J56" s="72" t="s">
        <v>1927</v>
      </c>
      <c r="K56" s="72" t="s">
        <v>1928</v>
      </c>
      <c r="L56" s="72" t="s">
        <v>1929</v>
      </c>
      <c r="M56" s="72" t="s">
        <v>1930</v>
      </c>
      <c r="N56" s="72" t="s">
        <v>1931</v>
      </c>
      <c r="O56" s="72"/>
      <c r="P56" s="72"/>
      <c r="Q56" s="72"/>
      <c r="R56" s="72"/>
      <c r="S56" s="72"/>
    </row>
    <row r="57" spans="1:19" x14ac:dyDescent="0.25">
      <c r="A57" s="72" t="s">
        <v>1515</v>
      </c>
      <c r="B57" s="72" t="s">
        <v>9</v>
      </c>
      <c r="C57" s="72" t="s">
        <v>47</v>
      </c>
      <c r="D57" s="72" t="s">
        <v>504</v>
      </c>
      <c r="E57" s="72" t="s">
        <v>1515</v>
      </c>
      <c r="F57" s="72" t="s">
        <v>1516</v>
      </c>
      <c r="G57" s="72" t="s">
        <v>28</v>
      </c>
      <c r="H57" s="72" t="s">
        <v>507</v>
      </c>
      <c r="I57" s="72" t="s">
        <v>1543</v>
      </c>
      <c r="J57" s="72" t="s">
        <v>1906</v>
      </c>
      <c r="K57" s="72" t="s">
        <v>1932</v>
      </c>
      <c r="L57" s="72" t="s">
        <v>1933</v>
      </c>
      <c r="M57" s="72" t="s">
        <v>1934</v>
      </c>
      <c r="N57" s="72" t="s">
        <v>1935</v>
      </c>
      <c r="O57" s="72"/>
      <c r="P57" s="72"/>
      <c r="Q57" s="72"/>
      <c r="R57" s="72"/>
      <c r="S57" s="72"/>
    </row>
    <row r="58" spans="1:19" x14ac:dyDescent="0.25">
      <c r="A58" s="72" t="s">
        <v>1030</v>
      </c>
      <c r="B58" s="72" t="s">
        <v>9</v>
      </c>
      <c r="C58" s="72" t="s">
        <v>47</v>
      </c>
      <c r="D58" s="72" t="s">
        <v>325</v>
      </c>
      <c r="E58" s="72" t="s">
        <v>1030</v>
      </c>
      <c r="F58" s="72" t="s">
        <v>1453</v>
      </c>
      <c r="G58" s="72" t="s">
        <v>14</v>
      </c>
      <c r="H58" s="72" t="s">
        <v>1457</v>
      </c>
      <c r="I58" s="72" t="s">
        <v>1825</v>
      </c>
      <c r="J58" s="72" t="s">
        <v>1826</v>
      </c>
      <c r="K58" s="72" t="s">
        <v>1936</v>
      </c>
      <c r="L58" s="72" t="s">
        <v>1937</v>
      </c>
      <c r="M58" s="72" t="s">
        <v>1938</v>
      </c>
      <c r="N58" s="72" t="s">
        <v>1939</v>
      </c>
      <c r="O58" s="72"/>
      <c r="P58" s="72"/>
      <c r="Q58" s="72"/>
      <c r="R58" s="72"/>
      <c r="S58" s="72"/>
    </row>
    <row r="59" spans="1:19" x14ac:dyDescent="0.25">
      <c r="A59" s="72" t="s">
        <v>1652</v>
      </c>
      <c r="B59" s="72" t="s">
        <v>9</v>
      </c>
      <c r="C59" s="72" t="s">
        <v>140</v>
      </c>
      <c r="D59" s="72" t="s">
        <v>1651</v>
      </c>
      <c r="E59" s="72" t="s">
        <v>1652</v>
      </c>
      <c r="F59" s="72" t="s">
        <v>1653</v>
      </c>
      <c r="G59" s="72" t="s">
        <v>14</v>
      </c>
      <c r="H59" s="72" t="s">
        <v>792</v>
      </c>
      <c r="I59" s="72" t="s">
        <v>1819</v>
      </c>
      <c r="J59" s="72" t="s">
        <v>1820</v>
      </c>
      <c r="K59" s="72" t="s">
        <v>1940</v>
      </c>
      <c r="L59" s="72" t="s">
        <v>1941</v>
      </c>
      <c r="M59" s="72" t="s">
        <v>1942</v>
      </c>
      <c r="N59" s="72" t="s">
        <v>1943</v>
      </c>
      <c r="O59" s="72"/>
      <c r="P59" s="72"/>
      <c r="Q59" s="72"/>
      <c r="R59" s="72"/>
      <c r="S59" s="72"/>
    </row>
    <row r="60" spans="1:19" x14ac:dyDescent="0.25">
      <c r="A60" s="72" t="s">
        <v>188</v>
      </c>
      <c r="B60" s="72" t="s">
        <v>170</v>
      </c>
      <c r="C60" s="72" t="s">
        <v>10</v>
      </c>
      <c r="D60" s="72" t="s">
        <v>187</v>
      </c>
      <c r="E60" s="72" t="s">
        <v>188</v>
      </c>
      <c r="F60" s="72" t="s">
        <v>189</v>
      </c>
      <c r="G60" s="72" t="s">
        <v>19</v>
      </c>
      <c r="H60" s="72" t="s">
        <v>24</v>
      </c>
      <c r="I60" s="72" t="s">
        <v>1534</v>
      </c>
      <c r="J60" s="72" t="s">
        <v>1696</v>
      </c>
      <c r="K60" s="72" t="s">
        <v>1944</v>
      </c>
      <c r="L60" s="72" t="s">
        <v>1945</v>
      </c>
      <c r="M60" s="72" t="s">
        <v>1946</v>
      </c>
      <c r="N60" s="72" t="s">
        <v>1947</v>
      </c>
      <c r="O60" s="72"/>
      <c r="P60" s="72"/>
      <c r="Q60" s="72"/>
      <c r="R60" s="72"/>
      <c r="S60" s="72"/>
    </row>
    <row r="61" spans="1:19" x14ac:dyDescent="0.25">
      <c r="A61" s="72" t="s">
        <v>1173</v>
      </c>
      <c r="B61" s="72" t="s">
        <v>170</v>
      </c>
      <c r="C61" s="72" t="s">
        <v>96</v>
      </c>
      <c r="D61" s="72" t="s">
        <v>276</v>
      </c>
      <c r="E61" s="72" t="s">
        <v>1173</v>
      </c>
      <c r="F61" s="72" t="s">
        <v>1174</v>
      </c>
      <c r="G61" s="72" t="s">
        <v>19</v>
      </c>
      <c r="H61" s="72" t="s">
        <v>24</v>
      </c>
      <c r="I61" s="72" t="s">
        <v>1534</v>
      </c>
      <c r="J61" s="72" t="s">
        <v>1696</v>
      </c>
      <c r="K61" s="72" t="s">
        <v>1948</v>
      </c>
      <c r="L61" s="72" t="s">
        <v>1949</v>
      </c>
      <c r="M61" s="72" t="s">
        <v>1950</v>
      </c>
      <c r="N61" s="72" t="s">
        <v>1951</v>
      </c>
      <c r="O61" s="72"/>
      <c r="P61" s="72"/>
      <c r="Q61" s="72"/>
      <c r="R61" s="72"/>
      <c r="S61" s="72"/>
    </row>
    <row r="62" spans="1:19" x14ac:dyDescent="0.25">
      <c r="A62" s="72" t="s">
        <v>1178</v>
      </c>
      <c r="B62" s="72" t="s">
        <v>170</v>
      </c>
      <c r="C62" s="72" t="s">
        <v>47</v>
      </c>
      <c r="D62" s="72" t="s">
        <v>1654</v>
      </c>
      <c r="E62" s="72" t="s">
        <v>1178</v>
      </c>
      <c r="F62" s="72" t="s">
        <v>627</v>
      </c>
      <c r="G62" s="72" t="s">
        <v>14</v>
      </c>
      <c r="H62" s="72" t="s">
        <v>51</v>
      </c>
      <c r="I62" s="72" t="s">
        <v>1537</v>
      </c>
      <c r="J62" s="72" t="s">
        <v>1701</v>
      </c>
      <c r="K62" s="72" t="s">
        <v>1952</v>
      </c>
      <c r="L62" s="72" t="s">
        <v>1953</v>
      </c>
      <c r="M62" s="72" t="s">
        <v>1954</v>
      </c>
      <c r="N62" s="72" t="s">
        <v>1955</v>
      </c>
      <c r="O62" s="72"/>
      <c r="P62" s="72"/>
      <c r="Q62" s="72"/>
      <c r="R62" s="72"/>
      <c r="S62" s="72"/>
    </row>
    <row r="63" spans="1:19" x14ac:dyDescent="0.25">
      <c r="A63" s="72" t="s">
        <v>1621</v>
      </c>
      <c r="B63" s="72" t="s">
        <v>170</v>
      </c>
      <c r="C63" s="72" t="s">
        <v>47</v>
      </c>
      <c r="D63" s="72" t="s">
        <v>1655</v>
      </c>
      <c r="E63" s="72" t="s">
        <v>1621</v>
      </c>
      <c r="F63" s="72" t="s">
        <v>639</v>
      </c>
      <c r="G63" s="72" t="s">
        <v>14</v>
      </c>
      <c r="H63" s="72" t="s">
        <v>15</v>
      </c>
      <c r="I63" s="72" t="s">
        <v>1956</v>
      </c>
      <c r="J63" s="72" t="s">
        <v>1957</v>
      </c>
      <c r="K63" s="72" t="s">
        <v>1958</v>
      </c>
      <c r="L63" s="72" t="s">
        <v>1959</v>
      </c>
      <c r="M63" s="72" t="s">
        <v>1960</v>
      </c>
      <c r="N63" s="72" t="s">
        <v>1961</v>
      </c>
      <c r="O63" s="72"/>
      <c r="P63" s="72"/>
      <c r="Q63" s="72"/>
      <c r="R63" s="72"/>
      <c r="S63" s="72"/>
    </row>
    <row r="64" spans="1:19" x14ac:dyDescent="0.25">
      <c r="A64" s="72" t="s">
        <v>657</v>
      </c>
      <c r="B64" s="72" t="s">
        <v>170</v>
      </c>
      <c r="C64" s="72" t="s">
        <v>10</v>
      </c>
      <c r="D64" s="72" t="s">
        <v>1206</v>
      </c>
      <c r="E64" s="72" t="s">
        <v>657</v>
      </c>
      <c r="F64" s="72" t="s">
        <v>658</v>
      </c>
      <c r="G64" s="72" t="s">
        <v>14</v>
      </c>
      <c r="H64" s="72" t="s">
        <v>33</v>
      </c>
      <c r="I64" s="72" t="s">
        <v>1962</v>
      </c>
      <c r="J64" s="72" t="s">
        <v>1963</v>
      </c>
      <c r="K64" s="72" t="s">
        <v>1964</v>
      </c>
      <c r="L64" s="72" t="s">
        <v>1965</v>
      </c>
      <c r="M64" s="72" t="s">
        <v>1966</v>
      </c>
      <c r="N64" s="72" t="s">
        <v>1967</v>
      </c>
      <c r="O64" s="72"/>
      <c r="P64" s="72"/>
      <c r="Q64" s="72"/>
      <c r="R64" s="72"/>
      <c r="S64" s="72"/>
    </row>
    <row r="65" spans="1:19" x14ac:dyDescent="0.25">
      <c r="A65" s="72" t="s">
        <v>421</v>
      </c>
      <c r="B65" s="72" t="s">
        <v>170</v>
      </c>
      <c r="C65" s="72" t="s">
        <v>943</v>
      </c>
      <c r="D65" s="72" t="s">
        <v>1479</v>
      </c>
      <c r="E65" s="72" t="s">
        <v>421</v>
      </c>
      <c r="F65" s="72" t="s">
        <v>422</v>
      </c>
      <c r="G65" s="72" t="s">
        <v>28</v>
      </c>
      <c r="H65" s="72" t="s">
        <v>24</v>
      </c>
      <c r="I65" s="72" t="s">
        <v>1723</v>
      </c>
      <c r="J65" s="72" t="s">
        <v>1724</v>
      </c>
      <c r="K65" s="72" t="s">
        <v>1968</v>
      </c>
      <c r="L65" s="72" t="s">
        <v>1969</v>
      </c>
      <c r="M65" s="72" t="s">
        <v>1970</v>
      </c>
      <c r="N65" s="72" t="s">
        <v>1971</v>
      </c>
      <c r="O65" s="72"/>
      <c r="P65" s="72"/>
      <c r="Q65" s="72"/>
      <c r="R65" s="72"/>
      <c r="S65" s="72"/>
    </row>
    <row r="66" spans="1:19" x14ac:dyDescent="0.25">
      <c r="A66" s="72" t="s">
        <v>632</v>
      </c>
      <c r="B66" s="72" t="s">
        <v>170</v>
      </c>
      <c r="C66" s="72" t="s">
        <v>10</v>
      </c>
      <c r="D66" s="72" t="s">
        <v>84</v>
      </c>
      <c r="E66" s="72" t="s">
        <v>632</v>
      </c>
      <c r="F66" s="72" t="s">
        <v>633</v>
      </c>
      <c r="G66" s="72" t="s">
        <v>28</v>
      </c>
      <c r="H66" s="72" t="s">
        <v>55</v>
      </c>
      <c r="I66" s="72" t="s">
        <v>1717</v>
      </c>
      <c r="J66" s="72" t="s">
        <v>1718</v>
      </c>
      <c r="K66" s="72" t="s">
        <v>1972</v>
      </c>
      <c r="L66" s="72" t="s">
        <v>1973</v>
      </c>
      <c r="M66" s="72" t="s">
        <v>1974</v>
      </c>
      <c r="N66" s="72" t="s">
        <v>1975</v>
      </c>
      <c r="O66" s="72"/>
      <c r="P66" s="72"/>
      <c r="Q66" s="72"/>
      <c r="R66" s="72"/>
      <c r="S66" s="72"/>
    </row>
    <row r="67" spans="1:19" x14ac:dyDescent="0.25">
      <c r="A67" s="72" t="s">
        <v>671</v>
      </c>
      <c r="B67" s="72" t="s">
        <v>170</v>
      </c>
      <c r="C67" s="72" t="s">
        <v>159</v>
      </c>
      <c r="D67" s="72" t="s">
        <v>605</v>
      </c>
      <c r="E67" s="72" t="s">
        <v>671</v>
      </c>
      <c r="F67" s="72" t="s">
        <v>672</v>
      </c>
      <c r="G67" s="72" t="s">
        <v>28</v>
      </c>
      <c r="H67" s="72" t="s">
        <v>983</v>
      </c>
      <c r="I67" s="72" t="s">
        <v>1729</v>
      </c>
      <c r="J67" s="72" t="s">
        <v>1730</v>
      </c>
      <c r="K67" s="72" t="s">
        <v>1976</v>
      </c>
      <c r="L67" s="72" t="s">
        <v>1977</v>
      </c>
      <c r="M67" s="72" t="s">
        <v>1978</v>
      </c>
      <c r="N67" s="72" t="s">
        <v>1979</v>
      </c>
      <c r="O67" s="72"/>
      <c r="P67" s="72"/>
      <c r="Q67" s="72"/>
      <c r="R67" s="72"/>
      <c r="S67" s="72"/>
    </row>
    <row r="68" spans="1:19" x14ac:dyDescent="0.25">
      <c r="A68" s="72" t="s">
        <v>214</v>
      </c>
      <c r="B68" s="72" t="s">
        <v>170</v>
      </c>
      <c r="C68" s="72" t="s">
        <v>47</v>
      </c>
      <c r="D68" s="72" t="s">
        <v>1206</v>
      </c>
      <c r="E68" s="72" t="s">
        <v>214</v>
      </c>
      <c r="F68" s="72" t="s">
        <v>215</v>
      </c>
      <c r="G68" s="72" t="s">
        <v>28</v>
      </c>
      <c r="H68" s="72" t="s">
        <v>46</v>
      </c>
      <c r="I68" s="72" t="s">
        <v>1546</v>
      </c>
      <c r="J68" s="72" t="s">
        <v>1980</v>
      </c>
      <c r="K68" s="72" t="s">
        <v>1981</v>
      </c>
      <c r="L68" s="72" t="s">
        <v>1982</v>
      </c>
      <c r="M68" s="72" t="s">
        <v>1983</v>
      </c>
      <c r="N68" s="72" t="s">
        <v>1984</v>
      </c>
      <c r="O68" s="72"/>
      <c r="P68" s="72"/>
      <c r="Q68" s="72"/>
      <c r="R68" s="72"/>
      <c r="S68" s="72"/>
    </row>
    <row r="69" spans="1:19" x14ac:dyDescent="0.25">
      <c r="A69" s="72" t="s">
        <v>244</v>
      </c>
      <c r="B69" s="72" t="s">
        <v>170</v>
      </c>
      <c r="C69" s="72" t="s">
        <v>96</v>
      </c>
      <c r="D69" s="72" t="s">
        <v>1656</v>
      </c>
      <c r="E69" s="72" t="s">
        <v>244</v>
      </c>
      <c r="F69" s="72" t="s">
        <v>245</v>
      </c>
      <c r="G69" s="72" t="s">
        <v>14</v>
      </c>
      <c r="H69" s="72" t="s">
        <v>983</v>
      </c>
      <c r="I69" s="72" t="s">
        <v>1752</v>
      </c>
      <c r="J69" s="72" t="s">
        <v>1753</v>
      </c>
      <c r="K69" s="72" t="s">
        <v>1985</v>
      </c>
      <c r="L69" s="72" t="s">
        <v>1986</v>
      </c>
      <c r="M69" s="72" t="s">
        <v>1987</v>
      </c>
      <c r="N69" s="72" t="s">
        <v>1988</v>
      </c>
      <c r="O69" s="72"/>
      <c r="P69" s="72"/>
      <c r="Q69" s="72"/>
      <c r="R69" s="72"/>
      <c r="S69" s="72"/>
    </row>
    <row r="70" spans="1:19" x14ac:dyDescent="0.25">
      <c r="A70" s="72" t="s">
        <v>121</v>
      </c>
      <c r="B70" s="72" t="s">
        <v>170</v>
      </c>
      <c r="C70" s="72" t="s">
        <v>10</v>
      </c>
      <c r="D70" s="72" t="s">
        <v>120</v>
      </c>
      <c r="E70" s="72" t="s">
        <v>121</v>
      </c>
      <c r="F70" s="72" t="s">
        <v>122</v>
      </c>
      <c r="G70" s="72" t="s">
        <v>37</v>
      </c>
      <c r="H70" s="72" t="s">
        <v>123</v>
      </c>
      <c r="I70" s="72" t="s">
        <v>1417</v>
      </c>
      <c r="J70" s="72" t="s">
        <v>1758</v>
      </c>
      <c r="K70" s="72" t="s">
        <v>1989</v>
      </c>
      <c r="L70" s="72" t="s">
        <v>1990</v>
      </c>
      <c r="M70" s="72" t="s">
        <v>1277</v>
      </c>
      <c r="N70" s="72" t="s">
        <v>1274</v>
      </c>
      <c r="O70" s="72"/>
      <c r="P70" s="72"/>
      <c r="Q70" s="72"/>
      <c r="R70" s="72"/>
      <c r="S70" s="72"/>
    </row>
    <row r="71" spans="1:19" x14ac:dyDescent="0.25">
      <c r="A71" s="72" t="s">
        <v>166</v>
      </c>
      <c r="B71" s="72" t="s">
        <v>170</v>
      </c>
      <c r="C71" s="72" t="s">
        <v>159</v>
      </c>
      <c r="D71" s="72" t="s">
        <v>163</v>
      </c>
      <c r="E71" s="72" t="s">
        <v>166</v>
      </c>
      <c r="F71" s="72" t="s">
        <v>167</v>
      </c>
      <c r="G71" s="72" t="s">
        <v>37</v>
      </c>
      <c r="H71" s="72" t="s">
        <v>42</v>
      </c>
      <c r="I71" s="72" t="s">
        <v>1417</v>
      </c>
      <c r="J71" s="72" t="s">
        <v>1758</v>
      </c>
      <c r="K71" s="72" t="s">
        <v>1991</v>
      </c>
      <c r="L71" s="72" t="s">
        <v>1992</v>
      </c>
      <c r="M71" s="72" t="s">
        <v>1278</v>
      </c>
      <c r="N71" s="72" t="s">
        <v>1276</v>
      </c>
      <c r="O71" s="72"/>
      <c r="P71" s="72"/>
      <c r="Q71" s="72"/>
      <c r="R71" s="72"/>
      <c r="S71" s="72"/>
    </row>
    <row r="72" spans="1:19" x14ac:dyDescent="0.25">
      <c r="A72" s="72" t="s">
        <v>161</v>
      </c>
      <c r="B72" s="72" t="s">
        <v>170</v>
      </c>
      <c r="C72" s="72" t="s">
        <v>128</v>
      </c>
      <c r="D72" s="72" t="s">
        <v>160</v>
      </c>
      <c r="E72" s="72" t="s">
        <v>161</v>
      </c>
      <c r="F72" s="72" t="s">
        <v>162</v>
      </c>
      <c r="G72" s="72" t="s">
        <v>37</v>
      </c>
      <c r="H72" s="72" t="s">
        <v>136</v>
      </c>
      <c r="I72" s="72" t="s">
        <v>1548</v>
      </c>
      <c r="J72" s="72" t="s">
        <v>1763</v>
      </c>
      <c r="K72" s="72" t="s">
        <v>1993</v>
      </c>
      <c r="L72" s="72" t="s">
        <v>1994</v>
      </c>
      <c r="M72" s="72" t="s">
        <v>1281</v>
      </c>
      <c r="N72" s="72" t="s">
        <v>1280</v>
      </c>
      <c r="O72" s="72"/>
      <c r="P72" s="72"/>
      <c r="Q72" s="72"/>
      <c r="R72" s="72"/>
      <c r="S72" s="72"/>
    </row>
    <row r="73" spans="1:19" x14ac:dyDescent="0.25">
      <c r="A73" s="72" t="s">
        <v>77</v>
      </c>
      <c r="B73" s="72" t="s">
        <v>170</v>
      </c>
      <c r="C73" s="72" t="s">
        <v>943</v>
      </c>
      <c r="D73" s="72" t="s">
        <v>76</v>
      </c>
      <c r="E73" s="72" t="s">
        <v>77</v>
      </c>
      <c r="F73" s="72" t="s">
        <v>78</v>
      </c>
      <c r="G73" s="72" t="s">
        <v>28</v>
      </c>
      <c r="H73" s="72" t="s">
        <v>55</v>
      </c>
      <c r="I73" s="72" t="s">
        <v>1766</v>
      </c>
      <c r="J73" s="72" t="s">
        <v>1767</v>
      </c>
      <c r="K73" s="72" t="s">
        <v>1995</v>
      </c>
      <c r="L73" s="72" t="s">
        <v>1996</v>
      </c>
      <c r="M73" s="72" t="s">
        <v>1997</v>
      </c>
      <c r="N73" s="72" t="s">
        <v>1998</v>
      </c>
      <c r="O73" s="72"/>
      <c r="P73" s="72"/>
      <c r="Q73" s="72"/>
      <c r="R73" s="72"/>
      <c r="S73" s="72"/>
    </row>
    <row r="74" spans="1:19" x14ac:dyDescent="0.25">
      <c r="A74" s="72" t="s">
        <v>68</v>
      </c>
      <c r="B74" s="72" t="s">
        <v>170</v>
      </c>
      <c r="C74" s="72" t="s">
        <v>96</v>
      </c>
      <c r="D74" s="72" t="s">
        <v>67</v>
      </c>
      <c r="E74" s="72" t="s">
        <v>68</v>
      </c>
      <c r="F74" s="72" t="s">
        <v>69</v>
      </c>
      <c r="G74" s="72" t="s">
        <v>14</v>
      </c>
      <c r="H74" s="72" t="s">
        <v>91</v>
      </c>
      <c r="I74" s="72" t="s">
        <v>1999</v>
      </c>
      <c r="J74" s="72" t="s">
        <v>2000</v>
      </c>
      <c r="K74" s="72" t="s">
        <v>2001</v>
      </c>
      <c r="L74" s="72" t="s">
        <v>2002</v>
      </c>
      <c r="M74" s="72" t="s">
        <v>2003</v>
      </c>
      <c r="N74" s="72" t="s">
        <v>2004</v>
      </c>
      <c r="O74" s="72"/>
      <c r="P74" s="72"/>
      <c r="Q74" s="72"/>
      <c r="R74" s="72"/>
      <c r="S74" s="72"/>
    </row>
    <row r="75" spans="1:19" x14ac:dyDescent="0.25">
      <c r="A75" s="72" t="s">
        <v>439</v>
      </c>
      <c r="B75" s="72" t="s">
        <v>170</v>
      </c>
      <c r="C75" s="72" t="s">
        <v>47</v>
      </c>
      <c r="D75" s="72" t="s">
        <v>438</v>
      </c>
      <c r="E75" s="72" t="s">
        <v>439</v>
      </c>
      <c r="F75" s="72" t="s">
        <v>440</v>
      </c>
      <c r="G75" s="72" t="s">
        <v>19</v>
      </c>
      <c r="H75" s="72" t="s">
        <v>237</v>
      </c>
      <c r="I75" s="72" t="s">
        <v>1782</v>
      </c>
      <c r="J75" s="72" t="s">
        <v>1783</v>
      </c>
      <c r="K75" s="72" t="s">
        <v>2005</v>
      </c>
      <c r="L75" s="72" t="s">
        <v>2006</v>
      </c>
      <c r="M75" s="72" t="s">
        <v>2007</v>
      </c>
      <c r="N75" s="72" t="s">
        <v>2008</v>
      </c>
      <c r="O75" s="72"/>
      <c r="P75" s="72"/>
      <c r="Q75" s="72"/>
      <c r="R75" s="72"/>
      <c r="S75" s="72"/>
    </row>
    <row r="76" spans="1:19" x14ac:dyDescent="0.25">
      <c r="A76" s="72" t="s">
        <v>1205</v>
      </c>
      <c r="B76" s="72" t="s">
        <v>170</v>
      </c>
      <c r="C76" s="72" t="s">
        <v>96</v>
      </c>
      <c r="D76" s="72" t="s">
        <v>1204</v>
      </c>
      <c r="E76" s="72" t="s">
        <v>1205</v>
      </c>
      <c r="F76" s="72" t="s">
        <v>247</v>
      </c>
      <c r="G76" s="72" t="s">
        <v>28</v>
      </c>
      <c r="H76" s="72" t="s">
        <v>46</v>
      </c>
      <c r="I76" s="72" t="s">
        <v>1556</v>
      </c>
      <c r="J76" s="72" t="s">
        <v>1788</v>
      </c>
      <c r="K76" s="72" t="s">
        <v>2009</v>
      </c>
      <c r="L76" s="72" t="s">
        <v>2010</v>
      </c>
      <c r="M76" s="72" t="s">
        <v>2011</v>
      </c>
      <c r="N76" s="72" t="s">
        <v>2012</v>
      </c>
      <c r="O76" s="72"/>
      <c r="P76" s="72"/>
      <c r="Q76" s="72"/>
      <c r="R76" s="72"/>
      <c r="S76" s="72"/>
    </row>
    <row r="77" spans="1:19" x14ac:dyDescent="0.25">
      <c r="A77" s="72" t="s">
        <v>675</v>
      </c>
      <c r="B77" s="72" t="s">
        <v>170</v>
      </c>
      <c r="C77" s="72" t="s">
        <v>47</v>
      </c>
      <c r="D77" s="72" t="s">
        <v>80</v>
      </c>
      <c r="E77" s="72" t="s">
        <v>675</v>
      </c>
      <c r="F77" s="72" t="s">
        <v>676</v>
      </c>
      <c r="G77" s="72" t="s">
        <v>28</v>
      </c>
      <c r="H77" s="72" t="s">
        <v>79</v>
      </c>
      <c r="I77" s="72" t="s">
        <v>1556</v>
      </c>
      <c r="J77" s="72" t="s">
        <v>1788</v>
      </c>
      <c r="K77" s="72" t="s">
        <v>2013</v>
      </c>
      <c r="L77" s="72" t="s">
        <v>2014</v>
      </c>
      <c r="M77" s="72" t="s">
        <v>2015</v>
      </c>
      <c r="N77" s="72" t="s">
        <v>2016</v>
      </c>
      <c r="O77" s="72"/>
      <c r="P77" s="72"/>
      <c r="Q77" s="72"/>
      <c r="R77" s="72"/>
      <c r="S77" s="72"/>
    </row>
    <row r="78" spans="1:19" x14ac:dyDescent="0.25">
      <c r="A78" s="72" t="s">
        <v>586</v>
      </c>
      <c r="B78" s="72" t="s">
        <v>170</v>
      </c>
      <c r="C78" s="72" t="s">
        <v>96</v>
      </c>
      <c r="D78" s="72" t="s">
        <v>284</v>
      </c>
      <c r="E78" s="72" t="s">
        <v>586</v>
      </c>
      <c r="F78" s="72" t="s">
        <v>587</v>
      </c>
      <c r="G78" s="72" t="s">
        <v>19</v>
      </c>
      <c r="H78" s="72" t="s">
        <v>237</v>
      </c>
      <c r="I78" s="72" t="s">
        <v>2017</v>
      </c>
      <c r="J78" s="72" t="s">
        <v>2018</v>
      </c>
      <c r="K78" s="72" t="s">
        <v>2019</v>
      </c>
      <c r="L78" s="72" t="s">
        <v>2020</v>
      </c>
      <c r="M78" s="72" t="s">
        <v>2021</v>
      </c>
      <c r="N78" s="72" t="s">
        <v>2022</v>
      </c>
      <c r="O78" s="72"/>
      <c r="P78" s="72"/>
      <c r="Q78" s="72"/>
      <c r="R78" s="72"/>
      <c r="S78" s="72"/>
    </row>
    <row r="79" spans="1:19" x14ac:dyDescent="0.25">
      <c r="A79" s="72" t="s">
        <v>679</v>
      </c>
      <c r="B79" s="72" t="s">
        <v>170</v>
      </c>
      <c r="C79" s="72" t="s">
        <v>140</v>
      </c>
      <c r="D79" s="72" t="s">
        <v>1482</v>
      </c>
      <c r="E79" s="72" t="s">
        <v>679</v>
      </c>
      <c r="F79" s="72" t="s">
        <v>680</v>
      </c>
      <c r="G79" s="72" t="s">
        <v>19</v>
      </c>
      <c r="H79" s="72" t="s">
        <v>79</v>
      </c>
      <c r="I79" s="72" t="s">
        <v>2023</v>
      </c>
      <c r="J79" s="72" t="s">
        <v>1920</v>
      </c>
      <c r="K79" s="72" t="s">
        <v>2024</v>
      </c>
      <c r="L79" s="72" t="s">
        <v>2025</v>
      </c>
      <c r="M79" s="72" t="s">
        <v>2026</v>
      </c>
      <c r="N79" s="72" t="s">
        <v>2027</v>
      </c>
      <c r="O79" s="72"/>
      <c r="P79" s="72"/>
      <c r="Q79" s="72"/>
      <c r="R79" s="72"/>
      <c r="S79" s="72"/>
    </row>
    <row r="80" spans="1:19" x14ac:dyDescent="0.25">
      <c r="A80" s="72" t="s">
        <v>1425</v>
      </c>
      <c r="B80" s="72" t="s">
        <v>170</v>
      </c>
      <c r="C80" s="72" t="s">
        <v>119</v>
      </c>
      <c r="D80" s="72" t="s">
        <v>1421</v>
      </c>
      <c r="E80" s="72" t="s">
        <v>1425</v>
      </c>
      <c r="F80" s="72" t="s">
        <v>1426</v>
      </c>
      <c r="G80" s="72" t="s">
        <v>37</v>
      </c>
      <c r="H80" s="72" t="s">
        <v>136</v>
      </c>
      <c r="I80" s="72" t="s">
        <v>1427</v>
      </c>
      <c r="J80" s="72" t="s">
        <v>1854</v>
      </c>
      <c r="K80" s="72" t="s">
        <v>2028</v>
      </c>
      <c r="L80" s="72" t="s">
        <v>2029</v>
      </c>
      <c r="M80" s="72" t="s">
        <v>2030</v>
      </c>
      <c r="N80" s="72" t="s">
        <v>2031</v>
      </c>
      <c r="O80" s="72"/>
      <c r="P80" s="72"/>
      <c r="Q80" s="72"/>
      <c r="R80" s="72"/>
      <c r="S80" s="72"/>
    </row>
    <row r="81" spans="1:19" x14ac:dyDescent="0.25">
      <c r="A81" s="72" t="s">
        <v>257</v>
      </c>
      <c r="B81" s="72" t="s">
        <v>170</v>
      </c>
      <c r="C81" s="72" t="s">
        <v>96</v>
      </c>
      <c r="D81" s="72" t="s">
        <v>256</v>
      </c>
      <c r="E81" s="72" t="s">
        <v>257</v>
      </c>
      <c r="F81" s="72" t="s">
        <v>258</v>
      </c>
      <c r="G81" s="72" t="s">
        <v>19</v>
      </c>
      <c r="H81" s="72" t="s">
        <v>287</v>
      </c>
      <c r="I81" s="72" t="s">
        <v>2023</v>
      </c>
      <c r="J81" s="72" t="s">
        <v>1920</v>
      </c>
      <c r="K81" s="72" t="s">
        <v>2032</v>
      </c>
      <c r="L81" s="72" t="s">
        <v>2033</v>
      </c>
      <c r="M81" s="72" t="s">
        <v>2034</v>
      </c>
      <c r="N81" s="72" t="s">
        <v>2035</v>
      </c>
      <c r="O81" s="72"/>
      <c r="P81" s="72"/>
      <c r="Q81" s="72"/>
      <c r="R81" s="72"/>
      <c r="S81" s="72"/>
    </row>
    <row r="82" spans="1:19" x14ac:dyDescent="0.25">
      <c r="A82" s="72" t="s">
        <v>697</v>
      </c>
      <c r="B82" s="72" t="s">
        <v>170</v>
      </c>
      <c r="C82" s="72" t="s">
        <v>140</v>
      </c>
      <c r="D82" s="72" t="s">
        <v>1251</v>
      </c>
      <c r="E82" s="72" t="s">
        <v>697</v>
      </c>
      <c r="F82" s="72" t="s">
        <v>698</v>
      </c>
      <c r="G82" s="72" t="s">
        <v>19</v>
      </c>
      <c r="H82" s="72" t="s">
        <v>237</v>
      </c>
      <c r="I82" s="72" t="s">
        <v>1564</v>
      </c>
      <c r="J82" s="72" t="s">
        <v>2036</v>
      </c>
      <c r="K82" s="72" t="s">
        <v>2037</v>
      </c>
      <c r="L82" s="72" t="s">
        <v>2038</v>
      </c>
      <c r="M82" s="72" t="s">
        <v>2039</v>
      </c>
      <c r="N82" s="72" t="s">
        <v>2040</v>
      </c>
      <c r="O82" s="72"/>
      <c r="P82" s="72"/>
      <c r="Q82" s="72"/>
      <c r="R82" s="72"/>
      <c r="S82" s="72"/>
    </row>
    <row r="83" spans="1:19" x14ac:dyDescent="0.25">
      <c r="A83" s="72" t="s">
        <v>609</v>
      </c>
      <c r="B83" s="72" t="s">
        <v>170</v>
      </c>
      <c r="C83" s="72" t="s">
        <v>10</v>
      </c>
      <c r="D83" s="72" t="s">
        <v>608</v>
      </c>
      <c r="E83" s="72" t="s">
        <v>609</v>
      </c>
      <c r="F83" s="72" t="s">
        <v>610</v>
      </c>
      <c r="G83" s="72" t="s">
        <v>14</v>
      </c>
      <c r="H83" s="72" t="s">
        <v>51</v>
      </c>
      <c r="I83" s="72" t="s">
        <v>2041</v>
      </c>
      <c r="J83" s="72" t="s">
        <v>2042</v>
      </c>
      <c r="K83" s="72" t="s">
        <v>2043</v>
      </c>
      <c r="L83" s="72" t="s">
        <v>2044</v>
      </c>
      <c r="M83" s="72" t="s">
        <v>2045</v>
      </c>
      <c r="N83" s="72" t="s">
        <v>2046</v>
      </c>
      <c r="O83" s="72"/>
      <c r="P83" s="72"/>
      <c r="Q83" s="72"/>
      <c r="R83" s="72"/>
      <c r="S83" s="72"/>
    </row>
    <row r="84" spans="1:19" x14ac:dyDescent="0.25">
      <c r="A84" s="72" t="s">
        <v>192</v>
      </c>
      <c r="B84" s="72" t="s">
        <v>170</v>
      </c>
      <c r="C84" s="72" t="s">
        <v>10</v>
      </c>
      <c r="D84" s="72" t="s">
        <v>1657</v>
      </c>
      <c r="E84" s="72" t="s">
        <v>192</v>
      </c>
      <c r="F84" s="72" t="s">
        <v>193</v>
      </c>
      <c r="G84" s="72" t="s">
        <v>19</v>
      </c>
      <c r="H84" s="72" t="s">
        <v>20</v>
      </c>
      <c r="I84" s="72" t="s">
        <v>1831</v>
      </c>
      <c r="J84" s="72" t="s">
        <v>1832</v>
      </c>
      <c r="K84" s="72" t="s">
        <v>2047</v>
      </c>
      <c r="L84" s="72" t="s">
        <v>2048</v>
      </c>
      <c r="M84" s="72" t="s">
        <v>2049</v>
      </c>
      <c r="N84" s="72" t="s">
        <v>2050</v>
      </c>
      <c r="O84" s="72"/>
      <c r="P84" s="72"/>
      <c r="Q84" s="72"/>
      <c r="R84" s="72"/>
      <c r="S84" s="72"/>
    </row>
    <row r="85" spans="1:19" x14ac:dyDescent="0.25">
      <c r="A85" s="72" t="s">
        <v>222</v>
      </c>
      <c r="B85" s="72" t="s">
        <v>170</v>
      </c>
      <c r="C85" s="72" t="s">
        <v>96</v>
      </c>
      <c r="D85" s="72" t="s">
        <v>221</v>
      </c>
      <c r="E85" s="72" t="s">
        <v>222</v>
      </c>
      <c r="F85" s="72" t="s">
        <v>223</v>
      </c>
      <c r="G85" s="72" t="s">
        <v>19</v>
      </c>
      <c r="H85" s="72" t="s">
        <v>20</v>
      </c>
      <c r="I85" s="72" t="s">
        <v>1831</v>
      </c>
      <c r="J85" s="72" t="s">
        <v>1832</v>
      </c>
      <c r="K85" s="72" t="s">
        <v>2051</v>
      </c>
      <c r="L85" s="72" t="s">
        <v>2052</v>
      </c>
      <c r="M85" s="72" t="s">
        <v>2053</v>
      </c>
      <c r="N85" s="72" t="s">
        <v>2054</v>
      </c>
      <c r="O85" s="72"/>
      <c r="P85" s="72"/>
      <c r="Q85" s="72"/>
      <c r="R85" s="72"/>
      <c r="S85" s="72"/>
    </row>
    <row r="86" spans="1:19" x14ac:dyDescent="0.25">
      <c r="A86" s="72" t="s">
        <v>192</v>
      </c>
      <c r="B86" s="72" t="s">
        <v>170</v>
      </c>
      <c r="C86" s="72" t="s">
        <v>47</v>
      </c>
      <c r="D86" s="72" t="s">
        <v>1658</v>
      </c>
      <c r="E86" s="72" t="s">
        <v>192</v>
      </c>
      <c r="F86" s="72" t="s">
        <v>193</v>
      </c>
      <c r="G86" s="72" t="s">
        <v>19</v>
      </c>
      <c r="H86" s="72" t="s">
        <v>20</v>
      </c>
      <c r="I86" s="72" t="s">
        <v>1831</v>
      </c>
      <c r="J86" s="72" t="s">
        <v>1832</v>
      </c>
      <c r="K86" s="72" t="s">
        <v>2055</v>
      </c>
      <c r="L86" s="72" t="s">
        <v>2056</v>
      </c>
      <c r="M86" s="72" t="s">
        <v>2057</v>
      </c>
      <c r="N86" s="72" t="s">
        <v>2050</v>
      </c>
      <c r="O86" s="72"/>
      <c r="P86" s="72"/>
      <c r="Q86" s="72"/>
      <c r="R86" s="72"/>
      <c r="S86" s="72"/>
    </row>
    <row r="87" spans="1:19" x14ac:dyDescent="0.25">
      <c r="A87" s="72" t="s">
        <v>195</v>
      </c>
      <c r="B87" s="72" t="s">
        <v>170</v>
      </c>
      <c r="C87" s="72" t="s">
        <v>140</v>
      </c>
      <c r="D87" s="72" t="s">
        <v>194</v>
      </c>
      <c r="E87" s="72" t="s">
        <v>195</v>
      </c>
      <c r="F87" s="72" t="s">
        <v>196</v>
      </c>
      <c r="G87" s="72" t="s">
        <v>14</v>
      </c>
      <c r="H87" s="72" t="s">
        <v>61</v>
      </c>
      <c r="I87" s="72" t="s">
        <v>1572</v>
      </c>
      <c r="J87" s="72" t="s">
        <v>2058</v>
      </c>
      <c r="K87" s="72" t="s">
        <v>2059</v>
      </c>
      <c r="L87" s="72" t="s">
        <v>2060</v>
      </c>
      <c r="M87" s="72" t="s">
        <v>2061</v>
      </c>
      <c r="N87" s="72" t="s">
        <v>2062</v>
      </c>
      <c r="O87" s="72"/>
      <c r="P87" s="72"/>
      <c r="Q87" s="72"/>
      <c r="R87" s="72"/>
      <c r="S87" s="72"/>
    </row>
    <row r="88" spans="1:19" x14ac:dyDescent="0.25">
      <c r="A88" s="72" t="s">
        <v>225</v>
      </c>
      <c r="B88" s="72" t="s">
        <v>170</v>
      </c>
      <c r="C88" s="72" t="s">
        <v>10</v>
      </c>
      <c r="D88" s="72" t="s">
        <v>1659</v>
      </c>
      <c r="E88" s="72" t="s">
        <v>225</v>
      </c>
      <c r="F88" s="72" t="s">
        <v>226</v>
      </c>
      <c r="G88" s="72" t="s">
        <v>14</v>
      </c>
      <c r="H88" s="72" t="s">
        <v>46</v>
      </c>
      <c r="I88" s="72" t="s">
        <v>1572</v>
      </c>
      <c r="J88" s="72" t="s">
        <v>2058</v>
      </c>
      <c r="K88" s="72" t="s">
        <v>2063</v>
      </c>
      <c r="L88" s="72" t="s">
        <v>2064</v>
      </c>
      <c r="M88" s="72" t="s">
        <v>2065</v>
      </c>
      <c r="N88" s="72" t="s">
        <v>2066</v>
      </c>
      <c r="O88" s="72"/>
      <c r="P88" s="72"/>
      <c r="Q88" s="72"/>
      <c r="R88" s="72"/>
      <c r="S88" s="72"/>
    </row>
    <row r="89" spans="1:19" x14ac:dyDescent="0.25">
      <c r="A89" s="72" t="s">
        <v>265</v>
      </c>
      <c r="B89" s="72" t="s">
        <v>170</v>
      </c>
      <c r="C89" s="72" t="s">
        <v>96</v>
      </c>
      <c r="D89" s="72" t="s">
        <v>264</v>
      </c>
      <c r="E89" s="72" t="s">
        <v>265</v>
      </c>
      <c r="F89" s="72" t="s">
        <v>266</v>
      </c>
      <c r="G89" s="72" t="s">
        <v>14</v>
      </c>
      <c r="H89" s="72" t="s">
        <v>15</v>
      </c>
      <c r="I89" s="72" t="s">
        <v>1572</v>
      </c>
      <c r="J89" s="72" t="s">
        <v>2058</v>
      </c>
      <c r="K89" s="72" t="s">
        <v>2067</v>
      </c>
      <c r="L89" s="72" t="s">
        <v>2068</v>
      </c>
      <c r="M89" s="72" t="s">
        <v>2069</v>
      </c>
      <c r="N89" s="72" t="s">
        <v>2070</v>
      </c>
      <c r="O89" s="72"/>
      <c r="P89" s="72"/>
      <c r="Q89" s="72"/>
      <c r="R89" s="72"/>
      <c r="S89" s="72"/>
    </row>
    <row r="90" spans="1:19" x14ac:dyDescent="0.25">
      <c r="A90" s="72" t="s">
        <v>252</v>
      </c>
      <c r="B90" s="72" t="s">
        <v>170</v>
      </c>
      <c r="C90" s="72" t="s">
        <v>96</v>
      </c>
      <c r="D90" s="72" t="s">
        <v>251</v>
      </c>
      <c r="E90" s="72" t="s">
        <v>252</v>
      </c>
      <c r="F90" s="72" t="s">
        <v>253</v>
      </c>
      <c r="G90" s="72" t="s">
        <v>19</v>
      </c>
      <c r="H90" s="72" t="s">
        <v>83</v>
      </c>
      <c r="I90" s="72" t="s">
        <v>2071</v>
      </c>
      <c r="J90" s="72" t="s">
        <v>2072</v>
      </c>
      <c r="K90" s="72" t="s">
        <v>2073</v>
      </c>
      <c r="L90" s="72" t="s">
        <v>2074</v>
      </c>
      <c r="M90" s="72" t="s">
        <v>2075</v>
      </c>
      <c r="N90" s="72" t="s">
        <v>2076</v>
      </c>
      <c r="O90" s="72"/>
      <c r="P90" s="72"/>
      <c r="Q90" s="72"/>
      <c r="R90" s="72"/>
      <c r="S90" s="72"/>
    </row>
    <row r="91" spans="1:19" x14ac:dyDescent="0.25">
      <c r="A91" s="72" t="s">
        <v>720</v>
      </c>
      <c r="B91" s="72" t="s">
        <v>170</v>
      </c>
      <c r="C91" s="72" t="s">
        <v>47</v>
      </c>
      <c r="D91" s="72" t="s">
        <v>284</v>
      </c>
      <c r="E91" s="72" t="s">
        <v>720</v>
      </c>
      <c r="F91" s="72" t="s">
        <v>721</v>
      </c>
      <c r="G91" s="72" t="s">
        <v>19</v>
      </c>
      <c r="H91" s="72" t="s">
        <v>87</v>
      </c>
      <c r="I91" s="72" t="s">
        <v>2071</v>
      </c>
      <c r="J91" s="72" t="s">
        <v>2072</v>
      </c>
      <c r="K91" s="72" t="s">
        <v>2077</v>
      </c>
      <c r="L91" s="72" t="s">
        <v>2078</v>
      </c>
      <c r="M91" s="72" t="s">
        <v>2079</v>
      </c>
      <c r="N91" s="72" t="s">
        <v>2080</v>
      </c>
      <c r="O91" s="72"/>
      <c r="P91" s="72"/>
      <c r="Q91" s="72"/>
      <c r="R91" s="72"/>
      <c r="S91" s="72"/>
    </row>
    <row r="92" spans="1:19" x14ac:dyDescent="0.25">
      <c r="A92" s="72" t="s">
        <v>463</v>
      </c>
      <c r="B92" s="72" t="s">
        <v>170</v>
      </c>
      <c r="C92" s="72" t="s">
        <v>96</v>
      </c>
      <c r="D92" s="72" t="s">
        <v>1219</v>
      </c>
      <c r="E92" s="72" t="s">
        <v>463</v>
      </c>
      <c r="F92" s="72" t="s">
        <v>464</v>
      </c>
      <c r="G92" s="72" t="s">
        <v>14</v>
      </c>
      <c r="H92" s="72" t="s">
        <v>1456</v>
      </c>
      <c r="I92" s="72" t="s">
        <v>1557</v>
      </c>
      <c r="J92" s="72" t="s">
        <v>2081</v>
      </c>
      <c r="K92" s="72" t="s">
        <v>2082</v>
      </c>
      <c r="L92" s="72" t="s">
        <v>2083</v>
      </c>
      <c r="M92" s="72" t="s">
        <v>2084</v>
      </c>
      <c r="N92" s="72" t="s">
        <v>2085</v>
      </c>
      <c r="O92" s="72"/>
      <c r="P92" s="72"/>
      <c r="Q92" s="72"/>
      <c r="R92" s="72"/>
      <c r="S92" s="72"/>
    </row>
    <row r="93" spans="1:19" x14ac:dyDescent="0.25">
      <c r="A93" s="72" t="s">
        <v>197</v>
      </c>
      <c r="B93" s="72" t="s">
        <v>170</v>
      </c>
      <c r="C93" s="72" t="s">
        <v>96</v>
      </c>
      <c r="D93" s="72" t="s">
        <v>144</v>
      </c>
      <c r="E93" s="72" t="s">
        <v>197</v>
      </c>
      <c r="F93" s="72" t="s">
        <v>198</v>
      </c>
      <c r="G93" s="72" t="s">
        <v>28</v>
      </c>
      <c r="H93" s="72" t="s">
        <v>79</v>
      </c>
      <c r="I93" s="72" t="s">
        <v>1132</v>
      </c>
      <c r="J93" s="72" t="s">
        <v>2086</v>
      </c>
      <c r="K93" s="72" t="s">
        <v>2087</v>
      </c>
      <c r="L93" s="72" t="s">
        <v>2088</v>
      </c>
      <c r="M93" s="72" t="s">
        <v>2089</v>
      </c>
      <c r="N93" s="72" t="s">
        <v>2090</v>
      </c>
      <c r="O93" s="72"/>
      <c r="P93" s="72"/>
      <c r="Q93" s="72"/>
      <c r="R93" s="72"/>
      <c r="S93" s="72"/>
    </row>
    <row r="94" spans="1:19" x14ac:dyDescent="0.25">
      <c r="A94" s="72" t="s">
        <v>227</v>
      </c>
      <c r="B94" s="72" t="s">
        <v>170</v>
      </c>
      <c r="C94" s="72" t="s">
        <v>47</v>
      </c>
      <c r="D94" s="72" t="s">
        <v>25</v>
      </c>
      <c r="E94" s="72" t="s">
        <v>227</v>
      </c>
      <c r="F94" s="72" t="s">
        <v>228</v>
      </c>
      <c r="G94" s="72" t="s">
        <v>28</v>
      </c>
      <c r="H94" s="72" t="s">
        <v>55</v>
      </c>
      <c r="I94" s="72" t="s">
        <v>1132</v>
      </c>
      <c r="J94" s="72" t="s">
        <v>2086</v>
      </c>
      <c r="K94" s="72" t="s">
        <v>2091</v>
      </c>
      <c r="L94" s="72" t="s">
        <v>2092</v>
      </c>
      <c r="M94" s="72" t="s">
        <v>2093</v>
      </c>
      <c r="N94" s="72" t="s">
        <v>2094</v>
      </c>
      <c r="O94" s="72"/>
      <c r="P94" s="72"/>
      <c r="Q94" s="72"/>
      <c r="R94" s="72"/>
      <c r="S94" s="72"/>
    </row>
    <row r="95" spans="1:19" x14ac:dyDescent="0.25">
      <c r="A95" s="72" t="s">
        <v>288</v>
      </c>
      <c r="B95" s="72" t="s">
        <v>66</v>
      </c>
      <c r="C95" s="72" t="s">
        <v>47</v>
      </c>
      <c r="D95" s="72" t="s">
        <v>76</v>
      </c>
      <c r="E95" s="72" t="s">
        <v>288</v>
      </c>
      <c r="F95" s="72" t="s">
        <v>289</v>
      </c>
      <c r="G95" s="72" t="s">
        <v>28</v>
      </c>
      <c r="H95" s="72" t="s">
        <v>83</v>
      </c>
      <c r="I95" s="72" t="s">
        <v>2095</v>
      </c>
      <c r="J95" s="72" t="s">
        <v>2096</v>
      </c>
      <c r="K95" s="72" t="s">
        <v>2097</v>
      </c>
      <c r="L95" s="72" t="s">
        <v>2098</v>
      </c>
      <c r="M95" s="72" t="s">
        <v>2099</v>
      </c>
      <c r="N95" s="72" t="s">
        <v>2100</v>
      </c>
      <c r="O95" s="72"/>
      <c r="P95" s="72"/>
      <c r="Q95" s="72"/>
      <c r="R95" s="72"/>
      <c r="S95" s="72"/>
    </row>
    <row r="96" spans="1:19" x14ac:dyDescent="0.25">
      <c r="A96" s="72" t="s">
        <v>270</v>
      </c>
      <c r="B96" s="72" t="s">
        <v>170</v>
      </c>
      <c r="C96" s="72" t="s">
        <v>119</v>
      </c>
      <c r="D96" s="72" t="s">
        <v>163</v>
      </c>
      <c r="E96" s="72" t="s">
        <v>270</v>
      </c>
      <c r="F96" s="72" t="s">
        <v>271</v>
      </c>
      <c r="G96" s="72" t="s">
        <v>37</v>
      </c>
      <c r="H96" s="72" t="s">
        <v>42</v>
      </c>
      <c r="I96" s="72" t="s">
        <v>1418</v>
      </c>
      <c r="J96" s="72" t="s">
        <v>2101</v>
      </c>
      <c r="K96" s="72" t="s">
        <v>2102</v>
      </c>
      <c r="L96" s="72" t="s">
        <v>2103</v>
      </c>
      <c r="M96" s="72" t="s">
        <v>1308</v>
      </c>
      <c r="N96" s="72" t="s">
        <v>1309</v>
      </c>
      <c r="O96" s="72"/>
      <c r="P96" s="72"/>
      <c r="Q96" s="72"/>
      <c r="R96" s="72"/>
      <c r="S96" s="72"/>
    </row>
    <row r="97" spans="1:19" x14ac:dyDescent="0.25">
      <c r="A97" s="72" t="s">
        <v>171</v>
      </c>
      <c r="B97" s="72" t="s">
        <v>170</v>
      </c>
      <c r="C97" s="72" t="s">
        <v>128</v>
      </c>
      <c r="D97" s="72" t="s">
        <v>129</v>
      </c>
      <c r="E97" s="72" t="s">
        <v>171</v>
      </c>
      <c r="F97" s="72" t="s">
        <v>172</v>
      </c>
      <c r="G97" s="72" t="s">
        <v>37</v>
      </c>
      <c r="H97" s="72" t="s">
        <v>42</v>
      </c>
      <c r="I97" s="72" t="s">
        <v>1576</v>
      </c>
      <c r="J97" s="72" t="s">
        <v>1857</v>
      </c>
      <c r="K97" s="72" t="s">
        <v>2104</v>
      </c>
      <c r="L97" s="72" t="s">
        <v>2105</v>
      </c>
      <c r="M97" s="72" t="s">
        <v>1318</v>
      </c>
      <c r="N97" s="72" t="s">
        <v>1319</v>
      </c>
      <c r="O97" s="72"/>
      <c r="P97" s="72"/>
      <c r="Q97" s="72"/>
      <c r="R97" s="72"/>
      <c r="S97" s="72"/>
    </row>
    <row r="98" spans="1:19" x14ac:dyDescent="0.25">
      <c r="A98" s="72" t="s">
        <v>272</v>
      </c>
      <c r="B98" s="72" t="s">
        <v>170</v>
      </c>
      <c r="C98" s="72" t="s">
        <v>119</v>
      </c>
      <c r="D98" s="72" t="s">
        <v>34</v>
      </c>
      <c r="E98" s="72" t="s">
        <v>272</v>
      </c>
      <c r="F98" s="72" t="s">
        <v>273</v>
      </c>
      <c r="G98" s="72" t="s">
        <v>37</v>
      </c>
      <c r="H98" s="72" t="s">
        <v>38</v>
      </c>
      <c r="I98" s="72" t="s">
        <v>1862</v>
      </c>
      <c r="J98" s="72" t="s">
        <v>1863</v>
      </c>
      <c r="K98" s="72" t="s">
        <v>2106</v>
      </c>
      <c r="L98" s="72" t="s">
        <v>2107</v>
      </c>
      <c r="M98" s="72" t="s">
        <v>1327</v>
      </c>
      <c r="N98" s="72" t="s">
        <v>1328</v>
      </c>
      <c r="O98" s="72"/>
      <c r="P98" s="72"/>
      <c r="Q98" s="72"/>
      <c r="R98" s="72"/>
      <c r="S98" s="72"/>
    </row>
    <row r="99" spans="1:19" x14ac:dyDescent="0.25">
      <c r="A99" s="72" t="s">
        <v>302</v>
      </c>
      <c r="B99" s="72" t="s">
        <v>170</v>
      </c>
      <c r="C99" s="72" t="s">
        <v>177</v>
      </c>
      <c r="D99" s="72" t="s">
        <v>180</v>
      </c>
      <c r="E99" s="72" t="s">
        <v>302</v>
      </c>
      <c r="F99" s="72" t="s">
        <v>303</v>
      </c>
      <c r="G99" s="72" t="s">
        <v>37</v>
      </c>
      <c r="H99" s="72" t="s">
        <v>38</v>
      </c>
      <c r="I99" s="72" t="s">
        <v>1862</v>
      </c>
      <c r="J99" s="72" t="s">
        <v>1863</v>
      </c>
      <c r="K99" s="72" t="s">
        <v>2108</v>
      </c>
      <c r="L99" s="72" t="s">
        <v>2109</v>
      </c>
      <c r="M99" s="72" t="s">
        <v>1329</v>
      </c>
      <c r="N99" s="72" t="s">
        <v>1330</v>
      </c>
      <c r="O99" s="72"/>
      <c r="P99" s="72"/>
      <c r="Q99" s="72"/>
      <c r="R99" s="72"/>
      <c r="S99" s="72"/>
    </row>
    <row r="100" spans="1:19" x14ac:dyDescent="0.25">
      <c r="A100" s="72" t="s">
        <v>725</v>
      </c>
      <c r="B100" s="72" t="s">
        <v>66</v>
      </c>
      <c r="C100" s="72" t="s">
        <v>10</v>
      </c>
      <c r="D100" s="72" t="s">
        <v>724</v>
      </c>
      <c r="E100" s="72" t="s">
        <v>725</v>
      </c>
      <c r="F100" s="72" t="s">
        <v>726</v>
      </c>
      <c r="G100" s="72" t="s">
        <v>28</v>
      </c>
      <c r="H100" s="72" t="s">
        <v>79</v>
      </c>
      <c r="I100" s="72" t="s">
        <v>2095</v>
      </c>
      <c r="J100" s="72" t="s">
        <v>2096</v>
      </c>
      <c r="K100" s="72" t="s">
        <v>2110</v>
      </c>
      <c r="L100" s="72" t="s">
        <v>2111</v>
      </c>
      <c r="M100" s="72" t="s">
        <v>2112</v>
      </c>
      <c r="N100" s="72" t="s">
        <v>2113</v>
      </c>
      <c r="O100" s="72"/>
      <c r="P100" s="72"/>
      <c r="Q100" s="72"/>
      <c r="R100" s="72"/>
      <c r="S100" s="72"/>
    </row>
    <row r="101" spans="1:19" x14ac:dyDescent="0.25">
      <c r="A101" s="72" t="s">
        <v>295</v>
      </c>
      <c r="B101" s="72" t="s">
        <v>170</v>
      </c>
      <c r="C101" s="72" t="s">
        <v>119</v>
      </c>
      <c r="D101" s="72" t="s">
        <v>133</v>
      </c>
      <c r="E101" s="72" t="s">
        <v>295</v>
      </c>
      <c r="F101" s="72" t="s">
        <v>296</v>
      </c>
      <c r="G101" s="72" t="s">
        <v>37</v>
      </c>
      <c r="H101" s="72" t="s">
        <v>132</v>
      </c>
      <c r="I101" s="72" t="s">
        <v>1849</v>
      </c>
      <c r="J101" s="72" t="s">
        <v>1850</v>
      </c>
      <c r="K101" s="72" t="s">
        <v>2114</v>
      </c>
      <c r="L101" s="72" t="s">
        <v>2115</v>
      </c>
      <c r="M101" s="72" t="s">
        <v>1333</v>
      </c>
      <c r="N101" s="72" t="s">
        <v>1334</v>
      </c>
      <c r="O101" s="72"/>
      <c r="P101" s="72"/>
      <c r="Q101" s="72"/>
      <c r="R101" s="72"/>
      <c r="S101" s="72"/>
    </row>
    <row r="102" spans="1:19" x14ac:dyDescent="0.25">
      <c r="A102" s="72" t="s">
        <v>304</v>
      </c>
      <c r="B102" s="72" t="s">
        <v>170</v>
      </c>
      <c r="C102" s="72" t="s">
        <v>177</v>
      </c>
      <c r="D102" s="72" t="s">
        <v>160</v>
      </c>
      <c r="E102" s="72" t="s">
        <v>304</v>
      </c>
      <c r="F102" s="72" t="s">
        <v>305</v>
      </c>
      <c r="G102" s="72" t="s">
        <v>37</v>
      </c>
      <c r="H102" s="72" t="s">
        <v>136</v>
      </c>
      <c r="I102" s="72" t="s">
        <v>1413</v>
      </c>
      <c r="J102" s="72" t="s">
        <v>2116</v>
      </c>
      <c r="K102" s="72" t="s">
        <v>2117</v>
      </c>
      <c r="L102" s="72" t="s">
        <v>2118</v>
      </c>
      <c r="M102" s="72" t="s">
        <v>1335</v>
      </c>
      <c r="N102" s="72" t="s">
        <v>1336</v>
      </c>
      <c r="O102" s="72"/>
      <c r="P102" s="72"/>
      <c r="Q102" s="72"/>
      <c r="R102" s="72"/>
      <c r="S102" s="72"/>
    </row>
    <row r="103" spans="1:19" x14ac:dyDescent="0.25">
      <c r="A103" s="72" t="s">
        <v>201</v>
      </c>
      <c r="B103" s="72" t="s">
        <v>170</v>
      </c>
      <c r="C103" s="72" t="s">
        <v>10</v>
      </c>
      <c r="D103" s="72" t="s">
        <v>163</v>
      </c>
      <c r="E103" s="72" t="s">
        <v>201</v>
      </c>
      <c r="F103" s="72" t="s">
        <v>202</v>
      </c>
      <c r="G103" s="72" t="s">
        <v>37</v>
      </c>
      <c r="H103" s="72" t="s">
        <v>42</v>
      </c>
      <c r="I103" s="72" t="s">
        <v>1580</v>
      </c>
      <c r="J103" s="72" t="s">
        <v>1885</v>
      </c>
      <c r="K103" s="72" t="s">
        <v>2119</v>
      </c>
      <c r="L103" s="72" t="s">
        <v>2120</v>
      </c>
      <c r="M103" s="72" t="s">
        <v>1343</v>
      </c>
      <c r="N103" s="72" t="s">
        <v>1344</v>
      </c>
      <c r="O103" s="72"/>
      <c r="P103" s="72"/>
      <c r="Q103" s="72"/>
      <c r="R103" s="72"/>
      <c r="S103" s="72"/>
    </row>
    <row r="104" spans="1:19" x14ac:dyDescent="0.25">
      <c r="A104" s="72" t="s">
        <v>35</v>
      </c>
      <c r="B104" s="72" t="s">
        <v>170</v>
      </c>
      <c r="C104" s="72" t="s">
        <v>128</v>
      </c>
      <c r="D104" s="72" t="s">
        <v>34</v>
      </c>
      <c r="E104" s="72" t="s">
        <v>35</v>
      </c>
      <c r="F104" s="72" t="s">
        <v>36</v>
      </c>
      <c r="G104" s="72" t="s">
        <v>37</v>
      </c>
      <c r="H104" s="72" t="s">
        <v>123</v>
      </c>
      <c r="I104" s="72" t="s">
        <v>1580</v>
      </c>
      <c r="J104" s="72" t="s">
        <v>1885</v>
      </c>
      <c r="K104" s="72" t="s">
        <v>2121</v>
      </c>
      <c r="L104" s="72" t="s">
        <v>2122</v>
      </c>
      <c r="M104" s="72" t="s">
        <v>1345</v>
      </c>
      <c r="N104" s="72" t="s">
        <v>1340</v>
      </c>
      <c r="O104" s="72"/>
      <c r="P104" s="72"/>
      <c r="Q104" s="72"/>
      <c r="R104" s="72"/>
      <c r="S104" s="72"/>
    </row>
    <row r="105" spans="1:19" x14ac:dyDescent="0.25">
      <c r="A105" s="72" t="s">
        <v>203</v>
      </c>
      <c r="B105" s="72" t="s">
        <v>170</v>
      </c>
      <c r="C105" s="72" t="s">
        <v>10</v>
      </c>
      <c r="D105" s="72" t="s">
        <v>34</v>
      </c>
      <c r="E105" s="72" t="s">
        <v>203</v>
      </c>
      <c r="F105" s="72" t="s">
        <v>204</v>
      </c>
      <c r="G105" s="72" t="s">
        <v>37</v>
      </c>
      <c r="H105" s="72" t="s">
        <v>38</v>
      </c>
      <c r="I105" s="72" t="s">
        <v>1582</v>
      </c>
      <c r="J105" s="72" t="s">
        <v>1895</v>
      </c>
      <c r="K105" s="72" t="s">
        <v>2123</v>
      </c>
      <c r="L105" s="72" t="s">
        <v>2124</v>
      </c>
      <c r="M105" s="72" t="s">
        <v>1359</v>
      </c>
      <c r="N105" s="72" t="s">
        <v>1360</v>
      </c>
      <c r="O105" s="72"/>
      <c r="P105" s="72"/>
      <c r="Q105" s="72"/>
      <c r="R105" s="72"/>
      <c r="S105" s="72"/>
    </row>
    <row r="106" spans="1:19" x14ac:dyDescent="0.25">
      <c r="A106" s="72" t="s">
        <v>306</v>
      </c>
      <c r="B106" s="72" t="s">
        <v>170</v>
      </c>
      <c r="C106" s="72" t="s">
        <v>177</v>
      </c>
      <c r="D106" s="72" t="s">
        <v>39</v>
      </c>
      <c r="E106" s="72" t="s">
        <v>306</v>
      </c>
      <c r="F106" s="72" t="s">
        <v>307</v>
      </c>
      <c r="G106" s="72" t="s">
        <v>37</v>
      </c>
      <c r="H106" s="72" t="s">
        <v>308</v>
      </c>
      <c r="I106" s="72" t="s">
        <v>1582</v>
      </c>
      <c r="J106" s="72" t="s">
        <v>1895</v>
      </c>
      <c r="K106" s="72" t="s">
        <v>2125</v>
      </c>
      <c r="L106" s="72" t="s">
        <v>2126</v>
      </c>
      <c r="M106" s="72" t="s">
        <v>1361</v>
      </c>
      <c r="N106" s="72" t="s">
        <v>1362</v>
      </c>
      <c r="O106" s="72"/>
      <c r="P106" s="72"/>
      <c r="Q106" s="72"/>
      <c r="R106" s="72"/>
      <c r="S106" s="72"/>
    </row>
    <row r="107" spans="1:19" x14ac:dyDescent="0.25">
      <c r="A107" s="72" t="s">
        <v>274</v>
      </c>
      <c r="B107" s="72" t="s">
        <v>170</v>
      </c>
      <c r="C107" s="72" t="s">
        <v>119</v>
      </c>
      <c r="D107" s="72" t="s">
        <v>180</v>
      </c>
      <c r="E107" s="72" t="s">
        <v>274</v>
      </c>
      <c r="F107" s="72" t="s">
        <v>275</v>
      </c>
      <c r="G107" s="72" t="s">
        <v>37</v>
      </c>
      <c r="H107" s="72" t="s">
        <v>123</v>
      </c>
      <c r="I107" s="72" t="s">
        <v>1583</v>
      </c>
      <c r="J107" s="72" t="s">
        <v>2127</v>
      </c>
      <c r="K107" s="72" t="s">
        <v>2128</v>
      </c>
      <c r="L107" s="72" t="s">
        <v>2129</v>
      </c>
      <c r="M107" s="72" t="s">
        <v>1366</v>
      </c>
      <c r="N107" s="72" t="s">
        <v>1367</v>
      </c>
      <c r="O107" s="72"/>
      <c r="P107" s="72"/>
      <c r="Q107" s="72"/>
      <c r="R107" s="72"/>
      <c r="S107" s="72"/>
    </row>
    <row r="108" spans="1:19" x14ac:dyDescent="0.25">
      <c r="A108" s="72" t="s">
        <v>309</v>
      </c>
      <c r="B108" s="72" t="s">
        <v>170</v>
      </c>
      <c r="C108" s="72" t="s">
        <v>10</v>
      </c>
      <c r="D108" s="72" t="s">
        <v>129</v>
      </c>
      <c r="E108" s="72" t="s">
        <v>309</v>
      </c>
      <c r="F108" s="72" t="s">
        <v>310</v>
      </c>
      <c r="G108" s="72" t="s">
        <v>37</v>
      </c>
      <c r="H108" s="72" t="s">
        <v>311</v>
      </c>
      <c r="I108" s="72" t="s">
        <v>1583</v>
      </c>
      <c r="J108" s="72" t="s">
        <v>2127</v>
      </c>
      <c r="K108" s="72" t="s">
        <v>2130</v>
      </c>
      <c r="L108" s="72" t="s">
        <v>2131</v>
      </c>
      <c r="M108" s="72" t="s">
        <v>1370</v>
      </c>
      <c r="N108" s="72" t="s">
        <v>1371</v>
      </c>
      <c r="O108" s="72"/>
      <c r="P108" s="72"/>
      <c r="Q108" s="72"/>
      <c r="R108" s="72"/>
      <c r="S108" s="72"/>
    </row>
    <row r="109" spans="1:19" x14ac:dyDescent="0.25">
      <c r="A109" s="72" t="s">
        <v>199</v>
      </c>
      <c r="B109" s="72" t="s">
        <v>170</v>
      </c>
      <c r="C109" s="72" t="s">
        <v>10</v>
      </c>
      <c r="D109" s="72" t="s">
        <v>160</v>
      </c>
      <c r="E109" s="72" t="s">
        <v>199</v>
      </c>
      <c r="F109" s="72" t="s">
        <v>200</v>
      </c>
      <c r="G109" s="72" t="s">
        <v>37</v>
      </c>
      <c r="H109" s="72" t="s">
        <v>136</v>
      </c>
      <c r="I109" s="72" t="s">
        <v>1584</v>
      </c>
      <c r="J109" s="72" t="s">
        <v>1898</v>
      </c>
      <c r="K109" s="72" t="s">
        <v>2132</v>
      </c>
      <c r="L109" s="72" t="s">
        <v>2133</v>
      </c>
      <c r="M109" s="72" t="s">
        <v>1379</v>
      </c>
      <c r="N109" s="72" t="s">
        <v>1380</v>
      </c>
      <c r="O109" s="72"/>
      <c r="P109" s="72"/>
      <c r="Q109" s="72"/>
      <c r="R109" s="72"/>
      <c r="S109" s="72"/>
    </row>
    <row r="110" spans="1:19" x14ac:dyDescent="0.25">
      <c r="A110" s="72" t="s">
        <v>175</v>
      </c>
      <c r="B110" s="72" t="s">
        <v>170</v>
      </c>
      <c r="C110" s="72" t="s">
        <v>128</v>
      </c>
      <c r="D110" s="72" t="s">
        <v>39</v>
      </c>
      <c r="E110" s="72" t="s">
        <v>175</v>
      </c>
      <c r="F110" s="72" t="s">
        <v>176</v>
      </c>
      <c r="G110" s="72" t="s">
        <v>37</v>
      </c>
      <c r="H110" s="72" t="s">
        <v>38</v>
      </c>
      <c r="I110" s="72" t="s">
        <v>1584</v>
      </c>
      <c r="J110" s="72" t="s">
        <v>1898</v>
      </c>
      <c r="K110" s="72" t="s">
        <v>2134</v>
      </c>
      <c r="L110" s="72" t="s">
        <v>2135</v>
      </c>
      <c r="M110" s="72" t="s">
        <v>1381</v>
      </c>
      <c r="N110" s="72" t="s">
        <v>1378</v>
      </c>
      <c r="O110" s="72"/>
      <c r="P110" s="72"/>
      <c r="Q110" s="72"/>
      <c r="R110" s="72"/>
      <c r="S110" s="72"/>
    </row>
    <row r="111" spans="1:19" x14ac:dyDescent="0.25">
      <c r="A111" s="72" t="s">
        <v>134</v>
      </c>
      <c r="B111" s="72" t="s">
        <v>170</v>
      </c>
      <c r="C111" s="72" t="s">
        <v>177</v>
      </c>
      <c r="D111" s="72" t="s">
        <v>133</v>
      </c>
      <c r="E111" s="72" t="s">
        <v>134</v>
      </c>
      <c r="F111" s="72" t="s">
        <v>135</v>
      </c>
      <c r="G111" s="72" t="s">
        <v>37</v>
      </c>
      <c r="H111" s="72" t="s">
        <v>132</v>
      </c>
      <c r="I111" s="72" t="s">
        <v>1584</v>
      </c>
      <c r="J111" s="72" t="s">
        <v>1898</v>
      </c>
      <c r="K111" s="72" t="s">
        <v>2136</v>
      </c>
      <c r="L111" s="72" t="s">
        <v>2137</v>
      </c>
      <c r="M111" s="72" t="s">
        <v>1382</v>
      </c>
      <c r="N111" s="72" t="s">
        <v>1376</v>
      </c>
      <c r="O111" s="72"/>
      <c r="P111" s="72"/>
      <c r="Q111" s="72"/>
      <c r="R111" s="72"/>
      <c r="S111" s="72"/>
    </row>
    <row r="112" spans="1:19" x14ac:dyDescent="0.25">
      <c r="A112" s="72" t="s">
        <v>505</v>
      </c>
      <c r="B112" s="72" t="s">
        <v>170</v>
      </c>
      <c r="C112" s="72" t="s">
        <v>47</v>
      </c>
      <c r="D112" s="72" t="s">
        <v>504</v>
      </c>
      <c r="E112" s="72" t="s">
        <v>505</v>
      </c>
      <c r="F112" s="72" t="s">
        <v>506</v>
      </c>
      <c r="G112" s="72" t="s">
        <v>28</v>
      </c>
      <c r="H112" s="72" t="s">
        <v>507</v>
      </c>
      <c r="I112" s="72" t="s">
        <v>1601</v>
      </c>
      <c r="J112" s="72" t="s">
        <v>2138</v>
      </c>
      <c r="K112" s="72" t="s">
        <v>2139</v>
      </c>
      <c r="L112" s="72" t="s">
        <v>2140</v>
      </c>
      <c r="M112" s="72" t="s">
        <v>2141</v>
      </c>
      <c r="N112" s="72" t="s">
        <v>2142</v>
      </c>
      <c r="O112" s="72"/>
      <c r="P112" s="72"/>
      <c r="Q112" s="72"/>
      <c r="R112" s="72"/>
      <c r="S112" s="72"/>
    </row>
    <row r="113" spans="1:19" x14ac:dyDescent="0.25">
      <c r="A113" s="72" t="s">
        <v>12</v>
      </c>
      <c r="B113" s="72" t="s">
        <v>170</v>
      </c>
      <c r="C113" s="72" t="s">
        <v>10</v>
      </c>
      <c r="D113" s="72" t="s">
        <v>11</v>
      </c>
      <c r="E113" s="72" t="s">
        <v>12</v>
      </c>
      <c r="F113" s="72" t="s">
        <v>13</v>
      </c>
      <c r="G113" s="72" t="s">
        <v>14</v>
      </c>
      <c r="H113" s="72" t="s">
        <v>91</v>
      </c>
      <c r="I113" s="72" t="s">
        <v>1602</v>
      </c>
      <c r="J113" s="72" t="s">
        <v>2143</v>
      </c>
      <c r="K113" s="72" t="s">
        <v>2144</v>
      </c>
      <c r="L113" s="72" t="s">
        <v>2145</v>
      </c>
      <c r="M113" s="72" t="s">
        <v>2146</v>
      </c>
      <c r="N113" s="72" t="s">
        <v>2147</v>
      </c>
      <c r="O113" s="72"/>
      <c r="P113" s="72"/>
      <c r="Q113" s="72"/>
      <c r="R113" s="72"/>
      <c r="S113" s="72"/>
    </row>
    <row r="114" spans="1:19" x14ac:dyDescent="0.25">
      <c r="A114" s="72" t="s">
        <v>230</v>
      </c>
      <c r="B114" s="72" t="s">
        <v>170</v>
      </c>
      <c r="C114" s="72" t="s">
        <v>47</v>
      </c>
      <c r="D114" s="72" t="s">
        <v>229</v>
      </c>
      <c r="E114" s="72" t="s">
        <v>230</v>
      </c>
      <c r="F114" s="72" t="s">
        <v>231</v>
      </c>
      <c r="G114" s="72" t="s">
        <v>19</v>
      </c>
      <c r="H114" s="72" t="s">
        <v>24</v>
      </c>
      <c r="I114" s="72" t="s">
        <v>2148</v>
      </c>
      <c r="J114" s="72" t="s">
        <v>2149</v>
      </c>
      <c r="K114" s="72" t="s">
        <v>2150</v>
      </c>
      <c r="L114" s="72" t="s">
        <v>2151</v>
      </c>
      <c r="M114" s="72" t="s">
        <v>2152</v>
      </c>
      <c r="N114" s="72" t="s">
        <v>2153</v>
      </c>
      <c r="O114" s="72"/>
      <c r="P114" s="72"/>
      <c r="Q114" s="72"/>
      <c r="R114" s="72"/>
      <c r="S114" s="72"/>
    </row>
    <row r="115" spans="1:19" x14ac:dyDescent="0.25">
      <c r="A115" s="72" t="s">
        <v>451</v>
      </c>
      <c r="B115" s="72" t="s">
        <v>170</v>
      </c>
      <c r="C115" s="72" t="s">
        <v>96</v>
      </c>
      <c r="D115" s="72" t="s">
        <v>106</v>
      </c>
      <c r="E115" s="72" t="s">
        <v>451</v>
      </c>
      <c r="F115" s="72" t="s">
        <v>452</v>
      </c>
      <c r="G115" s="72" t="s">
        <v>28</v>
      </c>
      <c r="H115" s="72" t="s">
        <v>87</v>
      </c>
      <c r="I115" s="72" t="s">
        <v>1560</v>
      </c>
      <c r="J115" s="72" t="s">
        <v>2154</v>
      </c>
      <c r="K115" s="72" t="s">
        <v>2155</v>
      </c>
      <c r="L115" s="72" t="s">
        <v>2156</v>
      </c>
      <c r="M115" s="72" t="s">
        <v>2157</v>
      </c>
      <c r="N115" s="72" t="s">
        <v>2158</v>
      </c>
      <c r="O115" s="72"/>
      <c r="P115" s="72"/>
      <c r="Q115" s="72"/>
      <c r="R115" s="72"/>
      <c r="S115" s="72"/>
    </row>
    <row r="116" spans="1:19" x14ac:dyDescent="0.25">
      <c r="A116" s="72" t="s">
        <v>1488</v>
      </c>
      <c r="B116" s="72" t="s">
        <v>170</v>
      </c>
      <c r="C116" s="72" t="s">
        <v>10</v>
      </c>
      <c r="D116" s="72" t="s">
        <v>471</v>
      </c>
      <c r="E116" s="72" t="s">
        <v>1488</v>
      </c>
      <c r="F116" s="72" t="s">
        <v>207</v>
      </c>
      <c r="G116" s="72" t="s">
        <v>28</v>
      </c>
      <c r="H116" s="72" t="s">
        <v>237</v>
      </c>
      <c r="I116" s="72" t="s">
        <v>1546</v>
      </c>
      <c r="J116" s="72" t="s">
        <v>1980</v>
      </c>
      <c r="K116" s="72" t="s">
        <v>2159</v>
      </c>
      <c r="L116" s="72" t="s">
        <v>2160</v>
      </c>
      <c r="M116" s="72" t="s">
        <v>2161</v>
      </c>
      <c r="N116" s="72" t="s">
        <v>2162</v>
      </c>
      <c r="O116" s="72"/>
      <c r="P116" s="72"/>
      <c r="Q116" s="72"/>
      <c r="R116" s="72"/>
      <c r="S116" s="72"/>
    </row>
    <row r="117" spans="1:19" x14ac:dyDescent="0.25">
      <c r="A117" s="72" t="s">
        <v>490</v>
      </c>
      <c r="B117" s="72" t="s">
        <v>170</v>
      </c>
      <c r="C117" s="72" t="s">
        <v>47</v>
      </c>
      <c r="D117" s="72" t="s">
        <v>1660</v>
      </c>
      <c r="E117" s="72" t="s">
        <v>490</v>
      </c>
      <c r="F117" s="72" t="s">
        <v>491</v>
      </c>
      <c r="G117" s="72" t="s">
        <v>14</v>
      </c>
      <c r="H117" s="72" t="s">
        <v>1460</v>
      </c>
      <c r="I117" s="72" t="s">
        <v>1919</v>
      </c>
      <c r="J117" s="72" t="s">
        <v>1920</v>
      </c>
      <c r="K117" s="72" t="s">
        <v>2163</v>
      </c>
      <c r="L117" s="72" t="s">
        <v>2164</v>
      </c>
      <c r="M117" s="72" t="s">
        <v>2165</v>
      </c>
      <c r="N117" s="72" t="s">
        <v>2166</v>
      </c>
      <c r="O117" s="72"/>
      <c r="P117" s="72"/>
      <c r="Q117" s="72"/>
      <c r="R117" s="72"/>
      <c r="S117" s="72"/>
    </row>
    <row r="118" spans="1:19" x14ac:dyDescent="0.25">
      <c r="A118" s="72" t="s">
        <v>232</v>
      </c>
      <c r="B118" s="72" t="s">
        <v>170</v>
      </c>
      <c r="C118" s="72" t="s">
        <v>47</v>
      </c>
      <c r="D118" s="72" t="s">
        <v>1175</v>
      </c>
      <c r="E118" s="72" t="s">
        <v>232</v>
      </c>
      <c r="F118" s="72" t="s">
        <v>233</v>
      </c>
      <c r="G118" s="72" t="s">
        <v>14</v>
      </c>
      <c r="H118" s="72" t="s">
        <v>33</v>
      </c>
      <c r="I118" s="72" t="s">
        <v>1591</v>
      </c>
      <c r="J118" s="72" t="s">
        <v>2167</v>
      </c>
      <c r="K118" s="72" t="s">
        <v>2168</v>
      </c>
      <c r="L118" s="72" t="s">
        <v>2169</v>
      </c>
      <c r="M118" s="72" t="s">
        <v>2170</v>
      </c>
      <c r="N118" s="72" t="s">
        <v>2171</v>
      </c>
      <c r="O118" s="72"/>
      <c r="P118" s="72"/>
      <c r="Q118" s="72"/>
      <c r="R118" s="72"/>
      <c r="S118" s="72"/>
    </row>
    <row r="119" spans="1:19" x14ac:dyDescent="0.25">
      <c r="A119" s="72" t="s">
        <v>232</v>
      </c>
      <c r="B119" s="72" t="s">
        <v>170</v>
      </c>
      <c r="C119" s="72" t="s">
        <v>96</v>
      </c>
      <c r="D119" s="72" t="s">
        <v>1246</v>
      </c>
      <c r="E119" s="72" t="s">
        <v>232</v>
      </c>
      <c r="F119" s="72" t="s">
        <v>233</v>
      </c>
      <c r="G119" s="72" t="s">
        <v>14</v>
      </c>
      <c r="H119" s="72" t="s">
        <v>33</v>
      </c>
      <c r="I119" s="72" t="s">
        <v>1591</v>
      </c>
      <c r="J119" s="72" t="s">
        <v>2167</v>
      </c>
      <c r="K119" s="72" t="s">
        <v>2172</v>
      </c>
      <c r="L119" s="72" t="s">
        <v>2173</v>
      </c>
      <c r="M119" s="72" t="s">
        <v>2174</v>
      </c>
      <c r="N119" s="72" t="s">
        <v>2171</v>
      </c>
      <c r="O119" s="72"/>
      <c r="P119" s="72"/>
      <c r="Q119" s="72"/>
      <c r="R119" s="72"/>
      <c r="S119" s="72"/>
    </row>
    <row r="120" spans="1:19" x14ac:dyDescent="0.25">
      <c r="A120" s="72" t="s">
        <v>291</v>
      </c>
      <c r="B120" s="72" t="s">
        <v>170</v>
      </c>
      <c r="C120" s="72" t="s">
        <v>140</v>
      </c>
      <c r="D120" s="72" t="s">
        <v>1247</v>
      </c>
      <c r="E120" s="72" t="s">
        <v>291</v>
      </c>
      <c r="F120" s="72" t="s">
        <v>292</v>
      </c>
      <c r="G120" s="72" t="s">
        <v>14</v>
      </c>
      <c r="H120" s="72" t="s">
        <v>33</v>
      </c>
      <c r="I120" s="72" t="s">
        <v>1591</v>
      </c>
      <c r="J120" s="72" t="s">
        <v>2167</v>
      </c>
      <c r="K120" s="72" t="s">
        <v>2175</v>
      </c>
      <c r="L120" s="72" t="s">
        <v>2176</v>
      </c>
      <c r="M120" s="72" t="s">
        <v>2177</v>
      </c>
      <c r="N120" s="72" t="s">
        <v>2178</v>
      </c>
      <c r="O120" s="72"/>
      <c r="P120" s="72"/>
      <c r="Q120" s="72"/>
      <c r="R120" s="72"/>
      <c r="S120" s="72"/>
    </row>
    <row r="121" spans="1:19" x14ac:dyDescent="0.25">
      <c r="A121" s="72" t="s">
        <v>691</v>
      </c>
      <c r="B121" s="72" t="s">
        <v>170</v>
      </c>
      <c r="C121" s="72" t="s">
        <v>96</v>
      </c>
      <c r="D121" s="72" t="s">
        <v>229</v>
      </c>
      <c r="E121" s="72" t="s">
        <v>691</v>
      </c>
      <c r="F121" s="72" t="s">
        <v>692</v>
      </c>
      <c r="G121" s="72" t="s">
        <v>19</v>
      </c>
      <c r="H121" s="72" t="s">
        <v>55</v>
      </c>
      <c r="I121" s="72" t="s">
        <v>1782</v>
      </c>
      <c r="J121" s="72" t="s">
        <v>1783</v>
      </c>
      <c r="K121" s="72" t="s">
        <v>2179</v>
      </c>
      <c r="L121" s="72" t="s">
        <v>2180</v>
      </c>
      <c r="M121" s="72" t="s">
        <v>2181</v>
      </c>
      <c r="N121" s="72" t="s">
        <v>2182</v>
      </c>
      <c r="O121" s="72"/>
      <c r="P121" s="72"/>
      <c r="Q121" s="72"/>
      <c r="R121" s="72"/>
      <c r="S121" s="72"/>
    </row>
    <row r="122" spans="1:19" x14ac:dyDescent="0.25">
      <c r="A122" s="72" t="s">
        <v>1490</v>
      </c>
      <c r="B122" s="72" t="s">
        <v>170</v>
      </c>
      <c r="C122" s="72" t="s">
        <v>47</v>
      </c>
      <c r="D122" s="72" t="s">
        <v>1489</v>
      </c>
      <c r="E122" s="72" t="s">
        <v>1490</v>
      </c>
      <c r="F122" s="72" t="s">
        <v>384</v>
      </c>
      <c r="G122" s="72" t="s">
        <v>28</v>
      </c>
      <c r="H122" s="72" t="s">
        <v>287</v>
      </c>
      <c r="I122" s="72" t="s">
        <v>1717</v>
      </c>
      <c r="J122" s="72" t="s">
        <v>1718</v>
      </c>
      <c r="K122" s="72" t="s">
        <v>2183</v>
      </c>
      <c r="L122" s="72" t="s">
        <v>2184</v>
      </c>
      <c r="M122" s="72" t="s">
        <v>2185</v>
      </c>
      <c r="N122" s="72" t="s">
        <v>2186</v>
      </c>
      <c r="O122" s="72"/>
      <c r="P122" s="72"/>
      <c r="Q122" s="72"/>
      <c r="R122" s="72"/>
      <c r="S122" s="72"/>
    </row>
    <row r="123" spans="1:19" x14ac:dyDescent="0.25">
      <c r="A123" s="72" t="s">
        <v>399</v>
      </c>
      <c r="B123" s="72" t="s">
        <v>170</v>
      </c>
      <c r="C123" s="72" t="s">
        <v>96</v>
      </c>
      <c r="D123" s="72" t="s">
        <v>281</v>
      </c>
      <c r="E123" s="72" t="s">
        <v>399</v>
      </c>
      <c r="F123" s="72" t="s">
        <v>400</v>
      </c>
      <c r="G123" s="72" t="s">
        <v>14</v>
      </c>
      <c r="H123" s="72" t="s">
        <v>1458</v>
      </c>
      <c r="I123" s="72" t="s">
        <v>2187</v>
      </c>
      <c r="J123" s="72" t="s">
        <v>2188</v>
      </c>
      <c r="K123" s="72" t="s">
        <v>2189</v>
      </c>
      <c r="L123" s="72" t="s">
        <v>2190</v>
      </c>
      <c r="M123" s="72" t="s">
        <v>2191</v>
      </c>
      <c r="N123" s="72" t="s">
        <v>2192</v>
      </c>
      <c r="O123" s="72"/>
      <c r="P123" s="72"/>
      <c r="Q123" s="72"/>
      <c r="R123" s="72"/>
      <c r="S123" s="72"/>
    </row>
    <row r="124" spans="1:19" x14ac:dyDescent="0.25">
      <c r="A124" s="72" t="s">
        <v>1252</v>
      </c>
      <c r="B124" s="72" t="s">
        <v>170</v>
      </c>
      <c r="C124" s="72" t="s">
        <v>47</v>
      </c>
      <c r="D124" s="72" t="s">
        <v>276</v>
      </c>
      <c r="E124" s="72" t="s">
        <v>1252</v>
      </c>
      <c r="F124" s="72" t="s">
        <v>1491</v>
      </c>
      <c r="G124" s="72" t="s">
        <v>19</v>
      </c>
      <c r="H124" s="72" t="s">
        <v>83</v>
      </c>
      <c r="I124" s="72" t="s">
        <v>1564</v>
      </c>
      <c r="J124" s="72" t="s">
        <v>2036</v>
      </c>
      <c r="K124" s="72" t="s">
        <v>2193</v>
      </c>
      <c r="L124" s="72" t="s">
        <v>2194</v>
      </c>
      <c r="M124" s="72" t="s">
        <v>2195</v>
      </c>
      <c r="N124" s="72" t="s">
        <v>2196</v>
      </c>
      <c r="O124" s="72"/>
      <c r="P124" s="72"/>
      <c r="Q124" s="72"/>
      <c r="R124" s="72"/>
      <c r="S124" s="72"/>
    </row>
    <row r="125" spans="1:19" x14ac:dyDescent="0.25">
      <c r="A125" s="72" t="s">
        <v>1422</v>
      </c>
      <c r="B125" s="72" t="s">
        <v>170</v>
      </c>
      <c r="C125" s="72" t="s">
        <v>128</v>
      </c>
      <c r="D125" s="72" t="s">
        <v>1421</v>
      </c>
      <c r="E125" s="72" t="s">
        <v>1422</v>
      </c>
      <c r="F125" s="72" t="s">
        <v>1423</v>
      </c>
      <c r="G125" s="72" t="s">
        <v>37</v>
      </c>
      <c r="H125" s="72" t="s">
        <v>120</v>
      </c>
      <c r="I125" s="72" t="s">
        <v>1424</v>
      </c>
      <c r="J125" s="72" t="s">
        <v>1903</v>
      </c>
      <c r="K125" s="72" t="s">
        <v>2197</v>
      </c>
      <c r="L125" s="72" t="s">
        <v>2198</v>
      </c>
      <c r="M125" s="72" t="s">
        <v>2199</v>
      </c>
      <c r="N125" s="72" t="s">
        <v>2200</v>
      </c>
      <c r="O125" s="72"/>
      <c r="P125" s="72"/>
      <c r="Q125" s="72"/>
      <c r="R125" s="72"/>
      <c r="S125" s="72"/>
    </row>
    <row r="126" spans="1:19" x14ac:dyDescent="0.25">
      <c r="A126" s="72" t="s">
        <v>239</v>
      </c>
      <c r="B126" s="72" t="s">
        <v>170</v>
      </c>
      <c r="C126" s="72" t="s">
        <v>47</v>
      </c>
      <c r="D126" s="72" t="s">
        <v>238</v>
      </c>
      <c r="E126" s="72" t="s">
        <v>239</v>
      </c>
      <c r="F126" s="72" t="s">
        <v>240</v>
      </c>
      <c r="G126" s="72" t="s">
        <v>14</v>
      </c>
      <c r="H126" s="72" t="s">
        <v>241</v>
      </c>
      <c r="I126" s="72" t="s">
        <v>1602</v>
      </c>
      <c r="J126" s="72" t="s">
        <v>2143</v>
      </c>
      <c r="K126" s="72" t="s">
        <v>2201</v>
      </c>
      <c r="L126" s="72" t="s">
        <v>2202</v>
      </c>
      <c r="M126" s="72" t="s">
        <v>2203</v>
      </c>
      <c r="N126" s="72" t="s">
        <v>2204</v>
      </c>
      <c r="O126" s="72"/>
      <c r="P126" s="72"/>
      <c r="Q126" s="72"/>
      <c r="R126" s="72"/>
      <c r="S126" s="72"/>
    </row>
    <row r="127" spans="1:19" x14ac:dyDescent="0.25">
      <c r="A127" s="72" t="s">
        <v>268</v>
      </c>
      <c r="B127" s="72" t="s">
        <v>170</v>
      </c>
      <c r="C127" s="72" t="s">
        <v>96</v>
      </c>
      <c r="D127" s="72" t="s">
        <v>156</v>
      </c>
      <c r="E127" s="72" t="s">
        <v>268</v>
      </c>
      <c r="F127" s="72" t="s">
        <v>269</v>
      </c>
      <c r="G127" s="72" t="s">
        <v>14</v>
      </c>
      <c r="H127" s="72" t="s">
        <v>241</v>
      </c>
      <c r="I127" s="72" t="s">
        <v>1602</v>
      </c>
      <c r="J127" s="72" t="s">
        <v>2143</v>
      </c>
      <c r="K127" s="72" t="s">
        <v>2205</v>
      </c>
      <c r="L127" s="72" t="s">
        <v>2206</v>
      </c>
      <c r="M127" s="72" t="s">
        <v>2207</v>
      </c>
      <c r="N127" s="72" t="s">
        <v>2208</v>
      </c>
      <c r="O127" s="72"/>
      <c r="P127" s="72"/>
      <c r="Q127" s="72"/>
      <c r="R127" s="72"/>
      <c r="S127" s="72"/>
    </row>
    <row r="128" spans="1:19" x14ac:dyDescent="0.25">
      <c r="A128" s="72" t="s">
        <v>335</v>
      </c>
      <c r="B128" s="72" t="s">
        <v>170</v>
      </c>
      <c r="C128" s="72" t="s">
        <v>140</v>
      </c>
      <c r="D128" s="72" t="s">
        <v>217</v>
      </c>
      <c r="E128" s="72" t="s">
        <v>335</v>
      </c>
      <c r="F128" s="72" t="s">
        <v>336</v>
      </c>
      <c r="G128" s="72" t="s">
        <v>14</v>
      </c>
      <c r="H128" s="72" t="s">
        <v>1458</v>
      </c>
      <c r="I128" s="72" t="s">
        <v>2187</v>
      </c>
      <c r="J128" s="72" t="s">
        <v>2188</v>
      </c>
      <c r="K128" s="72" t="s">
        <v>2209</v>
      </c>
      <c r="L128" s="72" t="s">
        <v>2210</v>
      </c>
      <c r="M128" s="72" t="s">
        <v>2211</v>
      </c>
      <c r="N128" s="72" t="s">
        <v>2212</v>
      </c>
      <c r="O128" s="72"/>
      <c r="P128" s="72"/>
      <c r="Q128" s="72"/>
      <c r="R128" s="72"/>
      <c r="S128" s="72"/>
    </row>
    <row r="129" spans="1:19" x14ac:dyDescent="0.25">
      <c r="A129" s="72" t="s">
        <v>1258</v>
      </c>
      <c r="B129" s="72" t="s">
        <v>170</v>
      </c>
      <c r="C129" s="72" t="s">
        <v>140</v>
      </c>
      <c r="D129" s="72" t="s">
        <v>1239</v>
      </c>
      <c r="E129" s="72" t="s">
        <v>1258</v>
      </c>
      <c r="F129" s="72" t="s">
        <v>1259</v>
      </c>
      <c r="G129" s="72" t="s">
        <v>14</v>
      </c>
      <c r="H129" s="72" t="s">
        <v>1460</v>
      </c>
      <c r="I129" s="72" t="s">
        <v>2213</v>
      </c>
      <c r="J129" s="72" t="s">
        <v>2214</v>
      </c>
      <c r="K129" s="72" t="s">
        <v>2215</v>
      </c>
      <c r="L129" s="72" t="s">
        <v>2216</v>
      </c>
      <c r="M129" s="72" t="s">
        <v>2217</v>
      </c>
      <c r="N129" s="72" t="s">
        <v>2218</v>
      </c>
      <c r="O129" s="72"/>
      <c r="P129" s="72"/>
      <c r="Q129" s="72"/>
      <c r="R129" s="72"/>
      <c r="S129" s="72"/>
    </row>
    <row r="130" spans="1:19" x14ac:dyDescent="0.25">
      <c r="A130" s="72" t="s">
        <v>1254</v>
      </c>
      <c r="B130" s="72" t="s">
        <v>170</v>
      </c>
      <c r="C130" s="72" t="s">
        <v>96</v>
      </c>
      <c r="D130" s="72" t="s">
        <v>1253</v>
      </c>
      <c r="E130" s="72" t="s">
        <v>1254</v>
      </c>
      <c r="F130" s="72" t="s">
        <v>1255</v>
      </c>
      <c r="G130" s="72" t="s">
        <v>14</v>
      </c>
      <c r="H130" s="72" t="s">
        <v>1460</v>
      </c>
      <c r="I130" s="72" t="s">
        <v>2213</v>
      </c>
      <c r="J130" s="72" t="s">
        <v>2214</v>
      </c>
      <c r="K130" s="72" t="s">
        <v>2219</v>
      </c>
      <c r="L130" s="72" t="s">
        <v>2220</v>
      </c>
      <c r="M130" s="72" t="s">
        <v>2221</v>
      </c>
      <c r="N130" s="72" t="s">
        <v>2222</v>
      </c>
      <c r="O130" s="72"/>
      <c r="P130" s="72"/>
      <c r="Q130" s="72"/>
      <c r="R130" s="72"/>
      <c r="S130" s="72"/>
    </row>
    <row r="131" spans="1:19" x14ac:dyDescent="0.25">
      <c r="A131" s="72" t="s">
        <v>538</v>
      </c>
      <c r="B131" s="72" t="s">
        <v>170</v>
      </c>
      <c r="C131" s="72" t="s">
        <v>96</v>
      </c>
      <c r="D131" s="72" t="s">
        <v>1206</v>
      </c>
      <c r="E131" s="72" t="s">
        <v>538</v>
      </c>
      <c r="F131" s="72" t="s">
        <v>1661</v>
      </c>
      <c r="G131" s="72" t="s">
        <v>14</v>
      </c>
      <c r="H131" s="72" t="s">
        <v>51</v>
      </c>
      <c r="I131" s="72" t="s">
        <v>1956</v>
      </c>
      <c r="J131" s="72" t="s">
        <v>1957</v>
      </c>
      <c r="K131" s="72" t="s">
        <v>2223</v>
      </c>
      <c r="L131" s="72" t="s">
        <v>2224</v>
      </c>
      <c r="M131" s="72" t="s">
        <v>2225</v>
      </c>
      <c r="N131" s="72" t="s">
        <v>2226</v>
      </c>
      <c r="O131" s="72"/>
      <c r="P131" s="72"/>
      <c r="Q131" s="72"/>
      <c r="R131" s="72"/>
      <c r="S131" s="72"/>
    </row>
    <row r="132" spans="1:19" x14ac:dyDescent="0.25">
      <c r="A132" s="72" t="s">
        <v>1267</v>
      </c>
      <c r="B132" s="72" t="s">
        <v>170</v>
      </c>
      <c r="C132" s="72" t="s">
        <v>96</v>
      </c>
      <c r="D132" s="72" t="s">
        <v>1262</v>
      </c>
      <c r="E132" s="72" t="s">
        <v>1267</v>
      </c>
      <c r="F132" s="72" t="s">
        <v>1268</v>
      </c>
      <c r="G132" s="72" t="s">
        <v>14</v>
      </c>
      <c r="H132" s="72" t="s">
        <v>61</v>
      </c>
      <c r="I132" s="72" t="s">
        <v>2041</v>
      </c>
      <c r="J132" s="72" t="s">
        <v>2042</v>
      </c>
      <c r="K132" s="72" t="s">
        <v>2227</v>
      </c>
      <c r="L132" s="72" t="s">
        <v>2228</v>
      </c>
      <c r="M132" s="72" t="s">
        <v>2229</v>
      </c>
      <c r="N132" s="72" t="s">
        <v>2230</v>
      </c>
      <c r="O132" s="72"/>
      <c r="P132" s="72"/>
      <c r="Q132" s="72"/>
      <c r="R132" s="72"/>
      <c r="S132" s="72"/>
    </row>
    <row r="133" spans="1:19" x14ac:dyDescent="0.25">
      <c r="A133" s="72" t="s">
        <v>397</v>
      </c>
      <c r="B133" s="72" t="s">
        <v>170</v>
      </c>
      <c r="C133" s="72" t="s">
        <v>140</v>
      </c>
      <c r="D133" s="72" t="s">
        <v>1504</v>
      </c>
      <c r="E133" s="72" t="s">
        <v>397</v>
      </c>
      <c r="F133" s="72" t="s">
        <v>398</v>
      </c>
      <c r="G133" s="72" t="s">
        <v>28</v>
      </c>
      <c r="H133" s="72" t="s">
        <v>55</v>
      </c>
      <c r="I133" s="72" t="s">
        <v>1717</v>
      </c>
      <c r="J133" s="72" t="s">
        <v>1718</v>
      </c>
      <c r="K133" s="72" t="s">
        <v>2231</v>
      </c>
      <c r="L133" s="72" t="s">
        <v>2232</v>
      </c>
      <c r="M133" s="72" t="s">
        <v>2233</v>
      </c>
      <c r="N133" s="72" t="s">
        <v>2234</v>
      </c>
      <c r="O133" s="72"/>
      <c r="P133" s="72"/>
      <c r="Q133" s="72"/>
      <c r="R133" s="72"/>
      <c r="S133" s="72"/>
    </row>
    <row r="134" spans="1:19" x14ac:dyDescent="0.25">
      <c r="A134" s="72" t="s">
        <v>653</v>
      </c>
      <c r="B134" s="72" t="s">
        <v>170</v>
      </c>
      <c r="C134" s="72" t="s">
        <v>140</v>
      </c>
      <c r="D134" s="72" t="s">
        <v>351</v>
      </c>
      <c r="E134" s="72" t="s">
        <v>653</v>
      </c>
      <c r="F134" s="72" t="s">
        <v>654</v>
      </c>
      <c r="G134" s="72" t="s">
        <v>28</v>
      </c>
      <c r="H134" s="72" t="s">
        <v>287</v>
      </c>
      <c r="I134" s="72" t="s">
        <v>1723</v>
      </c>
      <c r="J134" s="72" t="s">
        <v>1724</v>
      </c>
      <c r="K134" s="72" t="s">
        <v>2235</v>
      </c>
      <c r="L134" s="72" t="s">
        <v>2236</v>
      </c>
      <c r="M134" s="72" t="s">
        <v>2237</v>
      </c>
      <c r="N134" s="72" t="s">
        <v>2238</v>
      </c>
      <c r="O134" s="72"/>
      <c r="P134" s="72"/>
      <c r="Q134" s="72"/>
      <c r="R134" s="72"/>
      <c r="S134" s="72"/>
    </row>
    <row r="135" spans="1:19" x14ac:dyDescent="0.25">
      <c r="A135" s="72" t="s">
        <v>1472</v>
      </c>
      <c r="B135" s="72" t="s">
        <v>170</v>
      </c>
      <c r="C135" s="72" t="s">
        <v>140</v>
      </c>
      <c r="D135" s="72" t="s">
        <v>1660</v>
      </c>
      <c r="E135" s="72" t="s">
        <v>1472</v>
      </c>
      <c r="F135" s="72" t="s">
        <v>658</v>
      </c>
      <c r="G135" s="72"/>
      <c r="H135" s="72" t="s">
        <v>1662</v>
      </c>
      <c r="I135" s="72" t="s">
        <v>1962</v>
      </c>
      <c r="J135" s="72" t="s">
        <v>1963</v>
      </c>
      <c r="K135" s="72" t="s">
        <v>2239</v>
      </c>
      <c r="L135" s="72" t="s">
        <v>2240</v>
      </c>
      <c r="M135" s="72" t="s">
        <v>2241</v>
      </c>
      <c r="N135" s="72" t="s">
        <v>2242</v>
      </c>
      <c r="O135" s="72"/>
      <c r="P135" s="72"/>
      <c r="Q135" s="72"/>
      <c r="R135" s="72"/>
      <c r="S135" s="72"/>
    </row>
    <row r="136" spans="1:19" x14ac:dyDescent="0.25">
      <c r="A136" s="72" t="s">
        <v>211</v>
      </c>
      <c r="B136" s="72" t="s">
        <v>56</v>
      </c>
      <c r="C136" s="72" t="s">
        <v>10</v>
      </c>
      <c r="D136" s="72" t="s">
        <v>210</v>
      </c>
      <c r="E136" s="72" t="s">
        <v>211</v>
      </c>
      <c r="F136" s="72" t="s">
        <v>212</v>
      </c>
      <c r="G136" s="72" t="s">
        <v>19</v>
      </c>
      <c r="H136" s="72" t="s">
        <v>87</v>
      </c>
      <c r="I136" s="72" t="s">
        <v>1831</v>
      </c>
      <c r="J136" s="72" t="s">
        <v>1832</v>
      </c>
      <c r="K136" s="72" t="s">
        <v>2243</v>
      </c>
      <c r="L136" s="72" t="s">
        <v>2244</v>
      </c>
      <c r="M136" s="72" t="s">
        <v>2245</v>
      </c>
      <c r="N136" s="72" t="s">
        <v>2246</v>
      </c>
      <c r="O136" s="72"/>
      <c r="P136" s="72"/>
      <c r="Q136" s="72"/>
      <c r="R136" s="72"/>
      <c r="S136" s="72"/>
    </row>
    <row r="137" spans="1:19" x14ac:dyDescent="0.25">
      <c r="A137" s="72" t="s">
        <v>316</v>
      </c>
      <c r="B137" s="72" t="s">
        <v>56</v>
      </c>
      <c r="C137" s="72" t="s">
        <v>10</v>
      </c>
      <c r="D137" s="72" t="s">
        <v>1175</v>
      </c>
      <c r="E137" s="72" t="s">
        <v>316</v>
      </c>
      <c r="F137" s="72" t="s">
        <v>317</v>
      </c>
      <c r="G137" s="72" t="s">
        <v>19</v>
      </c>
      <c r="H137" s="72" t="s">
        <v>237</v>
      </c>
      <c r="I137" s="72" t="s">
        <v>2148</v>
      </c>
      <c r="J137" s="72" t="s">
        <v>2149</v>
      </c>
      <c r="K137" s="72" t="s">
        <v>2247</v>
      </c>
      <c r="L137" s="72" t="s">
        <v>2248</v>
      </c>
      <c r="M137" s="72" t="s">
        <v>2249</v>
      </c>
      <c r="N137" s="72" t="s">
        <v>2250</v>
      </c>
      <c r="O137" s="72"/>
      <c r="P137" s="72"/>
      <c r="Q137" s="72"/>
      <c r="R137" s="72"/>
      <c r="S137" s="72"/>
    </row>
    <row r="138" spans="1:19" x14ac:dyDescent="0.25">
      <c r="A138" s="72" t="s">
        <v>316</v>
      </c>
      <c r="B138" s="72" t="s">
        <v>56</v>
      </c>
      <c r="C138" s="72" t="s">
        <v>47</v>
      </c>
      <c r="D138" s="72" t="s">
        <v>1176</v>
      </c>
      <c r="E138" s="72" t="s">
        <v>316</v>
      </c>
      <c r="F138" s="72" t="s">
        <v>317</v>
      </c>
      <c r="G138" s="72" t="s">
        <v>19</v>
      </c>
      <c r="H138" s="72" t="s">
        <v>237</v>
      </c>
      <c r="I138" s="72" t="s">
        <v>2148</v>
      </c>
      <c r="J138" s="72" t="s">
        <v>2149</v>
      </c>
      <c r="K138" s="72" t="s">
        <v>2251</v>
      </c>
      <c r="L138" s="72" t="s">
        <v>2252</v>
      </c>
      <c r="M138" s="72" t="s">
        <v>2253</v>
      </c>
      <c r="N138" s="72" t="s">
        <v>2250</v>
      </c>
      <c r="O138" s="72"/>
      <c r="P138" s="72"/>
      <c r="Q138" s="72"/>
      <c r="R138" s="72"/>
      <c r="S138" s="72"/>
    </row>
    <row r="139" spans="1:19" x14ac:dyDescent="0.25">
      <c r="A139" s="72" t="s">
        <v>17</v>
      </c>
      <c r="B139" s="72" t="s">
        <v>56</v>
      </c>
      <c r="C139" s="72" t="s">
        <v>47</v>
      </c>
      <c r="D139" s="72" t="s">
        <v>1175</v>
      </c>
      <c r="E139" s="72" t="s">
        <v>17</v>
      </c>
      <c r="F139" s="72" t="s">
        <v>18</v>
      </c>
      <c r="G139" s="72" t="s">
        <v>19</v>
      </c>
      <c r="H139" s="72" t="s">
        <v>20</v>
      </c>
      <c r="I139" s="72" t="s">
        <v>1592</v>
      </c>
      <c r="J139" s="72" t="s">
        <v>2254</v>
      </c>
      <c r="K139" s="72" t="s">
        <v>2255</v>
      </c>
      <c r="L139" s="72" t="s">
        <v>2256</v>
      </c>
      <c r="M139" s="72" t="s">
        <v>2257</v>
      </c>
      <c r="N139" s="72" t="s">
        <v>2258</v>
      </c>
      <c r="O139" s="72"/>
      <c r="P139" s="72"/>
      <c r="Q139" s="72"/>
      <c r="R139" s="72"/>
      <c r="S139" s="72"/>
    </row>
    <row r="140" spans="1:19" x14ac:dyDescent="0.25">
      <c r="A140" s="72" t="s">
        <v>472</v>
      </c>
      <c r="B140" s="72" t="s">
        <v>56</v>
      </c>
      <c r="C140" s="72" t="s">
        <v>96</v>
      </c>
      <c r="D140" s="72" t="s">
        <v>471</v>
      </c>
      <c r="E140" s="72" t="s">
        <v>472</v>
      </c>
      <c r="F140" s="72" t="s">
        <v>473</v>
      </c>
      <c r="G140" s="72" t="s">
        <v>28</v>
      </c>
      <c r="H140" s="72" t="s">
        <v>24</v>
      </c>
      <c r="I140" s="72" t="s">
        <v>1546</v>
      </c>
      <c r="J140" s="72" t="s">
        <v>1980</v>
      </c>
      <c r="K140" s="72" t="s">
        <v>2259</v>
      </c>
      <c r="L140" s="72" t="s">
        <v>2260</v>
      </c>
      <c r="M140" s="72" t="s">
        <v>2261</v>
      </c>
      <c r="N140" s="72" t="s">
        <v>2262</v>
      </c>
      <c r="O140" s="72"/>
      <c r="P140" s="72"/>
      <c r="Q140" s="72"/>
      <c r="R140" s="72"/>
      <c r="S140" s="72"/>
    </row>
    <row r="141" spans="1:19" x14ac:dyDescent="0.25">
      <c r="A141" s="72" t="s">
        <v>465</v>
      </c>
      <c r="B141" s="72" t="s">
        <v>56</v>
      </c>
      <c r="C141" s="72" t="s">
        <v>10</v>
      </c>
      <c r="D141" s="72" t="s">
        <v>150</v>
      </c>
      <c r="E141" s="72" t="s">
        <v>465</v>
      </c>
      <c r="F141" s="72" t="s">
        <v>466</v>
      </c>
      <c r="G141" s="72" t="s">
        <v>14</v>
      </c>
      <c r="H141" s="72" t="s">
        <v>83</v>
      </c>
      <c r="I141" s="72" t="s">
        <v>1546</v>
      </c>
      <c r="J141" s="72" t="s">
        <v>1980</v>
      </c>
      <c r="K141" s="72" t="s">
        <v>2263</v>
      </c>
      <c r="L141" s="72" t="s">
        <v>2264</v>
      </c>
      <c r="M141" s="72" t="s">
        <v>2265</v>
      </c>
      <c r="N141" s="72" t="s">
        <v>2266</v>
      </c>
      <c r="O141" s="72"/>
      <c r="P141" s="72"/>
      <c r="Q141" s="72"/>
      <c r="R141" s="72"/>
      <c r="S141" s="72"/>
    </row>
    <row r="142" spans="1:19" x14ac:dyDescent="0.25">
      <c r="A142" s="72" t="s">
        <v>423</v>
      </c>
      <c r="B142" s="72" t="s">
        <v>56</v>
      </c>
      <c r="C142" s="72" t="s">
        <v>128</v>
      </c>
      <c r="D142" s="72" t="s">
        <v>133</v>
      </c>
      <c r="E142" s="72" t="s">
        <v>423</v>
      </c>
      <c r="F142" s="72" t="s">
        <v>424</v>
      </c>
      <c r="G142" s="72" t="s">
        <v>37</v>
      </c>
      <c r="H142" s="72" t="s">
        <v>136</v>
      </c>
      <c r="I142" s="72" t="s">
        <v>1548</v>
      </c>
      <c r="J142" s="72" t="s">
        <v>1763</v>
      </c>
      <c r="K142" s="72" t="s">
        <v>2267</v>
      </c>
      <c r="L142" s="72" t="s">
        <v>2268</v>
      </c>
      <c r="M142" s="72" t="s">
        <v>1282</v>
      </c>
      <c r="N142" s="72" t="s">
        <v>1283</v>
      </c>
      <c r="O142" s="72"/>
      <c r="P142" s="72"/>
      <c r="Q142" s="72"/>
      <c r="R142" s="72"/>
      <c r="S142" s="72"/>
    </row>
    <row r="143" spans="1:19" x14ac:dyDescent="0.25">
      <c r="A143" s="72" t="s">
        <v>428</v>
      </c>
      <c r="B143" s="72" t="s">
        <v>56</v>
      </c>
      <c r="C143" s="72" t="s">
        <v>177</v>
      </c>
      <c r="D143" s="72" t="s">
        <v>120</v>
      </c>
      <c r="E143" s="72" t="s">
        <v>428</v>
      </c>
      <c r="F143" s="72" t="s">
        <v>429</v>
      </c>
      <c r="G143" s="72" t="s">
        <v>37</v>
      </c>
      <c r="H143" s="72" t="s">
        <v>123</v>
      </c>
      <c r="I143" s="72" t="s">
        <v>1548</v>
      </c>
      <c r="J143" s="72" t="s">
        <v>1763</v>
      </c>
      <c r="K143" s="72" t="s">
        <v>2269</v>
      </c>
      <c r="L143" s="72" t="s">
        <v>2270</v>
      </c>
      <c r="M143" s="72" t="s">
        <v>1284</v>
      </c>
      <c r="N143" s="72" t="s">
        <v>1285</v>
      </c>
      <c r="O143" s="72"/>
      <c r="P143" s="72"/>
      <c r="Q143" s="72"/>
      <c r="R143" s="72"/>
      <c r="S143" s="72"/>
    </row>
    <row r="144" spans="1:19" x14ac:dyDescent="0.25">
      <c r="A144" s="72" t="s">
        <v>352</v>
      </c>
      <c r="B144" s="72" t="s">
        <v>56</v>
      </c>
      <c r="C144" s="72" t="s">
        <v>47</v>
      </c>
      <c r="D144" s="72" t="s">
        <v>351</v>
      </c>
      <c r="E144" s="72" t="s">
        <v>352</v>
      </c>
      <c r="F144" s="72" t="s">
        <v>353</v>
      </c>
      <c r="G144" s="72" t="s">
        <v>28</v>
      </c>
      <c r="H144" s="72" t="s">
        <v>267</v>
      </c>
      <c r="I144" s="72" t="s">
        <v>1550</v>
      </c>
      <c r="J144" s="72" t="s">
        <v>2271</v>
      </c>
      <c r="K144" s="72" t="s">
        <v>2272</v>
      </c>
      <c r="L144" s="72" t="s">
        <v>2273</v>
      </c>
      <c r="M144" s="72" t="s">
        <v>2274</v>
      </c>
      <c r="N144" s="72" t="s">
        <v>2275</v>
      </c>
      <c r="O144" s="72"/>
      <c r="P144" s="72"/>
      <c r="Q144" s="72"/>
      <c r="R144" s="72"/>
      <c r="S144" s="72"/>
    </row>
    <row r="145" spans="1:19" x14ac:dyDescent="0.25">
      <c r="A145" s="72" t="s">
        <v>1290</v>
      </c>
      <c r="B145" s="72" t="s">
        <v>56</v>
      </c>
      <c r="C145" s="72" t="s">
        <v>140</v>
      </c>
      <c r="D145" s="72" t="s">
        <v>129</v>
      </c>
      <c r="E145" s="72" t="s">
        <v>1290</v>
      </c>
      <c r="F145" s="72" t="s">
        <v>294</v>
      </c>
      <c r="G145" s="72" t="s">
        <v>37</v>
      </c>
      <c r="H145" s="72" t="s">
        <v>123</v>
      </c>
      <c r="I145" s="72" t="s">
        <v>1427</v>
      </c>
      <c r="J145" s="72" t="s">
        <v>1854</v>
      </c>
      <c r="K145" s="72" t="s">
        <v>2276</v>
      </c>
      <c r="L145" s="72" t="s">
        <v>2277</v>
      </c>
      <c r="M145" s="72" t="s">
        <v>1291</v>
      </c>
      <c r="N145" s="72" t="s">
        <v>2278</v>
      </c>
      <c r="O145" s="72"/>
      <c r="P145" s="72"/>
      <c r="Q145" s="72"/>
      <c r="R145" s="72"/>
      <c r="S145" s="72"/>
    </row>
    <row r="146" spans="1:19" x14ac:dyDescent="0.25">
      <c r="A146" s="72" t="s">
        <v>323</v>
      </c>
      <c r="B146" s="72" t="s">
        <v>56</v>
      </c>
      <c r="C146" s="72" t="s">
        <v>47</v>
      </c>
      <c r="D146" s="72" t="s">
        <v>248</v>
      </c>
      <c r="E146" s="72" t="s">
        <v>323</v>
      </c>
      <c r="F146" s="72" t="s">
        <v>253</v>
      </c>
      <c r="G146" s="72" t="s">
        <v>19</v>
      </c>
      <c r="H146" s="72" t="s">
        <v>55</v>
      </c>
      <c r="I146" s="72" t="s">
        <v>2017</v>
      </c>
      <c r="J146" s="72" t="s">
        <v>2018</v>
      </c>
      <c r="K146" s="72" t="s">
        <v>2279</v>
      </c>
      <c r="L146" s="72" t="s">
        <v>2280</v>
      </c>
      <c r="M146" s="72" t="s">
        <v>2281</v>
      </c>
      <c r="N146" s="72" t="s">
        <v>2282</v>
      </c>
      <c r="O146" s="72"/>
      <c r="P146" s="72"/>
      <c r="Q146" s="72"/>
      <c r="R146" s="72"/>
      <c r="S146" s="72"/>
    </row>
    <row r="147" spans="1:19" x14ac:dyDescent="0.25">
      <c r="A147" s="72" t="s">
        <v>402</v>
      </c>
      <c r="B147" s="72" t="s">
        <v>56</v>
      </c>
      <c r="C147" s="72" t="s">
        <v>96</v>
      </c>
      <c r="D147" s="72" t="s">
        <v>401</v>
      </c>
      <c r="E147" s="72" t="s">
        <v>402</v>
      </c>
      <c r="F147" s="72" t="s">
        <v>403</v>
      </c>
      <c r="G147" s="72" t="s">
        <v>19</v>
      </c>
      <c r="H147" s="72" t="s">
        <v>20</v>
      </c>
      <c r="I147" s="72" t="s">
        <v>2017</v>
      </c>
      <c r="J147" s="72" t="s">
        <v>2018</v>
      </c>
      <c r="K147" s="72" t="s">
        <v>2283</v>
      </c>
      <c r="L147" s="72" t="s">
        <v>2284</v>
      </c>
      <c r="M147" s="72" t="s">
        <v>2285</v>
      </c>
      <c r="N147" s="72" t="s">
        <v>2286</v>
      </c>
      <c r="O147" s="72"/>
      <c r="P147" s="72"/>
      <c r="Q147" s="72"/>
      <c r="R147" s="72"/>
      <c r="S147" s="72"/>
    </row>
    <row r="148" spans="1:19" x14ac:dyDescent="0.25">
      <c r="A148" s="72" t="s">
        <v>411</v>
      </c>
      <c r="B148" s="72" t="s">
        <v>56</v>
      </c>
      <c r="C148" s="72" t="s">
        <v>47</v>
      </c>
      <c r="D148" s="72" t="s">
        <v>238</v>
      </c>
      <c r="E148" s="72" t="s">
        <v>411</v>
      </c>
      <c r="F148" s="72" t="s">
        <v>412</v>
      </c>
      <c r="G148" s="72" t="s">
        <v>14</v>
      </c>
      <c r="H148" s="72" t="s">
        <v>61</v>
      </c>
      <c r="I148" s="72" t="s">
        <v>1558</v>
      </c>
      <c r="J148" s="72" t="s">
        <v>1814</v>
      </c>
      <c r="K148" s="72" t="s">
        <v>2287</v>
      </c>
      <c r="L148" s="72" t="s">
        <v>2288</v>
      </c>
      <c r="M148" s="72" t="s">
        <v>2289</v>
      </c>
      <c r="N148" s="72" t="s">
        <v>2290</v>
      </c>
      <c r="O148" s="72"/>
      <c r="P148" s="72"/>
      <c r="Q148" s="72"/>
      <c r="R148" s="72"/>
      <c r="S148" s="72"/>
    </row>
    <row r="149" spans="1:19" x14ac:dyDescent="0.25">
      <c r="A149" s="72" t="s">
        <v>1207</v>
      </c>
      <c r="B149" s="72" t="s">
        <v>56</v>
      </c>
      <c r="C149" s="72" t="s">
        <v>10</v>
      </c>
      <c r="D149" s="72" t="s">
        <v>1663</v>
      </c>
      <c r="E149" s="72" t="s">
        <v>1207</v>
      </c>
      <c r="F149" s="72" t="s">
        <v>462</v>
      </c>
      <c r="G149" s="72" t="s">
        <v>14</v>
      </c>
      <c r="H149" s="72" t="s">
        <v>91</v>
      </c>
      <c r="I149" s="72" t="s">
        <v>1956</v>
      </c>
      <c r="J149" s="72" t="s">
        <v>1957</v>
      </c>
      <c r="K149" s="72" t="s">
        <v>2291</v>
      </c>
      <c r="L149" s="72" t="s">
        <v>2292</v>
      </c>
      <c r="M149" s="72" t="s">
        <v>2293</v>
      </c>
      <c r="N149" s="72" t="s">
        <v>2294</v>
      </c>
      <c r="O149" s="72"/>
      <c r="P149" s="72"/>
      <c r="Q149" s="72"/>
      <c r="R149" s="72"/>
      <c r="S149" s="72"/>
    </row>
    <row r="150" spans="1:19" x14ac:dyDescent="0.25">
      <c r="A150" s="72" t="s">
        <v>578</v>
      </c>
      <c r="B150" s="72" t="s">
        <v>56</v>
      </c>
      <c r="C150" s="72" t="s">
        <v>96</v>
      </c>
      <c r="D150" s="72" t="s">
        <v>156</v>
      </c>
      <c r="E150" s="72" t="s">
        <v>578</v>
      </c>
      <c r="F150" s="72" t="s">
        <v>579</v>
      </c>
      <c r="G150" s="72" t="s">
        <v>14</v>
      </c>
      <c r="H150" s="72" t="s">
        <v>61</v>
      </c>
      <c r="I150" s="72" t="s">
        <v>1558</v>
      </c>
      <c r="J150" s="72" t="s">
        <v>1814</v>
      </c>
      <c r="K150" s="72" t="s">
        <v>2295</v>
      </c>
      <c r="L150" s="72" t="s">
        <v>2296</v>
      </c>
      <c r="M150" s="72" t="s">
        <v>2297</v>
      </c>
      <c r="N150" s="72" t="s">
        <v>2298</v>
      </c>
      <c r="O150" s="72"/>
      <c r="P150" s="72"/>
      <c r="Q150" s="72"/>
      <c r="R150" s="72"/>
      <c r="S150" s="72"/>
    </row>
    <row r="151" spans="1:19" x14ac:dyDescent="0.25">
      <c r="A151" s="72" t="s">
        <v>588</v>
      </c>
      <c r="B151" s="72" t="s">
        <v>56</v>
      </c>
      <c r="C151" s="72" t="s">
        <v>47</v>
      </c>
      <c r="D151" s="72" t="s">
        <v>276</v>
      </c>
      <c r="E151" s="72" t="s">
        <v>588</v>
      </c>
      <c r="F151" s="72" t="s">
        <v>589</v>
      </c>
      <c r="G151" s="72" t="s">
        <v>19</v>
      </c>
      <c r="H151" s="72" t="s">
        <v>87</v>
      </c>
      <c r="I151" s="72" t="s">
        <v>1564</v>
      </c>
      <c r="J151" s="72" t="s">
        <v>2036</v>
      </c>
      <c r="K151" s="72" t="s">
        <v>2299</v>
      </c>
      <c r="L151" s="72" t="s">
        <v>2300</v>
      </c>
      <c r="M151" s="72" t="s">
        <v>2301</v>
      </c>
      <c r="N151" s="72" t="s">
        <v>2302</v>
      </c>
      <c r="O151" s="72"/>
      <c r="P151" s="72"/>
      <c r="Q151" s="72"/>
      <c r="R151" s="72"/>
      <c r="S151" s="72"/>
    </row>
    <row r="152" spans="1:19" x14ac:dyDescent="0.25">
      <c r="A152" s="72" t="s">
        <v>358</v>
      </c>
      <c r="B152" s="72" t="s">
        <v>56</v>
      </c>
      <c r="C152" s="72" t="s">
        <v>47</v>
      </c>
      <c r="D152" s="72" t="s">
        <v>508</v>
      </c>
      <c r="E152" s="72" t="s">
        <v>358</v>
      </c>
      <c r="F152" s="72" t="s">
        <v>1212</v>
      </c>
      <c r="G152" s="72" t="s">
        <v>19</v>
      </c>
      <c r="H152" s="72" t="s">
        <v>24</v>
      </c>
      <c r="I152" s="72" t="s">
        <v>2303</v>
      </c>
      <c r="J152" s="72" t="s">
        <v>2304</v>
      </c>
      <c r="K152" s="72" t="s">
        <v>2305</v>
      </c>
      <c r="L152" s="72" t="s">
        <v>2306</v>
      </c>
      <c r="M152" s="72" t="s">
        <v>2307</v>
      </c>
      <c r="N152" s="72" t="s">
        <v>2308</v>
      </c>
      <c r="O152" s="72"/>
      <c r="P152" s="72"/>
      <c r="Q152" s="72"/>
      <c r="R152" s="72"/>
      <c r="S152" s="72"/>
    </row>
    <row r="153" spans="1:19" x14ac:dyDescent="0.25">
      <c r="A153" s="72" t="s">
        <v>449</v>
      </c>
      <c r="B153" s="72" t="s">
        <v>56</v>
      </c>
      <c r="C153" s="72" t="s">
        <v>96</v>
      </c>
      <c r="D153" s="72" t="s">
        <v>52</v>
      </c>
      <c r="E153" s="72" t="s">
        <v>449</v>
      </c>
      <c r="F153" s="72" t="s">
        <v>450</v>
      </c>
      <c r="G153" s="72" t="s">
        <v>19</v>
      </c>
      <c r="H153" s="72" t="s">
        <v>55</v>
      </c>
      <c r="I153" s="72" t="s">
        <v>1592</v>
      </c>
      <c r="J153" s="72" t="s">
        <v>2254</v>
      </c>
      <c r="K153" s="72" t="s">
        <v>2309</v>
      </c>
      <c r="L153" s="72" t="s">
        <v>2310</v>
      </c>
      <c r="M153" s="72" t="s">
        <v>2311</v>
      </c>
      <c r="N153" s="72" t="s">
        <v>2312</v>
      </c>
      <c r="O153" s="72"/>
      <c r="P153" s="72"/>
      <c r="Q153" s="72"/>
      <c r="R153" s="72"/>
      <c r="S153" s="72"/>
    </row>
    <row r="154" spans="1:19" x14ac:dyDescent="0.25">
      <c r="A154" s="72" t="s">
        <v>249</v>
      </c>
      <c r="B154" s="72" t="s">
        <v>56</v>
      </c>
      <c r="C154" s="72" t="s">
        <v>96</v>
      </c>
      <c r="D154" s="72" t="s">
        <v>248</v>
      </c>
      <c r="E154" s="72" t="s">
        <v>249</v>
      </c>
      <c r="F154" s="72" t="s">
        <v>250</v>
      </c>
      <c r="G154" s="72" t="s">
        <v>19</v>
      </c>
      <c r="H154" s="72" t="s">
        <v>83</v>
      </c>
      <c r="I154" s="72" t="s">
        <v>2303</v>
      </c>
      <c r="J154" s="72" t="s">
        <v>2304</v>
      </c>
      <c r="K154" s="72" t="s">
        <v>2313</v>
      </c>
      <c r="L154" s="72" t="s">
        <v>2314</v>
      </c>
      <c r="M154" s="72" t="s">
        <v>2315</v>
      </c>
      <c r="N154" s="72" t="s">
        <v>2316</v>
      </c>
      <c r="O154" s="72"/>
      <c r="P154" s="72"/>
      <c r="Q154" s="72"/>
      <c r="R154" s="72"/>
      <c r="S154" s="72"/>
    </row>
    <row r="155" spans="1:19" x14ac:dyDescent="0.25">
      <c r="A155" s="72" t="s">
        <v>567</v>
      </c>
      <c r="B155" s="72" t="s">
        <v>56</v>
      </c>
      <c r="C155" s="72" t="s">
        <v>96</v>
      </c>
      <c r="D155" s="72" t="s">
        <v>116</v>
      </c>
      <c r="E155" s="72" t="s">
        <v>567</v>
      </c>
      <c r="F155" s="72" t="s">
        <v>568</v>
      </c>
      <c r="G155" s="72" t="s">
        <v>14</v>
      </c>
      <c r="H155" s="72" t="s">
        <v>46</v>
      </c>
      <c r="I155" s="72" t="s">
        <v>1567</v>
      </c>
      <c r="J155" s="72" t="s">
        <v>1837</v>
      </c>
      <c r="K155" s="72" t="s">
        <v>2317</v>
      </c>
      <c r="L155" s="72" t="s">
        <v>2318</v>
      </c>
      <c r="M155" s="72" t="s">
        <v>2319</v>
      </c>
      <c r="N155" s="72" t="s">
        <v>2320</v>
      </c>
      <c r="O155" s="72"/>
      <c r="P155" s="72"/>
      <c r="Q155" s="72"/>
      <c r="R155" s="72"/>
      <c r="S155" s="72"/>
    </row>
    <row r="156" spans="1:19" x14ac:dyDescent="0.25">
      <c r="A156" s="72" t="s">
        <v>331</v>
      </c>
      <c r="B156" s="72" t="s">
        <v>56</v>
      </c>
      <c r="C156" s="72" t="s">
        <v>10</v>
      </c>
      <c r="D156" s="72" t="s">
        <v>238</v>
      </c>
      <c r="E156" s="72" t="s">
        <v>331</v>
      </c>
      <c r="F156" s="72" t="s">
        <v>332</v>
      </c>
      <c r="G156" s="72" t="s">
        <v>14</v>
      </c>
      <c r="H156" s="72" t="s">
        <v>15</v>
      </c>
      <c r="I156" s="72" t="s">
        <v>1572</v>
      </c>
      <c r="J156" s="72" t="s">
        <v>2058</v>
      </c>
      <c r="K156" s="72" t="s">
        <v>2321</v>
      </c>
      <c r="L156" s="72" t="s">
        <v>2322</v>
      </c>
      <c r="M156" s="72" t="s">
        <v>2323</v>
      </c>
      <c r="N156" s="72" t="s">
        <v>2324</v>
      </c>
      <c r="O156" s="72"/>
      <c r="P156" s="72"/>
      <c r="Q156" s="72"/>
      <c r="R156" s="72"/>
      <c r="S156" s="72"/>
    </row>
    <row r="157" spans="1:19" x14ac:dyDescent="0.25">
      <c r="A157" s="72" t="s">
        <v>285</v>
      </c>
      <c r="B157" s="72" t="s">
        <v>56</v>
      </c>
      <c r="C157" s="72" t="s">
        <v>10</v>
      </c>
      <c r="D157" s="72" t="s">
        <v>284</v>
      </c>
      <c r="E157" s="72" t="s">
        <v>285</v>
      </c>
      <c r="F157" s="72" t="s">
        <v>286</v>
      </c>
      <c r="G157" s="72" t="s">
        <v>19</v>
      </c>
      <c r="H157" s="72" t="s">
        <v>79</v>
      </c>
      <c r="I157" s="72" t="s">
        <v>2325</v>
      </c>
      <c r="J157" s="72" t="s">
        <v>2326</v>
      </c>
      <c r="K157" s="72" t="s">
        <v>2327</v>
      </c>
      <c r="L157" s="72" t="s">
        <v>2328</v>
      </c>
      <c r="M157" s="72" t="s">
        <v>2329</v>
      </c>
      <c r="N157" s="72" t="s">
        <v>2330</v>
      </c>
      <c r="O157" s="72"/>
      <c r="P157" s="72"/>
      <c r="Q157" s="72"/>
      <c r="R157" s="72"/>
      <c r="S157" s="72"/>
    </row>
    <row r="158" spans="1:19" x14ac:dyDescent="0.25">
      <c r="A158" s="72" t="s">
        <v>333</v>
      </c>
      <c r="B158" s="72" t="s">
        <v>56</v>
      </c>
      <c r="C158" s="72" t="s">
        <v>10</v>
      </c>
      <c r="D158" s="72" t="s">
        <v>133</v>
      </c>
      <c r="E158" s="72" t="s">
        <v>333</v>
      </c>
      <c r="F158" s="72" t="s">
        <v>334</v>
      </c>
      <c r="G158" s="72" t="s">
        <v>37</v>
      </c>
      <c r="H158" s="72" t="s">
        <v>136</v>
      </c>
      <c r="I158" s="72" t="s">
        <v>1411</v>
      </c>
      <c r="J158" s="72" t="s">
        <v>2331</v>
      </c>
      <c r="K158" s="72" t="s">
        <v>2332</v>
      </c>
      <c r="L158" s="72" t="s">
        <v>2333</v>
      </c>
      <c r="M158" s="72" t="s">
        <v>1293</v>
      </c>
      <c r="N158" s="72" t="s">
        <v>1294</v>
      </c>
      <c r="O158" s="72"/>
      <c r="P158" s="72"/>
      <c r="Q158" s="72"/>
      <c r="R158" s="72"/>
      <c r="S158" s="72"/>
    </row>
    <row r="159" spans="1:19" x14ac:dyDescent="0.25">
      <c r="A159" s="72" t="s">
        <v>425</v>
      </c>
      <c r="B159" s="72" t="s">
        <v>56</v>
      </c>
      <c r="C159" s="72" t="s">
        <v>128</v>
      </c>
      <c r="D159" s="72" t="s">
        <v>180</v>
      </c>
      <c r="E159" s="72" t="s">
        <v>425</v>
      </c>
      <c r="F159" s="72" t="s">
        <v>426</v>
      </c>
      <c r="G159" s="72" t="s">
        <v>37</v>
      </c>
      <c r="H159" s="72" t="s">
        <v>42</v>
      </c>
      <c r="I159" s="72" t="s">
        <v>1411</v>
      </c>
      <c r="J159" s="72" t="s">
        <v>2331</v>
      </c>
      <c r="K159" s="72" t="s">
        <v>2334</v>
      </c>
      <c r="L159" s="72" t="s">
        <v>2335</v>
      </c>
      <c r="M159" s="72" t="s">
        <v>1295</v>
      </c>
      <c r="N159" s="72" t="s">
        <v>1296</v>
      </c>
      <c r="O159" s="72"/>
      <c r="P159" s="72"/>
      <c r="Q159" s="72"/>
      <c r="R159" s="72"/>
      <c r="S159" s="72"/>
    </row>
    <row r="160" spans="1:19" x14ac:dyDescent="0.25">
      <c r="A160" s="72" t="s">
        <v>430</v>
      </c>
      <c r="B160" s="72" t="s">
        <v>56</v>
      </c>
      <c r="C160" s="72" t="s">
        <v>177</v>
      </c>
      <c r="D160" s="72" t="s">
        <v>133</v>
      </c>
      <c r="E160" s="72" t="s">
        <v>430</v>
      </c>
      <c r="F160" s="72" t="s">
        <v>431</v>
      </c>
      <c r="G160" s="72" t="s">
        <v>37</v>
      </c>
      <c r="H160" s="72" t="s">
        <v>136</v>
      </c>
      <c r="I160" s="72" t="s">
        <v>1418</v>
      </c>
      <c r="J160" s="72" t="s">
        <v>2101</v>
      </c>
      <c r="K160" s="72" t="s">
        <v>2336</v>
      </c>
      <c r="L160" s="72" t="s">
        <v>2337</v>
      </c>
      <c r="M160" s="72" t="s">
        <v>1310</v>
      </c>
      <c r="N160" s="72" t="s">
        <v>1311</v>
      </c>
      <c r="O160" s="72"/>
      <c r="P160" s="72"/>
      <c r="Q160" s="72"/>
      <c r="R160" s="72"/>
      <c r="S160" s="72"/>
    </row>
    <row r="161" spans="1:19" x14ac:dyDescent="0.25">
      <c r="A161" s="72" t="s">
        <v>171</v>
      </c>
      <c r="B161" s="72" t="s">
        <v>56</v>
      </c>
      <c r="C161" s="72" t="s">
        <v>10</v>
      </c>
      <c r="D161" s="72" t="s">
        <v>129</v>
      </c>
      <c r="E161" s="72" t="s">
        <v>171</v>
      </c>
      <c r="F161" s="72" t="s">
        <v>172</v>
      </c>
      <c r="G161" s="72" t="s">
        <v>37</v>
      </c>
      <c r="H161" s="72" t="s">
        <v>123</v>
      </c>
      <c r="I161" s="72" t="s">
        <v>1576</v>
      </c>
      <c r="J161" s="72" t="s">
        <v>1857</v>
      </c>
      <c r="K161" s="72" t="s">
        <v>2338</v>
      </c>
      <c r="L161" s="72" t="s">
        <v>2339</v>
      </c>
      <c r="M161" s="72" t="s">
        <v>1320</v>
      </c>
      <c r="N161" s="72" t="s">
        <v>1319</v>
      </c>
      <c r="O161" s="72"/>
      <c r="P161" s="72"/>
      <c r="Q161" s="72"/>
      <c r="R161" s="72"/>
      <c r="S161" s="72"/>
    </row>
    <row r="162" spans="1:19" x14ac:dyDescent="0.25">
      <c r="A162" s="72" t="s">
        <v>168</v>
      </c>
      <c r="B162" s="72" t="s">
        <v>56</v>
      </c>
      <c r="C162" s="72" t="s">
        <v>128</v>
      </c>
      <c r="D162" s="72" t="s">
        <v>34</v>
      </c>
      <c r="E162" s="72" t="s">
        <v>168</v>
      </c>
      <c r="F162" s="72" t="s">
        <v>427</v>
      </c>
      <c r="G162" s="72" t="s">
        <v>37</v>
      </c>
      <c r="H162" s="72" t="s">
        <v>38</v>
      </c>
      <c r="I162" s="72" t="s">
        <v>1576</v>
      </c>
      <c r="J162" s="72" t="s">
        <v>1857</v>
      </c>
      <c r="K162" s="72" t="s">
        <v>2340</v>
      </c>
      <c r="L162" s="72" t="s">
        <v>2341</v>
      </c>
      <c r="M162" s="72" t="s">
        <v>1321</v>
      </c>
      <c r="N162" s="72" t="s">
        <v>1322</v>
      </c>
      <c r="O162" s="72"/>
      <c r="P162" s="72"/>
      <c r="Q162" s="72"/>
      <c r="R162" s="72"/>
      <c r="S162" s="72"/>
    </row>
    <row r="163" spans="1:19" x14ac:dyDescent="0.25">
      <c r="A163" s="72" t="s">
        <v>181</v>
      </c>
      <c r="B163" s="72" t="s">
        <v>56</v>
      </c>
      <c r="C163" s="72" t="s">
        <v>177</v>
      </c>
      <c r="D163" s="72" t="s">
        <v>180</v>
      </c>
      <c r="E163" s="72" t="s">
        <v>181</v>
      </c>
      <c r="F163" s="72" t="s">
        <v>182</v>
      </c>
      <c r="G163" s="72" t="s">
        <v>37</v>
      </c>
      <c r="H163" s="72" t="s">
        <v>38</v>
      </c>
      <c r="I163" s="72" t="s">
        <v>1576</v>
      </c>
      <c r="J163" s="72" t="s">
        <v>1857</v>
      </c>
      <c r="K163" s="72" t="s">
        <v>2342</v>
      </c>
      <c r="L163" s="72" t="s">
        <v>2343</v>
      </c>
      <c r="M163" s="72" t="s">
        <v>1323</v>
      </c>
      <c r="N163" s="72" t="s">
        <v>1317</v>
      </c>
      <c r="O163" s="72"/>
      <c r="P163" s="72"/>
      <c r="Q163" s="72"/>
      <c r="R163" s="72"/>
      <c r="S163" s="72"/>
    </row>
    <row r="164" spans="1:19" x14ac:dyDescent="0.25">
      <c r="A164" s="72" t="s">
        <v>372</v>
      </c>
      <c r="B164" s="72" t="s">
        <v>56</v>
      </c>
      <c r="C164" s="72" t="s">
        <v>47</v>
      </c>
      <c r="D164" s="72" t="s">
        <v>80</v>
      </c>
      <c r="E164" s="72" t="s">
        <v>372</v>
      </c>
      <c r="F164" s="72" t="s">
        <v>373</v>
      </c>
      <c r="G164" s="72" t="s">
        <v>28</v>
      </c>
      <c r="H164" s="72" t="s">
        <v>83</v>
      </c>
      <c r="I164" s="72" t="s">
        <v>1415</v>
      </c>
      <c r="J164" s="72" t="s">
        <v>1868</v>
      </c>
      <c r="K164" s="72" t="s">
        <v>2344</v>
      </c>
      <c r="L164" s="72" t="s">
        <v>2345</v>
      </c>
      <c r="M164" s="72" t="s">
        <v>2346</v>
      </c>
      <c r="N164" s="72" t="s">
        <v>2347</v>
      </c>
      <c r="O164" s="72"/>
      <c r="P164" s="72"/>
      <c r="Q164" s="72"/>
      <c r="R164" s="72"/>
      <c r="S164" s="72"/>
    </row>
    <row r="165" spans="1:19" x14ac:dyDescent="0.25">
      <c r="A165" s="72" t="s">
        <v>201</v>
      </c>
      <c r="B165" s="72" t="s">
        <v>56</v>
      </c>
      <c r="C165" s="72" t="s">
        <v>10</v>
      </c>
      <c r="D165" s="72" t="s">
        <v>163</v>
      </c>
      <c r="E165" s="72" t="s">
        <v>201</v>
      </c>
      <c r="F165" s="72" t="s">
        <v>202</v>
      </c>
      <c r="G165" s="72" t="s">
        <v>37</v>
      </c>
      <c r="H165" s="72" t="s">
        <v>42</v>
      </c>
      <c r="I165" s="72" t="s">
        <v>1580</v>
      </c>
      <c r="J165" s="72" t="s">
        <v>1885</v>
      </c>
      <c r="K165" s="72" t="s">
        <v>2348</v>
      </c>
      <c r="L165" s="72" t="s">
        <v>2349</v>
      </c>
      <c r="M165" s="72" t="s">
        <v>1346</v>
      </c>
      <c r="N165" s="72" t="s">
        <v>1344</v>
      </c>
      <c r="O165" s="72"/>
      <c r="P165" s="72"/>
      <c r="Q165" s="72"/>
      <c r="R165" s="72"/>
      <c r="S165" s="72"/>
    </row>
    <row r="166" spans="1:19" x14ac:dyDescent="0.25">
      <c r="A166" s="72" t="s">
        <v>173</v>
      </c>
      <c r="B166" s="72" t="s">
        <v>56</v>
      </c>
      <c r="C166" s="72" t="s">
        <v>128</v>
      </c>
      <c r="D166" s="72" t="s">
        <v>120</v>
      </c>
      <c r="E166" s="72" t="s">
        <v>173</v>
      </c>
      <c r="F166" s="72" t="s">
        <v>174</v>
      </c>
      <c r="G166" s="72" t="s">
        <v>37</v>
      </c>
      <c r="H166" s="72" t="s">
        <v>123</v>
      </c>
      <c r="I166" s="72" t="s">
        <v>1580</v>
      </c>
      <c r="J166" s="72" t="s">
        <v>1885</v>
      </c>
      <c r="K166" s="72" t="s">
        <v>2350</v>
      </c>
      <c r="L166" s="72" t="s">
        <v>2351</v>
      </c>
      <c r="M166" s="72" t="s">
        <v>1347</v>
      </c>
      <c r="N166" s="72" t="s">
        <v>1342</v>
      </c>
      <c r="O166" s="72"/>
      <c r="P166" s="72"/>
      <c r="Q166" s="72"/>
      <c r="R166" s="72"/>
      <c r="S166" s="72"/>
    </row>
    <row r="167" spans="1:19" x14ac:dyDescent="0.25">
      <c r="A167" s="72" t="s">
        <v>130</v>
      </c>
      <c r="B167" s="72" t="s">
        <v>56</v>
      </c>
      <c r="C167" s="72" t="s">
        <v>128</v>
      </c>
      <c r="D167" s="72" t="s">
        <v>129</v>
      </c>
      <c r="E167" s="72" t="s">
        <v>130</v>
      </c>
      <c r="F167" s="72" t="s">
        <v>131</v>
      </c>
      <c r="G167" s="72" t="s">
        <v>37</v>
      </c>
      <c r="H167" s="72" t="s">
        <v>132</v>
      </c>
      <c r="I167" s="72" t="s">
        <v>1581</v>
      </c>
      <c r="J167" s="72" t="s">
        <v>1890</v>
      </c>
      <c r="K167" s="72" t="s">
        <v>2352</v>
      </c>
      <c r="L167" s="72" t="s">
        <v>2353</v>
      </c>
      <c r="M167" s="72" t="s">
        <v>1352</v>
      </c>
      <c r="N167" s="72" t="s">
        <v>1353</v>
      </c>
      <c r="O167" s="72"/>
      <c r="P167" s="72"/>
      <c r="Q167" s="72"/>
      <c r="R167" s="72"/>
      <c r="S167" s="72"/>
    </row>
    <row r="168" spans="1:19" x14ac:dyDescent="0.25">
      <c r="A168" s="72" t="s">
        <v>130</v>
      </c>
      <c r="B168" s="72" t="s">
        <v>56</v>
      </c>
      <c r="C168" s="72" t="s">
        <v>177</v>
      </c>
      <c r="D168" s="72" t="s">
        <v>129</v>
      </c>
      <c r="E168" s="72" t="s">
        <v>130</v>
      </c>
      <c r="F168" s="72" t="s">
        <v>131</v>
      </c>
      <c r="G168" s="72" t="s">
        <v>37</v>
      </c>
      <c r="H168" s="72" t="s">
        <v>132</v>
      </c>
      <c r="I168" s="72" t="s">
        <v>1581</v>
      </c>
      <c r="J168" s="72" t="s">
        <v>1890</v>
      </c>
      <c r="K168" s="72" t="s">
        <v>2354</v>
      </c>
      <c r="L168" s="72" t="s">
        <v>2355</v>
      </c>
      <c r="M168" s="72" t="s">
        <v>1354</v>
      </c>
      <c r="N168" s="72" t="s">
        <v>1353</v>
      </c>
      <c r="O168" s="72"/>
      <c r="P168" s="72"/>
      <c r="Q168" s="72"/>
      <c r="R168" s="72"/>
      <c r="S168" s="72"/>
    </row>
    <row r="169" spans="1:19" x14ac:dyDescent="0.25">
      <c r="A169" s="72" t="s">
        <v>203</v>
      </c>
      <c r="B169" s="72" t="s">
        <v>56</v>
      </c>
      <c r="C169" s="72" t="s">
        <v>10</v>
      </c>
      <c r="D169" s="72" t="s">
        <v>34</v>
      </c>
      <c r="E169" s="72" t="s">
        <v>203</v>
      </c>
      <c r="F169" s="72" t="s">
        <v>204</v>
      </c>
      <c r="G169" s="72" t="s">
        <v>37</v>
      </c>
      <c r="H169" s="72" t="s">
        <v>38</v>
      </c>
      <c r="I169" s="72" t="s">
        <v>1582</v>
      </c>
      <c r="J169" s="72" t="s">
        <v>1895</v>
      </c>
      <c r="K169" s="72" t="s">
        <v>2356</v>
      </c>
      <c r="L169" s="72" t="s">
        <v>2357</v>
      </c>
      <c r="M169" s="72" t="s">
        <v>1363</v>
      </c>
      <c r="N169" s="72" t="s">
        <v>1360</v>
      </c>
      <c r="O169" s="72"/>
      <c r="P169" s="72"/>
      <c r="Q169" s="72"/>
      <c r="R169" s="72"/>
      <c r="S169" s="72"/>
    </row>
    <row r="170" spans="1:19" x14ac:dyDescent="0.25">
      <c r="A170" s="72" t="s">
        <v>297</v>
      </c>
      <c r="B170" s="72" t="s">
        <v>56</v>
      </c>
      <c r="C170" s="72" t="s">
        <v>10</v>
      </c>
      <c r="D170" s="72" t="s">
        <v>180</v>
      </c>
      <c r="E170" s="72" t="s">
        <v>297</v>
      </c>
      <c r="F170" s="72" t="s">
        <v>298</v>
      </c>
      <c r="G170" s="72" t="s">
        <v>37</v>
      </c>
      <c r="H170" s="72" t="s">
        <v>132</v>
      </c>
      <c r="I170" s="72" t="s">
        <v>1583</v>
      </c>
      <c r="J170" s="72" t="s">
        <v>2127</v>
      </c>
      <c r="K170" s="72" t="s">
        <v>2358</v>
      </c>
      <c r="L170" s="72" t="s">
        <v>2359</v>
      </c>
      <c r="M170" s="72" t="s">
        <v>1368</v>
      </c>
      <c r="N170" s="72" t="s">
        <v>1369</v>
      </c>
      <c r="O170" s="72"/>
      <c r="P170" s="72"/>
      <c r="Q170" s="72"/>
      <c r="R170" s="72"/>
      <c r="S170" s="72"/>
    </row>
    <row r="171" spans="1:19" x14ac:dyDescent="0.25">
      <c r="A171" s="72" t="s">
        <v>274</v>
      </c>
      <c r="B171" s="72" t="s">
        <v>56</v>
      </c>
      <c r="C171" s="72" t="s">
        <v>119</v>
      </c>
      <c r="D171" s="72" t="s">
        <v>180</v>
      </c>
      <c r="E171" s="72" t="s">
        <v>274</v>
      </c>
      <c r="F171" s="72" t="s">
        <v>275</v>
      </c>
      <c r="G171" s="72" t="s">
        <v>37</v>
      </c>
      <c r="H171" s="72" t="s">
        <v>123</v>
      </c>
      <c r="I171" s="72" t="s">
        <v>1583</v>
      </c>
      <c r="J171" s="72" t="s">
        <v>2127</v>
      </c>
      <c r="K171" s="72" t="s">
        <v>2360</v>
      </c>
      <c r="L171" s="72" t="s">
        <v>2361</v>
      </c>
      <c r="M171" s="72" t="s">
        <v>1372</v>
      </c>
      <c r="N171" s="72" t="s">
        <v>1367</v>
      </c>
      <c r="O171" s="72"/>
      <c r="P171" s="72"/>
      <c r="Q171" s="72"/>
      <c r="R171" s="72"/>
      <c r="S171" s="72"/>
    </row>
    <row r="172" spans="1:19" x14ac:dyDescent="0.25">
      <c r="A172" s="72" t="s">
        <v>309</v>
      </c>
      <c r="B172" s="72" t="s">
        <v>56</v>
      </c>
      <c r="C172" s="72" t="s">
        <v>159</v>
      </c>
      <c r="D172" s="72" t="s">
        <v>129</v>
      </c>
      <c r="E172" s="72" t="s">
        <v>309</v>
      </c>
      <c r="F172" s="72" t="s">
        <v>310</v>
      </c>
      <c r="G172" s="72" t="s">
        <v>37</v>
      </c>
      <c r="H172" s="72" t="s">
        <v>132</v>
      </c>
      <c r="I172" s="72" t="s">
        <v>1583</v>
      </c>
      <c r="J172" s="72" t="s">
        <v>2127</v>
      </c>
      <c r="K172" s="72" t="s">
        <v>2362</v>
      </c>
      <c r="L172" s="72" t="s">
        <v>2363</v>
      </c>
      <c r="M172" s="72" t="s">
        <v>1374</v>
      </c>
      <c r="N172" s="72" t="s">
        <v>1371</v>
      </c>
      <c r="O172" s="72"/>
      <c r="P172" s="72"/>
      <c r="Q172" s="72"/>
      <c r="R172" s="72"/>
      <c r="S172" s="72"/>
    </row>
    <row r="173" spans="1:19" x14ac:dyDescent="0.25">
      <c r="A173" s="72" t="s">
        <v>598</v>
      </c>
      <c r="B173" s="72" t="s">
        <v>56</v>
      </c>
      <c r="C173" s="72" t="s">
        <v>96</v>
      </c>
      <c r="D173" s="72" t="s">
        <v>351</v>
      </c>
      <c r="E173" s="72" t="s">
        <v>598</v>
      </c>
      <c r="F173" s="72" t="s">
        <v>599</v>
      </c>
      <c r="G173" s="72" t="s">
        <v>28</v>
      </c>
      <c r="H173" s="72" t="s">
        <v>420</v>
      </c>
      <c r="I173" s="72" t="s">
        <v>1543</v>
      </c>
      <c r="J173" s="72" t="s">
        <v>1906</v>
      </c>
      <c r="K173" s="72" t="s">
        <v>2364</v>
      </c>
      <c r="L173" s="72" t="s">
        <v>2365</v>
      </c>
      <c r="M173" s="72" t="s">
        <v>2366</v>
      </c>
      <c r="N173" s="72" t="s">
        <v>2367</v>
      </c>
      <c r="O173" s="72"/>
      <c r="P173" s="72"/>
      <c r="Q173" s="72"/>
      <c r="R173" s="72"/>
      <c r="S173" s="72"/>
    </row>
    <row r="174" spans="1:19" x14ac:dyDescent="0.25">
      <c r="A174" s="72" t="s">
        <v>557</v>
      </c>
      <c r="B174" s="72" t="s">
        <v>56</v>
      </c>
      <c r="C174" s="72" t="s">
        <v>96</v>
      </c>
      <c r="D174" s="72" t="s">
        <v>150</v>
      </c>
      <c r="E174" s="72" t="s">
        <v>557</v>
      </c>
      <c r="F174" s="72" t="s">
        <v>558</v>
      </c>
      <c r="G174" s="72" t="s">
        <v>28</v>
      </c>
      <c r="H174" s="72" t="s">
        <v>79</v>
      </c>
      <c r="I174" s="72" t="s">
        <v>1601</v>
      </c>
      <c r="J174" s="72" t="s">
        <v>2138</v>
      </c>
      <c r="K174" s="72" t="s">
        <v>2368</v>
      </c>
      <c r="L174" s="72" t="s">
        <v>2369</v>
      </c>
      <c r="M174" s="72" t="s">
        <v>2370</v>
      </c>
      <c r="N174" s="72" t="s">
        <v>2371</v>
      </c>
      <c r="O174" s="72"/>
      <c r="P174" s="72"/>
      <c r="Q174" s="72"/>
      <c r="R174" s="72"/>
      <c r="S174" s="72"/>
    </row>
    <row r="175" spans="1:19" x14ac:dyDescent="0.25">
      <c r="A175" s="72" t="s">
        <v>651</v>
      </c>
      <c r="B175" s="72" t="s">
        <v>56</v>
      </c>
      <c r="C175" s="72" t="s">
        <v>47</v>
      </c>
      <c r="D175" s="72" t="s">
        <v>535</v>
      </c>
      <c r="E175" s="72" t="s">
        <v>651</v>
      </c>
      <c r="F175" s="72" t="s">
        <v>652</v>
      </c>
      <c r="G175" s="72" t="s">
        <v>19</v>
      </c>
      <c r="H175" s="72" t="s">
        <v>79</v>
      </c>
      <c r="I175" s="72" t="s">
        <v>2325</v>
      </c>
      <c r="J175" s="72" t="s">
        <v>2326</v>
      </c>
      <c r="K175" s="72" t="s">
        <v>2372</v>
      </c>
      <c r="L175" s="72" t="s">
        <v>2373</v>
      </c>
      <c r="M175" s="72" t="s">
        <v>2374</v>
      </c>
      <c r="N175" s="72" t="s">
        <v>2375</v>
      </c>
      <c r="O175" s="72"/>
      <c r="P175" s="72"/>
      <c r="Q175" s="72"/>
      <c r="R175" s="72"/>
      <c r="S175" s="72"/>
    </row>
    <row r="176" spans="1:19" x14ac:dyDescent="0.25">
      <c r="A176" s="72" t="s">
        <v>601</v>
      </c>
      <c r="B176" s="72" t="s">
        <v>56</v>
      </c>
      <c r="C176" s="72" t="s">
        <v>10</v>
      </c>
      <c r="D176" s="72" t="s">
        <v>600</v>
      </c>
      <c r="E176" s="72" t="s">
        <v>601</v>
      </c>
      <c r="F176" s="72" t="s">
        <v>602</v>
      </c>
      <c r="G176" s="72" t="s">
        <v>14</v>
      </c>
      <c r="H176" s="72" t="s">
        <v>33</v>
      </c>
      <c r="I176" s="72" t="s">
        <v>1587</v>
      </c>
      <c r="J176" s="72" t="s">
        <v>1963</v>
      </c>
      <c r="K176" s="72" t="s">
        <v>2376</v>
      </c>
      <c r="L176" s="72" t="s">
        <v>2377</v>
      </c>
      <c r="M176" s="72" t="s">
        <v>2378</v>
      </c>
      <c r="N176" s="72" t="s">
        <v>2379</v>
      </c>
      <c r="O176" s="72"/>
      <c r="P176" s="72"/>
      <c r="Q176" s="72"/>
      <c r="R176" s="72"/>
      <c r="S176" s="72"/>
    </row>
    <row r="177" spans="1:19" x14ac:dyDescent="0.25">
      <c r="A177" s="72" t="s">
        <v>377</v>
      </c>
      <c r="B177" s="72" t="s">
        <v>56</v>
      </c>
      <c r="C177" s="72" t="s">
        <v>47</v>
      </c>
      <c r="D177" s="72" t="s">
        <v>376</v>
      </c>
      <c r="E177" s="72" t="s">
        <v>377</v>
      </c>
      <c r="F177" s="72" t="s">
        <v>378</v>
      </c>
      <c r="G177" s="72" t="s">
        <v>14</v>
      </c>
      <c r="H177" s="72" t="s">
        <v>51</v>
      </c>
      <c r="I177" s="72" t="s">
        <v>1591</v>
      </c>
      <c r="J177" s="72" t="s">
        <v>2167</v>
      </c>
      <c r="K177" s="72" t="s">
        <v>2380</v>
      </c>
      <c r="L177" s="72" t="s">
        <v>2381</v>
      </c>
      <c r="M177" s="72" t="s">
        <v>2382</v>
      </c>
      <c r="N177" s="72" t="s">
        <v>2383</v>
      </c>
      <c r="O177" s="72"/>
      <c r="P177" s="72"/>
      <c r="Q177" s="72"/>
      <c r="R177" s="72"/>
      <c r="S177" s="72"/>
    </row>
    <row r="178" spans="1:19" x14ac:dyDescent="0.25">
      <c r="A178" s="72" t="s">
        <v>232</v>
      </c>
      <c r="B178" s="72" t="s">
        <v>56</v>
      </c>
      <c r="C178" s="72" t="s">
        <v>96</v>
      </c>
      <c r="D178" s="72" t="s">
        <v>1664</v>
      </c>
      <c r="E178" s="72" t="s">
        <v>232</v>
      </c>
      <c r="F178" s="72" t="s">
        <v>233</v>
      </c>
      <c r="G178" s="72" t="s">
        <v>14</v>
      </c>
      <c r="H178" s="72" t="s">
        <v>33</v>
      </c>
      <c r="I178" s="72" t="s">
        <v>1591</v>
      </c>
      <c r="J178" s="72" t="s">
        <v>2167</v>
      </c>
      <c r="K178" s="72" t="s">
        <v>2384</v>
      </c>
      <c r="L178" s="72" t="s">
        <v>2385</v>
      </c>
      <c r="M178" s="72" t="s">
        <v>2386</v>
      </c>
      <c r="N178" s="72" t="s">
        <v>2171</v>
      </c>
      <c r="O178" s="72"/>
      <c r="P178" s="72"/>
      <c r="Q178" s="72"/>
      <c r="R178" s="72"/>
      <c r="S178" s="72"/>
    </row>
    <row r="179" spans="1:19" x14ac:dyDescent="0.25">
      <c r="A179" s="72" t="s">
        <v>380</v>
      </c>
      <c r="B179" s="72" t="s">
        <v>56</v>
      </c>
      <c r="C179" s="72" t="s">
        <v>96</v>
      </c>
      <c r="D179" s="72" t="s">
        <v>379</v>
      </c>
      <c r="E179" s="72" t="s">
        <v>380</v>
      </c>
      <c r="F179" s="72" t="s">
        <v>381</v>
      </c>
      <c r="G179" s="72" t="s">
        <v>19</v>
      </c>
      <c r="H179" s="72" t="s">
        <v>237</v>
      </c>
      <c r="I179" s="72" t="s">
        <v>1782</v>
      </c>
      <c r="J179" s="72" t="s">
        <v>1783</v>
      </c>
      <c r="K179" s="72" t="s">
        <v>2387</v>
      </c>
      <c r="L179" s="72" t="s">
        <v>2388</v>
      </c>
      <c r="M179" s="72" t="s">
        <v>2389</v>
      </c>
      <c r="N179" s="72" t="s">
        <v>2390</v>
      </c>
      <c r="O179" s="72"/>
      <c r="P179" s="72"/>
      <c r="Q179" s="72"/>
      <c r="R179" s="72"/>
      <c r="S179" s="72"/>
    </row>
    <row r="180" spans="1:19" x14ac:dyDescent="0.25">
      <c r="A180" s="72" t="s">
        <v>338</v>
      </c>
      <c r="B180" s="72" t="s">
        <v>56</v>
      </c>
      <c r="C180" s="72" t="s">
        <v>47</v>
      </c>
      <c r="D180" s="72" t="s">
        <v>337</v>
      </c>
      <c r="E180" s="72" t="s">
        <v>338</v>
      </c>
      <c r="F180" s="72" t="s">
        <v>339</v>
      </c>
      <c r="G180" s="72" t="s">
        <v>19</v>
      </c>
      <c r="H180" s="72" t="s">
        <v>287</v>
      </c>
      <c r="I180" s="72" t="s">
        <v>2391</v>
      </c>
      <c r="J180" s="72" t="s">
        <v>2392</v>
      </c>
      <c r="K180" s="72" t="s">
        <v>2393</v>
      </c>
      <c r="L180" s="72" t="s">
        <v>2394</v>
      </c>
      <c r="M180" s="72" t="s">
        <v>2395</v>
      </c>
      <c r="N180" s="72" t="s">
        <v>2396</v>
      </c>
      <c r="O180" s="72"/>
      <c r="P180" s="72"/>
      <c r="Q180" s="72"/>
      <c r="R180" s="72"/>
      <c r="S180" s="72"/>
    </row>
    <row r="181" spans="1:19" x14ac:dyDescent="0.25">
      <c r="A181" s="72" t="s">
        <v>416</v>
      </c>
      <c r="B181" s="72" t="s">
        <v>56</v>
      </c>
      <c r="C181" s="72" t="s">
        <v>96</v>
      </c>
      <c r="D181" s="72" t="s">
        <v>1194</v>
      </c>
      <c r="E181" s="72" t="s">
        <v>416</v>
      </c>
      <c r="F181" s="72" t="s">
        <v>417</v>
      </c>
      <c r="G181" s="72" t="s">
        <v>19</v>
      </c>
      <c r="H181" s="72" t="s">
        <v>287</v>
      </c>
      <c r="I181" s="72" t="s">
        <v>2391</v>
      </c>
      <c r="J181" s="72" t="s">
        <v>2392</v>
      </c>
      <c r="K181" s="72" t="s">
        <v>2397</v>
      </c>
      <c r="L181" s="72" t="s">
        <v>2398</v>
      </c>
      <c r="M181" s="72" t="s">
        <v>2399</v>
      </c>
      <c r="N181" s="72" t="s">
        <v>2400</v>
      </c>
      <c r="O181" s="72"/>
      <c r="P181" s="72"/>
      <c r="Q181" s="72"/>
      <c r="R181" s="72"/>
      <c r="S181" s="72"/>
    </row>
    <row r="182" spans="1:19" x14ac:dyDescent="0.25">
      <c r="A182" s="72" t="s">
        <v>414</v>
      </c>
      <c r="B182" s="72" t="s">
        <v>56</v>
      </c>
      <c r="C182" s="72" t="s">
        <v>10</v>
      </c>
      <c r="D182" s="72" t="s">
        <v>413</v>
      </c>
      <c r="E182" s="72" t="s">
        <v>414</v>
      </c>
      <c r="F182" s="72" t="s">
        <v>415</v>
      </c>
      <c r="G182" s="72" t="s">
        <v>19</v>
      </c>
      <c r="H182" s="72" t="s">
        <v>24</v>
      </c>
      <c r="I182" s="72" t="s">
        <v>2391</v>
      </c>
      <c r="J182" s="72" t="s">
        <v>2392</v>
      </c>
      <c r="K182" s="72" t="s">
        <v>2401</v>
      </c>
      <c r="L182" s="72" t="s">
        <v>2402</v>
      </c>
      <c r="M182" s="72" t="s">
        <v>2403</v>
      </c>
      <c r="N182" s="72" t="s">
        <v>2404</v>
      </c>
      <c r="O182" s="72"/>
      <c r="P182" s="72"/>
      <c r="Q182" s="72"/>
      <c r="R182" s="72"/>
      <c r="S182" s="72"/>
    </row>
    <row r="183" spans="1:19" x14ac:dyDescent="0.25">
      <c r="A183" s="72" t="s">
        <v>433</v>
      </c>
      <c r="B183" s="72" t="s">
        <v>56</v>
      </c>
      <c r="C183" s="72" t="s">
        <v>96</v>
      </c>
      <c r="D183" s="72" t="s">
        <v>84</v>
      </c>
      <c r="E183" s="72" t="s">
        <v>433</v>
      </c>
      <c r="F183" s="72" t="s">
        <v>434</v>
      </c>
      <c r="G183" s="72" t="s">
        <v>28</v>
      </c>
      <c r="H183" s="72" t="s">
        <v>87</v>
      </c>
      <c r="I183" s="72" t="s">
        <v>1595</v>
      </c>
      <c r="J183" s="72" t="s">
        <v>2405</v>
      </c>
      <c r="K183" s="72" t="s">
        <v>2406</v>
      </c>
      <c r="L183" s="72" t="s">
        <v>2407</v>
      </c>
      <c r="M183" s="72" t="s">
        <v>2408</v>
      </c>
      <c r="N183" s="72" t="s">
        <v>2409</v>
      </c>
      <c r="O183" s="72"/>
      <c r="P183" s="72"/>
      <c r="Q183" s="72"/>
      <c r="R183" s="72"/>
      <c r="S183" s="72"/>
    </row>
    <row r="184" spans="1:19" x14ac:dyDescent="0.25">
      <c r="A184" s="72" t="s">
        <v>418</v>
      </c>
      <c r="B184" s="72" t="s">
        <v>56</v>
      </c>
      <c r="C184" s="72" t="s">
        <v>96</v>
      </c>
      <c r="D184" s="72" t="s">
        <v>1489</v>
      </c>
      <c r="E184" s="72" t="s">
        <v>418</v>
      </c>
      <c r="F184" s="72" t="s">
        <v>419</v>
      </c>
      <c r="G184" s="72" t="s">
        <v>28</v>
      </c>
      <c r="H184" s="72" t="s">
        <v>507</v>
      </c>
      <c r="I184" s="72" t="s">
        <v>1596</v>
      </c>
      <c r="J184" s="72" t="s">
        <v>2410</v>
      </c>
      <c r="K184" s="72" t="s">
        <v>2411</v>
      </c>
      <c r="L184" s="72" t="s">
        <v>2412</v>
      </c>
      <c r="M184" s="72" t="s">
        <v>2413</v>
      </c>
      <c r="N184" s="72" t="s">
        <v>2414</v>
      </c>
      <c r="O184" s="72"/>
      <c r="P184" s="72"/>
      <c r="Q184" s="72"/>
      <c r="R184" s="72"/>
      <c r="S184" s="72"/>
    </row>
    <row r="185" spans="1:19" x14ac:dyDescent="0.25">
      <c r="A185" s="72" t="s">
        <v>771</v>
      </c>
      <c r="B185" s="72" t="s">
        <v>56</v>
      </c>
      <c r="C185" s="72" t="s">
        <v>159</v>
      </c>
      <c r="D185" s="72" t="s">
        <v>479</v>
      </c>
      <c r="E185" s="72" t="s">
        <v>771</v>
      </c>
      <c r="F185" s="72" t="s">
        <v>772</v>
      </c>
      <c r="G185" s="72" t="s">
        <v>28</v>
      </c>
      <c r="H185" s="72" t="s">
        <v>983</v>
      </c>
      <c r="I185" s="72" t="s">
        <v>1729</v>
      </c>
      <c r="J185" s="72" t="s">
        <v>1730</v>
      </c>
      <c r="K185" s="72" t="s">
        <v>2415</v>
      </c>
      <c r="L185" s="72" t="s">
        <v>2416</v>
      </c>
      <c r="M185" s="72" t="s">
        <v>2417</v>
      </c>
      <c r="N185" s="72" t="s">
        <v>2418</v>
      </c>
      <c r="O185" s="72"/>
      <c r="P185" s="72"/>
      <c r="Q185" s="72"/>
      <c r="R185" s="72"/>
      <c r="S185" s="72"/>
    </row>
    <row r="186" spans="1:19" x14ac:dyDescent="0.25">
      <c r="A186" s="72" t="s">
        <v>355</v>
      </c>
      <c r="B186" s="72" t="s">
        <v>56</v>
      </c>
      <c r="C186" s="72" t="s">
        <v>47</v>
      </c>
      <c r="D186" s="72" t="s">
        <v>354</v>
      </c>
      <c r="E186" s="72" t="s">
        <v>355</v>
      </c>
      <c r="F186" s="72" t="s">
        <v>356</v>
      </c>
      <c r="G186" s="72" t="s">
        <v>14</v>
      </c>
      <c r="H186" s="72" t="s">
        <v>983</v>
      </c>
      <c r="I186" s="72" t="s">
        <v>1597</v>
      </c>
      <c r="J186" s="72" t="s">
        <v>2419</v>
      </c>
      <c r="K186" s="72" t="s">
        <v>2420</v>
      </c>
      <c r="L186" s="72" t="s">
        <v>2421</v>
      </c>
      <c r="M186" s="72" t="s">
        <v>2422</v>
      </c>
      <c r="N186" s="72" t="s">
        <v>2423</v>
      </c>
      <c r="O186" s="72"/>
      <c r="P186" s="72"/>
      <c r="Q186" s="72"/>
      <c r="R186" s="72"/>
      <c r="S186" s="72"/>
    </row>
    <row r="187" spans="1:19" x14ac:dyDescent="0.25">
      <c r="A187" s="72" t="s">
        <v>1261</v>
      </c>
      <c r="B187" s="72" t="s">
        <v>56</v>
      </c>
      <c r="C187" s="72" t="s">
        <v>47</v>
      </c>
      <c r="D187" s="72" t="s">
        <v>1260</v>
      </c>
      <c r="E187" s="72" t="s">
        <v>1261</v>
      </c>
      <c r="F187" s="72" t="s">
        <v>791</v>
      </c>
      <c r="G187" s="72" t="s">
        <v>19</v>
      </c>
      <c r="H187" s="72" t="s">
        <v>55</v>
      </c>
      <c r="I187" s="72" t="s">
        <v>2424</v>
      </c>
      <c r="J187" s="72" t="s">
        <v>2425</v>
      </c>
      <c r="K187" s="72" t="s">
        <v>2279</v>
      </c>
      <c r="L187" s="72" t="s">
        <v>2426</v>
      </c>
      <c r="M187" s="72" t="s">
        <v>2427</v>
      </c>
      <c r="N187" s="72" t="s">
        <v>2428</v>
      </c>
      <c r="O187" s="72"/>
      <c r="P187" s="72"/>
      <c r="Q187" s="72"/>
      <c r="R187" s="72"/>
      <c r="S187" s="72"/>
    </row>
    <row r="188" spans="1:19" x14ac:dyDescent="0.25">
      <c r="A188" s="72" t="s">
        <v>340</v>
      </c>
      <c r="B188" s="72" t="s">
        <v>56</v>
      </c>
      <c r="C188" s="72" t="s">
        <v>47</v>
      </c>
      <c r="D188" s="72" t="s">
        <v>113</v>
      </c>
      <c r="E188" s="72" t="s">
        <v>340</v>
      </c>
      <c r="F188" s="72" t="s">
        <v>341</v>
      </c>
      <c r="G188" s="72" t="s">
        <v>28</v>
      </c>
      <c r="H188" s="72" t="s">
        <v>983</v>
      </c>
      <c r="I188" s="72" t="s">
        <v>1547</v>
      </c>
      <c r="J188" s="72" t="s">
        <v>1739</v>
      </c>
      <c r="K188" s="72" t="s">
        <v>2420</v>
      </c>
      <c r="L188" s="72" t="s">
        <v>2429</v>
      </c>
      <c r="M188" s="72" t="s">
        <v>2430</v>
      </c>
      <c r="N188" s="72" t="s">
        <v>2431</v>
      </c>
      <c r="O188" s="72"/>
      <c r="P188" s="72"/>
      <c r="Q188" s="72"/>
      <c r="R188" s="72"/>
      <c r="S188" s="72"/>
    </row>
    <row r="189" spans="1:19" x14ac:dyDescent="0.25">
      <c r="A189" s="72" t="s">
        <v>1498</v>
      </c>
      <c r="B189" s="72" t="s">
        <v>56</v>
      </c>
      <c r="C189" s="72" t="s">
        <v>140</v>
      </c>
      <c r="D189" s="72" t="s">
        <v>504</v>
      </c>
      <c r="E189" s="72" t="s">
        <v>1498</v>
      </c>
      <c r="F189" s="72" t="s">
        <v>1499</v>
      </c>
      <c r="G189" s="72" t="s">
        <v>28</v>
      </c>
      <c r="H189" s="72" t="s">
        <v>55</v>
      </c>
      <c r="I189" s="72" t="s">
        <v>1543</v>
      </c>
      <c r="J189" s="72" t="s">
        <v>1906</v>
      </c>
      <c r="K189" s="72" t="s">
        <v>2432</v>
      </c>
      <c r="L189" s="72" t="s">
        <v>2433</v>
      </c>
      <c r="M189" s="72" t="s">
        <v>2434</v>
      </c>
      <c r="N189" s="72" t="s">
        <v>2435</v>
      </c>
      <c r="O189" s="72"/>
      <c r="P189" s="72"/>
      <c r="Q189" s="72"/>
      <c r="R189" s="72"/>
      <c r="S189" s="72"/>
    </row>
    <row r="190" spans="1:19" x14ac:dyDescent="0.25">
      <c r="A190" s="72" t="s">
        <v>617</v>
      </c>
      <c r="B190" s="72" t="s">
        <v>56</v>
      </c>
      <c r="C190" s="72" t="s">
        <v>943</v>
      </c>
      <c r="D190" s="72" t="s">
        <v>504</v>
      </c>
      <c r="E190" s="72" t="s">
        <v>617</v>
      </c>
      <c r="F190" s="72" t="s">
        <v>618</v>
      </c>
      <c r="G190" s="72" t="s">
        <v>28</v>
      </c>
      <c r="H190" s="72" t="s">
        <v>55</v>
      </c>
      <c r="I190" s="72" t="s">
        <v>1601</v>
      </c>
      <c r="J190" s="72" t="s">
        <v>2138</v>
      </c>
      <c r="K190" s="72" t="s">
        <v>2436</v>
      </c>
      <c r="L190" s="72" t="s">
        <v>2437</v>
      </c>
      <c r="M190" s="72" t="s">
        <v>2438</v>
      </c>
      <c r="N190" s="72" t="s">
        <v>2439</v>
      </c>
      <c r="O190" s="72"/>
      <c r="P190" s="72"/>
      <c r="Q190" s="72"/>
      <c r="R190" s="72"/>
      <c r="S190" s="72"/>
    </row>
    <row r="191" spans="1:19" x14ac:dyDescent="0.25">
      <c r="A191" s="72" t="s">
        <v>319</v>
      </c>
      <c r="B191" s="72" t="s">
        <v>56</v>
      </c>
      <c r="C191" s="72" t="s">
        <v>47</v>
      </c>
      <c r="D191" s="72" t="s">
        <v>1665</v>
      </c>
      <c r="E191" s="72" t="s">
        <v>319</v>
      </c>
      <c r="F191" s="72" t="s">
        <v>320</v>
      </c>
      <c r="G191" s="72" t="s">
        <v>14</v>
      </c>
      <c r="H191" s="72" t="s">
        <v>792</v>
      </c>
      <c r="I191" s="72" t="s">
        <v>1106</v>
      </c>
      <c r="J191" s="72" t="s">
        <v>2440</v>
      </c>
      <c r="K191" s="72" t="s">
        <v>2441</v>
      </c>
      <c r="L191" s="72" t="s">
        <v>2442</v>
      </c>
      <c r="M191" s="72" t="s">
        <v>2443</v>
      </c>
      <c r="N191" s="72" t="s">
        <v>2444</v>
      </c>
      <c r="O191" s="72"/>
      <c r="P191" s="72"/>
      <c r="Q191" s="72"/>
      <c r="R191" s="72"/>
      <c r="S191" s="72"/>
    </row>
    <row r="192" spans="1:19" x14ac:dyDescent="0.25">
      <c r="A192" s="72" t="s">
        <v>529</v>
      </c>
      <c r="B192" s="72" t="s">
        <v>56</v>
      </c>
      <c r="C192" s="72" t="s">
        <v>10</v>
      </c>
      <c r="D192" s="72" t="s">
        <v>528</v>
      </c>
      <c r="E192" s="72" t="s">
        <v>529</v>
      </c>
      <c r="F192" s="72" t="s">
        <v>530</v>
      </c>
      <c r="G192" s="72" t="s">
        <v>19</v>
      </c>
      <c r="H192" s="72" t="s">
        <v>20</v>
      </c>
      <c r="I192" s="72" t="s">
        <v>2424</v>
      </c>
      <c r="J192" s="72" t="s">
        <v>2425</v>
      </c>
      <c r="K192" s="72" t="s">
        <v>2445</v>
      </c>
      <c r="L192" s="72" t="s">
        <v>2446</v>
      </c>
      <c r="M192" s="72" t="s">
        <v>2447</v>
      </c>
      <c r="N192" s="72" t="s">
        <v>2448</v>
      </c>
      <c r="O192" s="72"/>
      <c r="P192" s="72"/>
      <c r="Q192" s="72"/>
      <c r="R192" s="72"/>
      <c r="S192" s="72"/>
    </row>
    <row r="193" spans="1:19" x14ac:dyDescent="0.25">
      <c r="A193" s="72" t="s">
        <v>713</v>
      </c>
      <c r="B193" s="72" t="s">
        <v>56</v>
      </c>
      <c r="C193" s="72" t="s">
        <v>96</v>
      </c>
      <c r="D193" s="72" t="s">
        <v>194</v>
      </c>
      <c r="E193" s="72" t="s">
        <v>713</v>
      </c>
      <c r="F193" s="72" t="s">
        <v>714</v>
      </c>
      <c r="G193" s="72" t="s">
        <v>14</v>
      </c>
      <c r="H193" s="72" t="s">
        <v>15</v>
      </c>
      <c r="I193" s="72" t="s">
        <v>1106</v>
      </c>
      <c r="J193" s="72" t="s">
        <v>2440</v>
      </c>
      <c r="K193" s="72" t="s">
        <v>2449</v>
      </c>
      <c r="L193" s="72" t="s">
        <v>2450</v>
      </c>
      <c r="M193" s="72" t="s">
        <v>2451</v>
      </c>
      <c r="N193" s="72" t="s">
        <v>2452</v>
      </c>
      <c r="O193" s="72"/>
      <c r="P193" s="72"/>
      <c r="Q193" s="72"/>
      <c r="R193" s="72"/>
      <c r="S193" s="72"/>
    </row>
    <row r="194" spans="1:19" x14ac:dyDescent="0.25">
      <c r="A194" s="72" t="s">
        <v>1501</v>
      </c>
      <c r="B194" s="72" t="s">
        <v>56</v>
      </c>
      <c r="C194" s="72" t="s">
        <v>47</v>
      </c>
      <c r="D194" s="72" t="s">
        <v>387</v>
      </c>
      <c r="E194" s="72" t="s">
        <v>1501</v>
      </c>
      <c r="F194" s="72" t="s">
        <v>389</v>
      </c>
      <c r="G194" s="72" t="s">
        <v>14</v>
      </c>
      <c r="H194" s="72" t="s">
        <v>241</v>
      </c>
      <c r="I194" s="72" t="s">
        <v>1819</v>
      </c>
      <c r="J194" s="72" t="s">
        <v>1820</v>
      </c>
      <c r="K194" s="72" t="s">
        <v>2453</v>
      </c>
      <c r="L194" s="72" t="s">
        <v>2454</v>
      </c>
      <c r="M194" s="72" t="s">
        <v>2455</v>
      </c>
      <c r="N194" s="72" t="s">
        <v>2456</v>
      </c>
      <c r="O194" s="72"/>
      <c r="P194" s="72"/>
      <c r="Q194" s="72"/>
      <c r="R194" s="72"/>
      <c r="S194" s="72"/>
    </row>
    <row r="195" spans="1:19" x14ac:dyDescent="0.25">
      <c r="A195" s="72" t="s">
        <v>1511</v>
      </c>
      <c r="B195" s="72" t="s">
        <v>56</v>
      </c>
      <c r="C195" s="72" t="s">
        <v>177</v>
      </c>
      <c r="D195" s="72" t="s">
        <v>1495</v>
      </c>
      <c r="E195" s="72" t="s">
        <v>1511</v>
      </c>
      <c r="F195" s="72" t="s">
        <v>1512</v>
      </c>
      <c r="G195" s="72" t="s">
        <v>37</v>
      </c>
      <c r="H195" s="72" t="s">
        <v>34</v>
      </c>
      <c r="I195" s="72"/>
      <c r="J195" s="72"/>
      <c r="K195" s="72" t="s">
        <v>2457</v>
      </c>
      <c r="L195" s="72"/>
      <c r="M195" s="72" t="s">
        <v>2458</v>
      </c>
      <c r="N195" s="72"/>
      <c r="O195" s="72"/>
      <c r="P195" s="72"/>
      <c r="Q195" s="72"/>
      <c r="R195" s="72"/>
      <c r="S195" s="72"/>
    </row>
    <row r="196" spans="1:19" x14ac:dyDescent="0.25">
      <c r="A196" s="72" t="s">
        <v>1513</v>
      </c>
      <c r="B196" s="72" t="s">
        <v>56</v>
      </c>
      <c r="C196" s="72" t="s">
        <v>10</v>
      </c>
      <c r="D196" s="72" t="s">
        <v>1495</v>
      </c>
      <c r="E196" s="72" t="s">
        <v>1513</v>
      </c>
      <c r="F196" s="72" t="s">
        <v>1514</v>
      </c>
      <c r="G196" s="72" t="s">
        <v>37</v>
      </c>
      <c r="H196" s="72" t="s">
        <v>34</v>
      </c>
      <c r="I196" s="72"/>
      <c r="J196" s="72"/>
      <c r="K196" s="72" t="s">
        <v>2459</v>
      </c>
      <c r="L196" s="72"/>
      <c r="M196" s="72" t="s">
        <v>2460</v>
      </c>
      <c r="N196" s="72"/>
      <c r="O196" s="72"/>
      <c r="P196" s="72"/>
      <c r="Q196" s="72"/>
      <c r="R196" s="72"/>
      <c r="S196" s="72"/>
    </row>
    <row r="197" spans="1:19" x14ac:dyDescent="0.25">
      <c r="A197" s="72" t="s">
        <v>1520</v>
      </c>
      <c r="B197" s="72" t="s">
        <v>56</v>
      </c>
      <c r="C197" s="72" t="s">
        <v>10</v>
      </c>
      <c r="D197" s="72" t="s">
        <v>1489</v>
      </c>
      <c r="E197" s="72" t="s">
        <v>1520</v>
      </c>
      <c r="F197" s="72" t="s">
        <v>1521</v>
      </c>
      <c r="G197" s="72" t="s">
        <v>28</v>
      </c>
      <c r="H197" s="72" t="s">
        <v>507</v>
      </c>
      <c r="I197" s="72" t="s">
        <v>1595</v>
      </c>
      <c r="J197" s="72" t="s">
        <v>2405</v>
      </c>
      <c r="K197" s="72" t="s">
        <v>2461</v>
      </c>
      <c r="L197" s="72" t="s">
        <v>2462</v>
      </c>
      <c r="M197" s="72" t="s">
        <v>2463</v>
      </c>
      <c r="N197" s="72" t="s">
        <v>2464</v>
      </c>
      <c r="O197" s="72"/>
      <c r="P197" s="72"/>
      <c r="Q197" s="72"/>
      <c r="R197" s="72"/>
      <c r="S197" s="72"/>
    </row>
    <row r="198" spans="1:19" x14ac:dyDescent="0.25">
      <c r="A198" s="72" t="s">
        <v>1667</v>
      </c>
      <c r="B198" s="72" t="s">
        <v>56</v>
      </c>
      <c r="C198" s="72" t="s">
        <v>10</v>
      </c>
      <c r="D198" s="72" t="s">
        <v>1666</v>
      </c>
      <c r="E198" s="72" t="s">
        <v>1667</v>
      </c>
      <c r="F198" s="72" t="s">
        <v>1668</v>
      </c>
      <c r="G198" s="72" t="s">
        <v>14</v>
      </c>
      <c r="H198" s="72" t="s">
        <v>70</v>
      </c>
      <c r="I198" s="72" t="s">
        <v>1106</v>
      </c>
      <c r="J198" s="72" t="s">
        <v>2440</v>
      </c>
      <c r="K198" s="72" t="s">
        <v>2465</v>
      </c>
      <c r="L198" s="72" t="s">
        <v>2466</v>
      </c>
      <c r="M198" s="72" t="s">
        <v>2467</v>
      </c>
      <c r="N198" s="72" t="s">
        <v>2468</v>
      </c>
      <c r="O198" s="72"/>
      <c r="P198" s="72"/>
      <c r="Q198" s="72"/>
      <c r="R198" s="72"/>
      <c r="S198" s="72"/>
    </row>
    <row r="199" spans="1:19" x14ac:dyDescent="0.25">
      <c r="A199" s="72" t="s">
        <v>1478</v>
      </c>
      <c r="B199" s="72" t="s">
        <v>66</v>
      </c>
      <c r="C199" s="72" t="s">
        <v>96</v>
      </c>
      <c r="D199" s="72" t="s">
        <v>221</v>
      </c>
      <c r="E199" s="72" t="s">
        <v>1478</v>
      </c>
      <c r="F199" s="72" t="s">
        <v>347</v>
      </c>
      <c r="G199" s="72" t="s">
        <v>19</v>
      </c>
      <c r="H199" s="72" t="s">
        <v>20</v>
      </c>
      <c r="I199" s="72" t="s">
        <v>2023</v>
      </c>
      <c r="J199" s="72" t="s">
        <v>1920</v>
      </c>
      <c r="K199" s="72" t="s">
        <v>2469</v>
      </c>
      <c r="L199" s="72" t="s">
        <v>2470</v>
      </c>
      <c r="M199" s="72" t="s">
        <v>2471</v>
      </c>
      <c r="N199" s="72" t="s">
        <v>2472</v>
      </c>
      <c r="O199" s="72"/>
      <c r="P199" s="72"/>
      <c r="Q199" s="72"/>
      <c r="R199" s="72"/>
      <c r="S199" s="72"/>
    </row>
    <row r="200" spans="1:19" x14ac:dyDescent="0.25">
      <c r="A200" s="72" t="s">
        <v>17</v>
      </c>
      <c r="B200" s="72" t="s">
        <v>66</v>
      </c>
      <c r="C200" s="72" t="s">
        <v>47</v>
      </c>
      <c r="D200" s="72" t="s">
        <v>1185</v>
      </c>
      <c r="E200" s="72" t="s">
        <v>17</v>
      </c>
      <c r="F200" s="72" t="s">
        <v>18</v>
      </c>
      <c r="G200" s="72" t="s">
        <v>19</v>
      </c>
      <c r="H200" s="72" t="s">
        <v>20</v>
      </c>
      <c r="I200" s="72" t="s">
        <v>1592</v>
      </c>
      <c r="J200" s="72" t="s">
        <v>2254</v>
      </c>
      <c r="K200" s="72" t="s">
        <v>2473</v>
      </c>
      <c r="L200" s="72" t="s">
        <v>2474</v>
      </c>
      <c r="M200" s="72" t="s">
        <v>2475</v>
      </c>
      <c r="N200" s="72" t="s">
        <v>2258</v>
      </c>
      <c r="O200" s="72"/>
      <c r="P200" s="72"/>
      <c r="Q200" s="72"/>
      <c r="R200" s="72"/>
      <c r="S200" s="72"/>
    </row>
    <row r="201" spans="1:19" x14ac:dyDescent="0.25">
      <c r="A201" s="72" t="s">
        <v>523</v>
      </c>
      <c r="B201" s="72" t="s">
        <v>66</v>
      </c>
      <c r="C201" s="72" t="s">
        <v>96</v>
      </c>
      <c r="D201" s="72" t="s">
        <v>522</v>
      </c>
      <c r="E201" s="72" t="s">
        <v>523</v>
      </c>
      <c r="F201" s="72" t="s">
        <v>524</v>
      </c>
      <c r="G201" s="72" t="s">
        <v>14</v>
      </c>
      <c r="H201" s="72" t="s">
        <v>91</v>
      </c>
      <c r="I201" s="72" t="s">
        <v>1539</v>
      </c>
      <c r="J201" s="72" t="s">
        <v>1706</v>
      </c>
      <c r="K201" s="72" t="s">
        <v>2476</v>
      </c>
      <c r="L201" s="72" t="s">
        <v>2477</v>
      </c>
      <c r="M201" s="72" t="s">
        <v>2478</v>
      </c>
      <c r="N201" s="72" t="s">
        <v>2479</v>
      </c>
      <c r="O201" s="72"/>
      <c r="P201" s="72"/>
      <c r="Q201" s="72"/>
      <c r="R201" s="72"/>
      <c r="S201" s="72"/>
    </row>
    <row r="202" spans="1:19" x14ac:dyDescent="0.25">
      <c r="A202" s="72" t="s">
        <v>104</v>
      </c>
      <c r="B202" s="72" t="s">
        <v>66</v>
      </c>
      <c r="C202" s="72" t="s">
        <v>140</v>
      </c>
      <c r="D202" s="72" t="s">
        <v>58</v>
      </c>
      <c r="E202" s="72" t="s">
        <v>104</v>
      </c>
      <c r="F202" s="72" t="s">
        <v>105</v>
      </c>
      <c r="G202" s="72" t="s">
        <v>14</v>
      </c>
      <c r="H202" s="72" t="s">
        <v>33</v>
      </c>
      <c r="I202" s="72" t="s">
        <v>1539</v>
      </c>
      <c r="J202" s="72" t="s">
        <v>1706</v>
      </c>
      <c r="K202" s="72" t="s">
        <v>2480</v>
      </c>
      <c r="L202" s="72" t="s">
        <v>2481</v>
      </c>
      <c r="M202" s="72" t="s">
        <v>2482</v>
      </c>
      <c r="N202" s="72" t="s">
        <v>2483</v>
      </c>
      <c r="O202" s="72"/>
      <c r="P202" s="72"/>
      <c r="Q202" s="72"/>
      <c r="R202" s="72"/>
      <c r="S202" s="72"/>
    </row>
    <row r="203" spans="1:19" x14ac:dyDescent="0.25">
      <c r="A203" s="72" t="s">
        <v>707</v>
      </c>
      <c r="B203" s="72" t="s">
        <v>66</v>
      </c>
      <c r="C203" s="72" t="s">
        <v>96</v>
      </c>
      <c r="D203" s="72" t="s">
        <v>441</v>
      </c>
      <c r="E203" s="72" t="s">
        <v>707</v>
      </c>
      <c r="F203" s="72" t="s">
        <v>708</v>
      </c>
      <c r="G203" s="72" t="s">
        <v>19</v>
      </c>
      <c r="H203" s="72" t="s">
        <v>83</v>
      </c>
      <c r="I203" s="72" t="s">
        <v>874</v>
      </c>
      <c r="J203" s="72" t="s">
        <v>2484</v>
      </c>
      <c r="K203" s="72" t="s">
        <v>2485</v>
      </c>
      <c r="L203" s="72" t="s">
        <v>2486</v>
      </c>
      <c r="M203" s="72" t="s">
        <v>2487</v>
      </c>
      <c r="N203" s="72" t="s">
        <v>2488</v>
      </c>
      <c r="O203" s="72"/>
      <c r="P203" s="72"/>
      <c r="Q203" s="72"/>
      <c r="R203" s="72"/>
      <c r="S203" s="72"/>
    </row>
    <row r="204" spans="1:19" x14ac:dyDescent="0.25">
      <c r="A204" s="72" t="s">
        <v>630</v>
      </c>
      <c r="B204" s="72" t="s">
        <v>66</v>
      </c>
      <c r="C204" s="72" t="s">
        <v>140</v>
      </c>
      <c r="D204" s="72" t="s">
        <v>476</v>
      </c>
      <c r="E204" s="72" t="s">
        <v>630</v>
      </c>
      <c r="F204" s="72" t="s">
        <v>631</v>
      </c>
      <c r="G204" s="72" t="s">
        <v>14</v>
      </c>
      <c r="H204" s="72" t="s">
        <v>1459</v>
      </c>
      <c r="I204" s="72" t="s">
        <v>1103</v>
      </c>
      <c r="J204" s="72" t="s">
        <v>2489</v>
      </c>
      <c r="K204" s="72" t="s">
        <v>2490</v>
      </c>
      <c r="L204" s="72" t="s">
        <v>2491</v>
      </c>
      <c r="M204" s="72" t="s">
        <v>2492</v>
      </c>
      <c r="N204" s="72" t="s">
        <v>2493</v>
      </c>
      <c r="O204" s="72"/>
      <c r="P204" s="72"/>
      <c r="Q204" s="72"/>
      <c r="R204" s="72"/>
      <c r="S204" s="72"/>
    </row>
    <row r="205" spans="1:19" x14ac:dyDescent="0.25">
      <c r="A205" s="72" t="s">
        <v>663</v>
      </c>
      <c r="B205" s="72" t="s">
        <v>66</v>
      </c>
      <c r="C205" s="72" t="s">
        <v>47</v>
      </c>
      <c r="D205" s="72" t="s">
        <v>476</v>
      </c>
      <c r="E205" s="72" t="s">
        <v>663</v>
      </c>
      <c r="F205" s="72" t="s">
        <v>664</v>
      </c>
      <c r="G205" s="72" t="s">
        <v>14</v>
      </c>
      <c r="H205" s="72" t="s">
        <v>1459</v>
      </c>
      <c r="I205" s="72" t="s">
        <v>1103</v>
      </c>
      <c r="J205" s="72" t="s">
        <v>2489</v>
      </c>
      <c r="K205" s="72" t="s">
        <v>2494</v>
      </c>
      <c r="L205" s="72" t="s">
        <v>2495</v>
      </c>
      <c r="M205" s="72" t="s">
        <v>2496</v>
      </c>
      <c r="N205" s="72" t="s">
        <v>2497</v>
      </c>
      <c r="O205" s="72"/>
      <c r="P205" s="72"/>
      <c r="Q205" s="72"/>
      <c r="R205" s="72"/>
      <c r="S205" s="72"/>
    </row>
    <row r="206" spans="1:19" x14ac:dyDescent="0.25">
      <c r="A206" s="72" t="s">
        <v>746</v>
      </c>
      <c r="B206" s="72" t="s">
        <v>66</v>
      </c>
      <c r="C206" s="72" t="s">
        <v>96</v>
      </c>
      <c r="D206" s="72" t="s">
        <v>354</v>
      </c>
      <c r="E206" s="72" t="s">
        <v>746</v>
      </c>
      <c r="F206" s="72" t="s">
        <v>747</v>
      </c>
      <c r="G206" s="72" t="s">
        <v>14</v>
      </c>
      <c r="H206" s="72" t="s">
        <v>1457</v>
      </c>
      <c r="I206" s="72" t="s">
        <v>2498</v>
      </c>
      <c r="J206" s="72" t="s">
        <v>2499</v>
      </c>
      <c r="K206" s="72" t="s">
        <v>2500</v>
      </c>
      <c r="L206" s="72" t="s">
        <v>2501</v>
      </c>
      <c r="M206" s="72" t="s">
        <v>2502</v>
      </c>
      <c r="N206" s="72" t="s">
        <v>2503</v>
      </c>
      <c r="O206" s="72"/>
      <c r="P206" s="72"/>
      <c r="Q206" s="72"/>
      <c r="R206" s="72"/>
      <c r="S206" s="72"/>
    </row>
    <row r="207" spans="1:19" x14ac:dyDescent="0.25">
      <c r="A207" s="72" t="s">
        <v>665</v>
      </c>
      <c r="B207" s="72" t="s">
        <v>66</v>
      </c>
      <c r="C207" s="72" t="s">
        <v>140</v>
      </c>
      <c r="D207" s="72" t="s">
        <v>396</v>
      </c>
      <c r="E207" s="72" t="s">
        <v>665</v>
      </c>
      <c r="F207" s="72" t="s">
        <v>666</v>
      </c>
      <c r="G207" s="72" t="s">
        <v>28</v>
      </c>
      <c r="H207" s="72" t="s">
        <v>87</v>
      </c>
      <c r="I207" s="72" t="s">
        <v>1723</v>
      </c>
      <c r="J207" s="72" t="s">
        <v>1724</v>
      </c>
      <c r="K207" s="72" t="s">
        <v>2504</v>
      </c>
      <c r="L207" s="72" t="s">
        <v>2505</v>
      </c>
      <c r="M207" s="72" t="s">
        <v>2506</v>
      </c>
      <c r="N207" s="72" t="s">
        <v>2507</v>
      </c>
      <c r="O207" s="72"/>
      <c r="P207" s="72"/>
      <c r="Q207" s="72"/>
      <c r="R207" s="72"/>
      <c r="S207" s="72"/>
    </row>
    <row r="208" spans="1:19" x14ac:dyDescent="0.25">
      <c r="A208" s="72" t="s">
        <v>705</v>
      </c>
      <c r="B208" s="72" t="s">
        <v>66</v>
      </c>
      <c r="C208" s="72" t="s">
        <v>96</v>
      </c>
      <c r="D208" s="72" t="s">
        <v>390</v>
      </c>
      <c r="E208" s="72" t="s">
        <v>705</v>
      </c>
      <c r="F208" s="72" t="s">
        <v>706</v>
      </c>
      <c r="G208" s="72" t="s">
        <v>28</v>
      </c>
      <c r="H208" s="72" t="s">
        <v>55</v>
      </c>
      <c r="I208" s="72" t="s">
        <v>1545</v>
      </c>
      <c r="J208" s="72" t="s">
        <v>2508</v>
      </c>
      <c r="K208" s="72" t="s">
        <v>2509</v>
      </c>
      <c r="L208" s="72" t="s">
        <v>2510</v>
      </c>
      <c r="M208" s="72" t="s">
        <v>2511</v>
      </c>
      <c r="N208" s="72" t="s">
        <v>2512</v>
      </c>
      <c r="O208" s="72"/>
      <c r="P208" s="72"/>
      <c r="Q208" s="72"/>
      <c r="R208" s="72"/>
      <c r="S208" s="72"/>
    </row>
    <row r="209" spans="1:19" x14ac:dyDescent="0.25">
      <c r="A209" s="72" t="s">
        <v>314</v>
      </c>
      <c r="B209" s="72" t="s">
        <v>66</v>
      </c>
      <c r="C209" s="72" t="s">
        <v>140</v>
      </c>
      <c r="D209" s="72" t="s">
        <v>313</v>
      </c>
      <c r="E209" s="72" t="s">
        <v>314</v>
      </c>
      <c r="F209" s="72" t="s">
        <v>315</v>
      </c>
      <c r="G209" s="72" t="s">
        <v>28</v>
      </c>
      <c r="H209" s="72" t="s">
        <v>79</v>
      </c>
      <c r="I209" s="72" t="s">
        <v>1545</v>
      </c>
      <c r="J209" s="72" t="s">
        <v>2508</v>
      </c>
      <c r="K209" s="72" t="s">
        <v>2513</v>
      </c>
      <c r="L209" s="72" t="s">
        <v>2514</v>
      </c>
      <c r="M209" s="72" t="s">
        <v>2515</v>
      </c>
      <c r="N209" s="72" t="s">
        <v>2516</v>
      </c>
      <c r="O209" s="72"/>
      <c r="P209" s="72"/>
      <c r="Q209" s="72"/>
      <c r="R209" s="72"/>
      <c r="S209" s="72"/>
    </row>
    <row r="210" spans="1:19" x14ac:dyDescent="0.25">
      <c r="A210" s="72" t="s">
        <v>467</v>
      </c>
      <c r="B210" s="72" t="s">
        <v>66</v>
      </c>
      <c r="C210" s="72" t="s">
        <v>47</v>
      </c>
      <c r="D210" s="72" t="s">
        <v>444</v>
      </c>
      <c r="E210" s="72" t="s">
        <v>467</v>
      </c>
      <c r="F210" s="72" t="s">
        <v>468</v>
      </c>
      <c r="G210" s="72" t="s">
        <v>28</v>
      </c>
      <c r="H210" s="72" t="s">
        <v>79</v>
      </c>
      <c r="I210" s="72" t="s">
        <v>1545</v>
      </c>
      <c r="J210" s="72" t="s">
        <v>2508</v>
      </c>
      <c r="K210" s="72" t="s">
        <v>2517</v>
      </c>
      <c r="L210" s="72" t="s">
        <v>2518</v>
      </c>
      <c r="M210" s="72" t="s">
        <v>2519</v>
      </c>
      <c r="N210" s="72" t="s">
        <v>2520</v>
      </c>
      <c r="O210" s="72"/>
      <c r="P210" s="72"/>
      <c r="Q210" s="72"/>
      <c r="R210" s="72"/>
      <c r="S210" s="72"/>
    </row>
    <row r="211" spans="1:19" x14ac:dyDescent="0.25">
      <c r="A211" s="72" t="s">
        <v>531</v>
      </c>
      <c r="B211" s="72" t="s">
        <v>66</v>
      </c>
      <c r="C211" s="72" t="s">
        <v>140</v>
      </c>
      <c r="D211" s="72" t="s">
        <v>501</v>
      </c>
      <c r="E211" s="72" t="s">
        <v>531</v>
      </c>
      <c r="F211" s="72" t="s">
        <v>532</v>
      </c>
      <c r="G211" s="72" t="s">
        <v>28</v>
      </c>
      <c r="H211" s="72" t="s">
        <v>983</v>
      </c>
      <c r="I211" s="72" t="s">
        <v>2521</v>
      </c>
      <c r="J211" s="72" t="s">
        <v>2522</v>
      </c>
      <c r="K211" s="72" t="s">
        <v>2523</v>
      </c>
      <c r="L211" s="72" t="s">
        <v>2524</v>
      </c>
      <c r="M211" s="72" t="s">
        <v>2525</v>
      </c>
      <c r="N211" s="72" t="s">
        <v>2526</v>
      </c>
      <c r="O211" s="72"/>
      <c r="P211" s="72"/>
      <c r="Q211" s="72"/>
      <c r="R211" s="72"/>
      <c r="S211" s="72"/>
    </row>
    <row r="212" spans="1:19" x14ac:dyDescent="0.25">
      <c r="A212" s="72" t="s">
        <v>469</v>
      </c>
      <c r="B212" s="72" t="s">
        <v>66</v>
      </c>
      <c r="C212" s="72" t="s">
        <v>47</v>
      </c>
      <c r="D212" s="72" t="s">
        <v>396</v>
      </c>
      <c r="E212" s="72" t="s">
        <v>469</v>
      </c>
      <c r="F212" s="72" t="s">
        <v>470</v>
      </c>
      <c r="G212" s="72" t="s">
        <v>28</v>
      </c>
      <c r="H212" s="72" t="s">
        <v>983</v>
      </c>
      <c r="I212" s="72" t="s">
        <v>1547</v>
      </c>
      <c r="J212" s="72" t="s">
        <v>1739</v>
      </c>
      <c r="K212" s="72" t="s">
        <v>2527</v>
      </c>
      <c r="L212" s="72" t="s">
        <v>2528</v>
      </c>
      <c r="M212" s="72" t="s">
        <v>2529</v>
      </c>
      <c r="N212" s="72" t="s">
        <v>2530</v>
      </c>
      <c r="O212" s="72"/>
      <c r="P212" s="72"/>
      <c r="Q212" s="72"/>
      <c r="R212" s="72"/>
      <c r="S212" s="72"/>
    </row>
    <row r="213" spans="1:19" x14ac:dyDescent="0.25">
      <c r="A213" s="72" t="s">
        <v>542</v>
      </c>
      <c r="B213" s="72" t="s">
        <v>66</v>
      </c>
      <c r="C213" s="72" t="s">
        <v>96</v>
      </c>
      <c r="D213" s="72" t="s">
        <v>351</v>
      </c>
      <c r="E213" s="72" t="s">
        <v>542</v>
      </c>
      <c r="F213" s="72" t="s">
        <v>543</v>
      </c>
      <c r="G213" s="72" t="s">
        <v>28</v>
      </c>
      <c r="H213" s="72" t="s">
        <v>983</v>
      </c>
      <c r="I213" s="72" t="s">
        <v>1547</v>
      </c>
      <c r="J213" s="72" t="s">
        <v>1739</v>
      </c>
      <c r="K213" s="72" t="s">
        <v>2531</v>
      </c>
      <c r="L213" s="72" t="s">
        <v>2532</v>
      </c>
      <c r="M213" s="72" t="s">
        <v>2533</v>
      </c>
      <c r="N213" s="72" t="s">
        <v>2534</v>
      </c>
      <c r="O213" s="72"/>
      <c r="P213" s="72"/>
      <c r="Q213" s="72"/>
      <c r="R213" s="72"/>
      <c r="S213" s="72"/>
    </row>
    <row r="214" spans="1:19" x14ac:dyDescent="0.25">
      <c r="A214" s="72" t="s">
        <v>59</v>
      </c>
      <c r="B214" s="72" t="s">
        <v>66</v>
      </c>
      <c r="C214" s="72" t="s">
        <v>10</v>
      </c>
      <c r="D214" s="72" t="s">
        <v>58</v>
      </c>
      <c r="E214" s="72" t="s">
        <v>59</v>
      </c>
      <c r="F214" s="72" t="s">
        <v>60</v>
      </c>
      <c r="G214" s="72" t="s">
        <v>14</v>
      </c>
      <c r="H214" s="72" t="s">
        <v>983</v>
      </c>
      <c r="I214" s="72" t="s">
        <v>1752</v>
      </c>
      <c r="J214" s="72" t="s">
        <v>1753</v>
      </c>
      <c r="K214" s="72" t="s">
        <v>2535</v>
      </c>
      <c r="L214" s="72" t="s">
        <v>2536</v>
      </c>
      <c r="M214" s="72" t="s">
        <v>2537</v>
      </c>
      <c r="N214" s="72" t="s">
        <v>2538</v>
      </c>
      <c r="O214" s="72"/>
      <c r="P214" s="72"/>
      <c r="Q214" s="72"/>
      <c r="R214" s="72"/>
      <c r="S214" s="72"/>
    </row>
    <row r="215" spans="1:19" x14ac:dyDescent="0.25">
      <c r="A215" s="72" t="s">
        <v>423</v>
      </c>
      <c r="B215" s="72" t="s">
        <v>66</v>
      </c>
      <c r="C215" s="72" t="s">
        <v>119</v>
      </c>
      <c r="D215" s="72" t="s">
        <v>133</v>
      </c>
      <c r="E215" s="72" t="s">
        <v>423</v>
      </c>
      <c r="F215" s="72" t="s">
        <v>424</v>
      </c>
      <c r="G215" s="72" t="s">
        <v>37</v>
      </c>
      <c r="H215" s="72" t="s">
        <v>132</v>
      </c>
      <c r="I215" s="72" t="s">
        <v>1548</v>
      </c>
      <c r="J215" s="72" t="s">
        <v>1763</v>
      </c>
      <c r="K215" s="72" t="s">
        <v>2539</v>
      </c>
      <c r="L215" s="72" t="s">
        <v>2540</v>
      </c>
      <c r="M215" s="72" t="s">
        <v>1286</v>
      </c>
      <c r="N215" s="72" t="s">
        <v>1283</v>
      </c>
      <c r="O215" s="72"/>
      <c r="P215" s="72"/>
      <c r="Q215" s="72"/>
      <c r="R215" s="72"/>
      <c r="S215" s="72"/>
    </row>
    <row r="216" spans="1:19" x14ac:dyDescent="0.25">
      <c r="A216" s="72" t="s">
        <v>428</v>
      </c>
      <c r="B216" s="72" t="s">
        <v>66</v>
      </c>
      <c r="C216" s="72" t="s">
        <v>10</v>
      </c>
      <c r="D216" s="72" t="s">
        <v>120</v>
      </c>
      <c r="E216" s="72" t="s">
        <v>428</v>
      </c>
      <c r="F216" s="72" t="s">
        <v>429</v>
      </c>
      <c r="G216" s="72" t="s">
        <v>37</v>
      </c>
      <c r="H216" s="72" t="s">
        <v>123</v>
      </c>
      <c r="I216" s="72" t="s">
        <v>1548</v>
      </c>
      <c r="J216" s="72" t="s">
        <v>1763</v>
      </c>
      <c r="K216" s="72" t="s">
        <v>2541</v>
      </c>
      <c r="L216" s="72" t="s">
        <v>2542</v>
      </c>
      <c r="M216" s="72" t="s">
        <v>1287</v>
      </c>
      <c r="N216" s="72" t="s">
        <v>1285</v>
      </c>
      <c r="O216" s="72"/>
      <c r="P216" s="72"/>
      <c r="Q216" s="72"/>
      <c r="R216" s="72"/>
      <c r="S216" s="72"/>
    </row>
    <row r="217" spans="1:19" x14ac:dyDescent="0.25">
      <c r="A217" s="72" t="s">
        <v>684</v>
      </c>
      <c r="B217" s="72" t="s">
        <v>66</v>
      </c>
      <c r="C217" s="72" t="s">
        <v>943</v>
      </c>
      <c r="D217" s="72" t="s">
        <v>390</v>
      </c>
      <c r="E217" s="72" t="s">
        <v>684</v>
      </c>
      <c r="F217" s="72" t="s">
        <v>685</v>
      </c>
      <c r="G217" s="72" t="s">
        <v>28</v>
      </c>
      <c r="H217" s="72" t="s">
        <v>287</v>
      </c>
      <c r="I217" s="72" t="s">
        <v>1766</v>
      </c>
      <c r="J217" s="72" t="s">
        <v>1767</v>
      </c>
      <c r="K217" s="72" t="s">
        <v>2543</v>
      </c>
      <c r="L217" s="72" t="s">
        <v>2544</v>
      </c>
      <c r="M217" s="72" t="s">
        <v>2545</v>
      </c>
      <c r="N217" s="72" t="s">
        <v>2546</v>
      </c>
      <c r="O217" s="72"/>
      <c r="P217" s="72"/>
      <c r="Q217" s="72"/>
      <c r="R217" s="72"/>
      <c r="S217" s="72"/>
    </row>
    <row r="218" spans="1:19" x14ac:dyDescent="0.25">
      <c r="A218" s="72" t="s">
        <v>74</v>
      </c>
      <c r="B218" s="72" t="s">
        <v>66</v>
      </c>
      <c r="C218" s="72" t="s">
        <v>140</v>
      </c>
      <c r="D218" s="72" t="s">
        <v>73</v>
      </c>
      <c r="E218" s="72" t="s">
        <v>74</v>
      </c>
      <c r="F218" s="72" t="s">
        <v>75</v>
      </c>
      <c r="G218" s="72" t="s">
        <v>14</v>
      </c>
      <c r="H218" s="72" t="s">
        <v>51</v>
      </c>
      <c r="I218" s="72" t="s">
        <v>1776</v>
      </c>
      <c r="J218" s="72" t="s">
        <v>1777</v>
      </c>
      <c r="K218" s="72" t="s">
        <v>2547</v>
      </c>
      <c r="L218" s="72" t="s">
        <v>2548</v>
      </c>
      <c r="M218" s="72" t="s">
        <v>2549</v>
      </c>
      <c r="N218" s="72" t="s">
        <v>2550</v>
      </c>
      <c r="O218" s="72"/>
      <c r="P218" s="72"/>
      <c r="Q218" s="72"/>
      <c r="R218" s="72"/>
      <c r="S218" s="72"/>
    </row>
    <row r="219" spans="1:19" x14ac:dyDescent="0.25">
      <c r="A219" s="72" t="s">
        <v>544</v>
      </c>
      <c r="B219" s="72" t="s">
        <v>66</v>
      </c>
      <c r="C219" s="72" t="s">
        <v>47</v>
      </c>
      <c r="D219" s="72" t="s">
        <v>113</v>
      </c>
      <c r="E219" s="72" t="s">
        <v>544</v>
      </c>
      <c r="F219" s="72" t="s">
        <v>545</v>
      </c>
      <c r="G219" s="72" t="s">
        <v>28</v>
      </c>
      <c r="H219" s="72" t="s">
        <v>70</v>
      </c>
      <c r="I219" s="72" t="s">
        <v>1550</v>
      </c>
      <c r="J219" s="72" t="s">
        <v>2271</v>
      </c>
      <c r="K219" s="72" t="s">
        <v>2551</v>
      </c>
      <c r="L219" s="72" t="s">
        <v>2552</v>
      </c>
      <c r="M219" s="72" t="s">
        <v>2553</v>
      </c>
      <c r="N219" s="72" t="s">
        <v>2554</v>
      </c>
      <c r="O219" s="72"/>
      <c r="P219" s="72"/>
      <c r="Q219" s="72"/>
      <c r="R219" s="72"/>
      <c r="S219" s="72"/>
    </row>
    <row r="220" spans="1:19" x14ac:dyDescent="0.25">
      <c r="A220" s="72" t="s">
        <v>279</v>
      </c>
      <c r="B220" s="72" t="s">
        <v>66</v>
      </c>
      <c r="C220" s="72" t="s">
        <v>140</v>
      </c>
      <c r="D220" s="72" t="s">
        <v>129</v>
      </c>
      <c r="E220" s="72" t="s">
        <v>279</v>
      </c>
      <c r="F220" s="72" t="s">
        <v>280</v>
      </c>
      <c r="G220" s="72" t="s">
        <v>37</v>
      </c>
      <c r="H220" s="72" t="s">
        <v>42</v>
      </c>
      <c r="I220" s="72" t="s">
        <v>1550</v>
      </c>
      <c r="J220" s="72" t="s">
        <v>2271</v>
      </c>
      <c r="K220" s="72" t="s">
        <v>2555</v>
      </c>
      <c r="L220" s="72" t="s">
        <v>2556</v>
      </c>
      <c r="M220" s="72" t="s">
        <v>1288</v>
      </c>
      <c r="N220" s="72" t="s">
        <v>2557</v>
      </c>
      <c r="O220" s="72"/>
      <c r="P220" s="72"/>
      <c r="Q220" s="72"/>
      <c r="R220" s="72"/>
      <c r="S220" s="72"/>
    </row>
    <row r="221" spans="1:19" x14ac:dyDescent="0.25">
      <c r="A221" s="72" t="s">
        <v>279</v>
      </c>
      <c r="B221" s="72" t="s">
        <v>66</v>
      </c>
      <c r="C221" s="72" t="s">
        <v>312</v>
      </c>
      <c r="D221" s="72" t="s">
        <v>129</v>
      </c>
      <c r="E221" s="72" t="s">
        <v>279</v>
      </c>
      <c r="F221" s="72" t="s">
        <v>280</v>
      </c>
      <c r="G221" s="72" t="s">
        <v>37</v>
      </c>
      <c r="H221" s="72" t="s">
        <v>38</v>
      </c>
      <c r="I221" s="72" t="s">
        <v>1550</v>
      </c>
      <c r="J221" s="72" t="s">
        <v>2271</v>
      </c>
      <c r="K221" s="72" t="s">
        <v>2558</v>
      </c>
      <c r="L221" s="72" t="s">
        <v>2559</v>
      </c>
      <c r="M221" s="72" t="s">
        <v>1289</v>
      </c>
      <c r="N221" s="72" t="s">
        <v>2557</v>
      </c>
      <c r="O221" s="72"/>
      <c r="P221" s="72"/>
      <c r="Q221" s="72"/>
      <c r="R221" s="72"/>
      <c r="S221" s="72"/>
    </row>
    <row r="222" spans="1:19" x14ac:dyDescent="0.25">
      <c r="A222" s="72" t="s">
        <v>71</v>
      </c>
      <c r="B222" s="72" t="s">
        <v>66</v>
      </c>
      <c r="C222" s="72" t="s">
        <v>96</v>
      </c>
      <c r="D222" s="72" t="s">
        <v>21</v>
      </c>
      <c r="E222" s="72" t="s">
        <v>71</v>
      </c>
      <c r="F222" s="72" t="s">
        <v>72</v>
      </c>
      <c r="G222" s="72" t="s">
        <v>19</v>
      </c>
      <c r="H222" s="72" t="s">
        <v>87</v>
      </c>
      <c r="I222" s="72" t="s">
        <v>2560</v>
      </c>
      <c r="J222" s="72" t="s">
        <v>2561</v>
      </c>
      <c r="K222" s="72" t="s">
        <v>2562</v>
      </c>
      <c r="L222" s="72" t="s">
        <v>2563</v>
      </c>
      <c r="M222" s="72" t="s">
        <v>2564</v>
      </c>
      <c r="N222" s="72" t="s">
        <v>2565</v>
      </c>
      <c r="O222" s="72"/>
      <c r="P222" s="72"/>
      <c r="Q222" s="72"/>
      <c r="R222" s="72"/>
      <c r="S222" s="72"/>
    </row>
    <row r="223" spans="1:19" x14ac:dyDescent="0.25">
      <c r="A223" s="72" t="s">
        <v>474</v>
      </c>
      <c r="B223" s="72" t="s">
        <v>66</v>
      </c>
      <c r="C223" s="72" t="s">
        <v>47</v>
      </c>
      <c r="D223" s="72" t="s">
        <v>229</v>
      </c>
      <c r="E223" s="72" t="s">
        <v>474</v>
      </c>
      <c r="F223" s="72" t="s">
        <v>475</v>
      </c>
      <c r="G223" s="72" t="s">
        <v>19</v>
      </c>
      <c r="H223" s="72" t="s">
        <v>87</v>
      </c>
      <c r="I223" s="72" t="s">
        <v>2560</v>
      </c>
      <c r="J223" s="72" t="s">
        <v>2561</v>
      </c>
      <c r="K223" s="72" t="s">
        <v>2566</v>
      </c>
      <c r="L223" s="72" t="s">
        <v>2567</v>
      </c>
      <c r="M223" s="72" t="s">
        <v>2568</v>
      </c>
      <c r="N223" s="72" t="s">
        <v>2569</v>
      </c>
      <c r="O223" s="72"/>
      <c r="P223" s="72"/>
      <c r="Q223" s="72"/>
      <c r="R223" s="72"/>
      <c r="S223" s="72"/>
    </row>
    <row r="224" spans="1:19" x14ac:dyDescent="0.25">
      <c r="A224" s="72" t="s">
        <v>480</v>
      </c>
      <c r="B224" s="72" t="s">
        <v>66</v>
      </c>
      <c r="C224" s="72" t="s">
        <v>96</v>
      </c>
      <c r="D224" s="72" t="s">
        <v>479</v>
      </c>
      <c r="E224" s="72" t="s">
        <v>480</v>
      </c>
      <c r="F224" s="72" t="s">
        <v>481</v>
      </c>
      <c r="G224" s="72" t="s">
        <v>28</v>
      </c>
      <c r="H224" s="72" t="s">
        <v>287</v>
      </c>
      <c r="I224" s="72" t="s">
        <v>1557</v>
      </c>
      <c r="J224" s="72" t="s">
        <v>2081</v>
      </c>
      <c r="K224" s="72" t="s">
        <v>2570</v>
      </c>
      <c r="L224" s="72" t="s">
        <v>2571</v>
      </c>
      <c r="M224" s="72" t="s">
        <v>2572</v>
      </c>
      <c r="N224" s="72" t="s">
        <v>2573</v>
      </c>
      <c r="O224" s="72"/>
      <c r="P224" s="72"/>
      <c r="Q224" s="72"/>
      <c r="R224" s="72"/>
      <c r="S224" s="72"/>
    </row>
    <row r="225" spans="1:19" x14ac:dyDescent="0.25">
      <c r="A225" s="72" t="s">
        <v>722</v>
      </c>
      <c r="B225" s="72" t="s">
        <v>66</v>
      </c>
      <c r="C225" s="72" t="s">
        <v>47</v>
      </c>
      <c r="D225" s="72" t="s">
        <v>144</v>
      </c>
      <c r="E225" s="72" t="s">
        <v>722</v>
      </c>
      <c r="F225" s="72" t="s">
        <v>723</v>
      </c>
      <c r="G225" s="72" t="s">
        <v>28</v>
      </c>
      <c r="H225" s="72" t="s">
        <v>83</v>
      </c>
      <c r="I225" s="72" t="s">
        <v>1557</v>
      </c>
      <c r="J225" s="72" t="s">
        <v>2081</v>
      </c>
      <c r="K225" s="72" t="s">
        <v>2097</v>
      </c>
      <c r="L225" s="72" t="s">
        <v>2574</v>
      </c>
      <c r="M225" s="72" t="s">
        <v>2575</v>
      </c>
      <c r="N225" s="72" t="s">
        <v>2576</v>
      </c>
      <c r="O225" s="72"/>
      <c r="P225" s="72"/>
      <c r="Q225" s="72"/>
      <c r="R225" s="72"/>
      <c r="S225" s="72"/>
    </row>
    <row r="226" spans="1:19" x14ac:dyDescent="0.25">
      <c r="A226" s="72" t="s">
        <v>606</v>
      </c>
      <c r="B226" s="72" t="s">
        <v>66</v>
      </c>
      <c r="C226" s="72" t="s">
        <v>140</v>
      </c>
      <c r="D226" s="72" t="s">
        <v>605</v>
      </c>
      <c r="E226" s="72" t="s">
        <v>606</v>
      </c>
      <c r="F226" s="72" t="s">
        <v>607</v>
      </c>
      <c r="G226" s="72" t="s">
        <v>28</v>
      </c>
      <c r="H226" s="72" t="s">
        <v>267</v>
      </c>
      <c r="I226" s="72" t="s">
        <v>1560</v>
      </c>
      <c r="J226" s="72" t="s">
        <v>2154</v>
      </c>
      <c r="K226" s="72" t="s">
        <v>2577</v>
      </c>
      <c r="L226" s="72" t="s">
        <v>2578</v>
      </c>
      <c r="M226" s="72" t="s">
        <v>2579</v>
      </c>
      <c r="N226" s="72" t="s">
        <v>2580</v>
      </c>
      <c r="O226" s="72"/>
      <c r="P226" s="72"/>
      <c r="Q226" s="72"/>
      <c r="R226" s="72"/>
      <c r="S226" s="72"/>
    </row>
    <row r="227" spans="1:19" x14ac:dyDescent="0.25">
      <c r="A227" s="72" t="s">
        <v>1481</v>
      </c>
      <c r="B227" s="72" t="s">
        <v>66</v>
      </c>
      <c r="C227" s="72" t="s">
        <v>96</v>
      </c>
      <c r="D227" s="72" t="s">
        <v>1213</v>
      </c>
      <c r="E227" s="72" t="s">
        <v>1481</v>
      </c>
      <c r="F227" s="72" t="s">
        <v>547</v>
      </c>
      <c r="G227" s="72" t="s">
        <v>19</v>
      </c>
      <c r="H227" s="72" t="s">
        <v>237</v>
      </c>
      <c r="I227" s="72" t="s">
        <v>2581</v>
      </c>
      <c r="J227" s="72" t="s">
        <v>2582</v>
      </c>
      <c r="K227" s="72" t="s">
        <v>2583</v>
      </c>
      <c r="L227" s="72" t="s">
        <v>2584</v>
      </c>
      <c r="M227" s="72" t="s">
        <v>2585</v>
      </c>
      <c r="N227" s="72" t="s">
        <v>2586</v>
      </c>
      <c r="O227" s="72"/>
      <c r="P227" s="72"/>
      <c r="Q227" s="72"/>
      <c r="R227" s="72"/>
      <c r="S227" s="72"/>
    </row>
    <row r="228" spans="1:19" x14ac:dyDescent="0.25">
      <c r="A228" s="72" t="s">
        <v>689</v>
      </c>
      <c r="B228" s="72" t="s">
        <v>66</v>
      </c>
      <c r="C228" s="72" t="s">
        <v>10</v>
      </c>
      <c r="D228" s="72" t="s">
        <v>688</v>
      </c>
      <c r="E228" s="72" t="s">
        <v>689</v>
      </c>
      <c r="F228" s="72" t="s">
        <v>690</v>
      </c>
      <c r="G228" s="72" t="s">
        <v>19</v>
      </c>
      <c r="H228" s="72" t="s">
        <v>24</v>
      </c>
      <c r="I228" s="72" t="s">
        <v>2587</v>
      </c>
      <c r="J228" s="72" t="s">
        <v>2588</v>
      </c>
      <c r="K228" s="72" t="s">
        <v>2589</v>
      </c>
      <c r="L228" s="72" t="s">
        <v>2590</v>
      </c>
      <c r="M228" s="72" t="s">
        <v>2591</v>
      </c>
      <c r="N228" s="72" t="s">
        <v>2592</v>
      </c>
      <c r="O228" s="72"/>
      <c r="P228" s="72"/>
      <c r="Q228" s="72"/>
      <c r="R228" s="72"/>
      <c r="S228" s="72"/>
    </row>
    <row r="229" spans="1:19" x14ac:dyDescent="0.25">
      <c r="A229" s="72" t="s">
        <v>561</v>
      </c>
      <c r="B229" s="72" t="s">
        <v>66</v>
      </c>
      <c r="C229" s="72" t="s">
        <v>96</v>
      </c>
      <c r="D229" s="72" t="s">
        <v>476</v>
      </c>
      <c r="E229" s="72" t="s">
        <v>561</v>
      </c>
      <c r="F229" s="72" t="s">
        <v>562</v>
      </c>
      <c r="G229" s="72" t="s">
        <v>14</v>
      </c>
      <c r="H229" s="72" t="s">
        <v>1458</v>
      </c>
      <c r="I229" s="72" t="s">
        <v>2187</v>
      </c>
      <c r="J229" s="72" t="s">
        <v>2188</v>
      </c>
      <c r="K229" s="72" t="s">
        <v>2593</v>
      </c>
      <c r="L229" s="72" t="s">
        <v>2594</v>
      </c>
      <c r="M229" s="72" t="s">
        <v>2595</v>
      </c>
      <c r="N229" s="72" t="s">
        <v>2596</v>
      </c>
      <c r="O229" s="72"/>
      <c r="P229" s="72"/>
      <c r="Q229" s="72"/>
      <c r="R229" s="72"/>
      <c r="S229" s="72"/>
    </row>
    <row r="230" spans="1:19" x14ac:dyDescent="0.25">
      <c r="A230" s="72" t="s">
        <v>1428</v>
      </c>
      <c r="B230" s="72" t="s">
        <v>66</v>
      </c>
      <c r="C230" s="72" t="s">
        <v>10</v>
      </c>
      <c r="D230" s="72" t="s">
        <v>1421</v>
      </c>
      <c r="E230" s="72" t="s">
        <v>1428</v>
      </c>
      <c r="F230" s="72" t="s">
        <v>294</v>
      </c>
      <c r="G230" s="72" t="s">
        <v>37</v>
      </c>
      <c r="H230" s="72" t="s">
        <v>120</v>
      </c>
      <c r="I230" s="72" t="s">
        <v>1427</v>
      </c>
      <c r="J230" s="72" t="s">
        <v>1854</v>
      </c>
      <c r="K230" s="72" t="s">
        <v>2597</v>
      </c>
      <c r="L230" s="72" t="s">
        <v>2598</v>
      </c>
      <c r="M230" s="72" t="s">
        <v>2599</v>
      </c>
      <c r="N230" s="72" t="s">
        <v>2600</v>
      </c>
      <c r="O230" s="72"/>
      <c r="P230" s="72"/>
      <c r="Q230" s="72"/>
      <c r="R230" s="72"/>
      <c r="S230" s="72"/>
    </row>
    <row r="231" spans="1:19" x14ac:dyDescent="0.25">
      <c r="A231" s="72" t="s">
        <v>409</v>
      </c>
      <c r="B231" s="72" t="s">
        <v>66</v>
      </c>
      <c r="C231" s="72" t="s">
        <v>10</v>
      </c>
      <c r="D231" s="72" t="s">
        <v>408</v>
      </c>
      <c r="E231" s="72" t="s">
        <v>409</v>
      </c>
      <c r="F231" s="72" t="s">
        <v>410</v>
      </c>
      <c r="G231" s="72" t="s">
        <v>14</v>
      </c>
      <c r="H231" s="72" t="s">
        <v>241</v>
      </c>
      <c r="I231" s="72" t="s">
        <v>1567</v>
      </c>
      <c r="J231" s="72" t="s">
        <v>1837</v>
      </c>
      <c r="K231" s="72" t="s">
        <v>2601</v>
      </c>
      <c r="L231" s="72" t="s">
        <v>2602</v>
      </c>
      <c r="M231" s="72" t="s">
        <v>2603</v>
      </c>
      <c r="N231" s="72" t="s">
        <v>2604</v>
      </c>
      <c r="O231" s="72"/>
      <c r="P231" s="72"/>
      <c r="Q231" s="72"/>
      <c r="R231" s="72"/>
      <c r="S231" s="72"/>
    </row>
    <row r="232" spans="1:19" x14ac:dyDescent="0.25">
      <c r="A232" s="72" t="s">
        <v>366</v>
      </c>
      <c r="B232" s="72" t="s">
        <v>66</v>
      </c>
      <c r="C232" s="72" t="s">
        <v>47</v>
      </c>
      <c r="D232" s="72" t="s">
        <v>217</v>
      </c>
      <c r="E232" s="72" t="s">
        <v>366</v>
      </c>
      <c r="F232" s="72" t="s">
        <v>367</v>
      </c>
      <c r="G232" s="72" t="s">
        <v>14</v>
      </c>
      <c r="H232" s="72" t="s">
        <v>1457</v>
      </c>
      <c r="I232" s="72" t="s">
        <v>1098</v>
      </c>
      <c r="J232" s="72" t="s">
        <v>2605</v>
      </c>
      <c r="K232" s="72" t="s">
        <v>2606</v>
      </c>
      <c r="L232" s="72" t="s">
        <v>2607</v>
      </c>
      <c r="M232" s="72" t="s">
        <v>2608</v>
      </c>
      <c r="N232" s="72" t="s">
        <v>2609</v>
      </c>
      <c r="O232" s="72"/>
      <c r="P232" s="72"/>
      <c r="Q232" s="72"/>
      <c r="R232" s="72"/>
      <c r="S232" s="72"/>
    </row>
    <row r="233" spans="1:19" x14ac:dyDescent="0.25">
      <c r="A233" s="72" t="s">
        <v>487</v>
      </c>
      <c r="B233" s="72" t="s">
        <v>66</v>
      </c>
      <c r="C233" s="72" t="s">
        <v>140</v>
      </c>
      <c r="D233" s="72" t="s">
        <v>281</v>
      </c>
      <c r="E233" s="72" t="s">
        <v>487</v>
      </c>
      <c r="F233" s="72" t="s">
        <v>488</v>
      </c>
      <c r="G233" s="72" t="s">
        <v>14</v>
      </c>
      <c r="H233" s="72" t="s">
        <v>1457</v>
      </c>
      <c r="I233" s="72" t="s">
        <v>1098</v>
      </c>
      <c r="J233" s="72" t="s">
        <v>2605</v>
      </c>
      <c r="K233" s="72" t="s">
        <v>2610</v>
      </c>
      <c r="L233" s="72" t="s">
        <v>2611</v>
      </c>
      <c r="M233" s="72" t="s">
        <v>2612</v>
      </c>
      <c r="N233" s="72" t="s">
        <v>2613</v>
      </c>
      <c r="O233" s="72"/>
      <c r="P233" s="72"/>
      <c r="Q233" s="72"/>
      <c r="R233" s="72"/>
      <c r="S233" s="72"/>
    </row>
    <row r="234" spans="1:19" x14ac:dyDescent="0.25">
      <c r="A234" s="72" t="s">
        <v>329</v>
      </c>
      <c r="B234" s="72" t="s">
        <v>66</v>
      </c>
      <c r="C234" s="72" t="s">
        <v>10</v>
      </c>
      <c r="D234" s="72" t="s">
        <v>1669</v>
      </c>
      <c r="E234" s="72" t="s">
        <v>329</v>
      </c>
      <c r="F234" s="72" t="s">
        <v>330</v>
      </c>
      <c r="G234" s="72" t="s">
        <v>14</v>
      </c>
      <c r="H234" s="72" t="s">
        <v>61</v>
      </c>
      <c r="I234" s="72" t="s">
        <v>1819</v>
      </c>
      <c r="J234" s="72" t="s">
        <v>1820</v>
      </c>
      <c r="K234" s="72" t="s">
        <v>2614</v>
      </c>
      <c r="L234" s="72" t="s">
        <v>2615</v>
      </c>
      <c r="M234" s="72" t="s">
        <v>2616</v>
      </c>
      <c r="N234" s="72" t="s">
        <v>2617</v>
      </c>
      <c r="O234" s="72"/>
      <c r="P234" s="72"/>
      <c r="Q234" s="72"/>
      <c r="R234" s="72"/>
      <c r="S234" s="72"/>
    </row>
    <row r="235" spans="1:19" x14ac:dyDescent="0.25">
      <c r="A235" s="72" t="s">
        <v>494</v>
      </c>
      <c r="B235" s="72" t="s">
        <v>66</v>
      </c>
      <c r="C235" s="72" t="s">
        <v>10</v>
      </c>
      <c r="D235" s="72" t="s">
        <v>1670</v>
      </c>
      <c r="E235" s="72" t="s">
        <v>494</v>
      </c>
      <c r="F235" s="72" t="s">
        <v>495</v>
      </c>
      <c r="G235" s="72" t="s">
        <v>14</v>
      </c>
      <c r="H235" s="72" t="s">
        <v>1671</v>
      </c>
      <c r="I235" s="72" t="s">
        <v>1571</v>
      </c>
      <c r="J235" s="72" t="s">
        <v>2618</v>
      </c>
      <c r="K235" s="72" t="s">
        <v>2619</v>
      </c>
      <c r="L235" s="72" t="s">
        <v>2620</v>
      </c>
      <c r="M235" s="72" t="s">
        <v>2621</v>
      </c>
      <c r="N235" s="72" t="s">
        <v>2622</v>
      </c>
      <c r="O235" s="72"/>
      <c r="P235" s="72"/>
      <c r="Q235" s="72"/>
      <c r="R235" s="72"/>
      <c r="S235" s="72"/>
    </row>
    <row r="236" spans="1:19" x14ac:dyDescent="0.25">
      <c r="A236" s="72" t="s">
        <v>1224</v>
      </c>
      <c r="B236" s="72" t="s">
        <v>66</v>
      </c>
      <c r="C236" s="72" t="s">
        <v>96</v>
      </c>
      <c r="D236" s="72" t="s">
        <v>1223</v>
      </c>
      <c r="E236" s="72" t="s">
        <v>1224</v>
      </c>
      <c r="F236" s="72" t="s">
        <v>371</v>
      </c>
      <c r="G236" s="72" t="s">
        <v>14</v>
      </c>
      <c r="H236" s="72" t="s">
        <v>15</v>
      </c>
      <c r="I236" s="72" t="s">
        <v>1572</v>
      </c>
      <c r="J236" s="72" t="s">
        <v>2058</v>
      </c>
      <c r="K236" s="72" t="s">
        <v>2623</v>
      </c>
      <c r="L236" s="72" t="s">
        <v>2624</v>
      </c>
      <c r="M236" s="72" t="s">
        <v>2625</v>
      </c>
      <c r="N236" s="72" t="s">
        <v>2626</v>
      </c>
      <c r="O236" s="72"/>
      <c r="P236" s="72"/>
      <c r="Q236" s="72"/>
      <c r="R236" s="72"/>
      <c r="S236" s="72"/>
    </row>
    <row r="237" spans="1:19" x14ac:dyDescent="0.25">
      <c r="A237" s="72" t="s">
        <v>553</v>
      </c>
      <c r="B237" s="72" t="s">
        <v>66</v>
      </c>
      <c r="C237" s="72" t="s">
        <v>47</v>
      </c>
      <c r="D237" s="72" t="s">
        <v>1194</v>
      </c>
      <c r="E237" s="72" t="s">
        <v>553</v>
      </c>
      <c r="F237" s="72" t="s">
        <v>554</v>
      </c>
      <c r="G237" s="72" t="s">
        <v>28</v>
      </c>
      <c r="H237" s="72" t="s">
        <v>91</v>
      </c>
      <c r="I237" s="72" t="s">
        <v>1849</v>
      </c>
      <c r="J237" s="72" t="s">
        <v>1850</v>
      </c>
      <c r="K237" s="72" t="s">
        <v>2627</v>
      </c>
      <c r="L237" s="72" t="s">
        <v>2628</v>
      </c>
      <c r="M237" s="72" t="s">
        <v>2629</v>
      </c>
      <c r="N237" s="72" t="s">
        <v>2630</v>
      </c>
      <c r="O237" s="72"/>
      <c r="P237" s="72"/>
      <c r="Q237" s="72"/>
      <c r="R237" s="72"/>
      <c r="S237" s="72"/>
    </row>
    <row r="238" spans="1:19" x14ac:dyDescent="0.25">
      <c r="A238" s="72" t="s">
        <v>592</v>
      </c>
      <c r="B238" s="72" t="s">
        <v>66</v>
      </c>
      <c r="C238" s="72" t="s">
        <v>96</v>
      </c>
      <c r="D238" s="72" t="s">
        <v>144</v>
      </c>
      <c r="E238" s="72" t="s">
        <v>592</v>
      </c>
      <c r="F238" s="72" t="s">
        <v>593</v>
      </c>
      <c r="G238" s="72" t="s">
        <v>28</v>
      </c>
      <c r="H238" s="72" t="s">
        <v>983</v>
      </c>
      <c r="I238" s="72" t="s">
        <v>2521</v>
      </c>
      <c r="J238" s="72" t="s">
        <v>2522</v>
      </c>
      <c r="K238" s="72" t="s">
        <v>2531</v>
      </c>
      <c r="L238" s="72" t="s">
        <v>2631</v>
      </c>
      <c r="M238" s="72" t="s">
        <v>2632</v>
      </c>
      <c r="N238" s="72" t="s">
        <v>2633</v>
      </c>
      <c r="O238" s="72"/>
      <c r="P238" s="72"/>
      <c r="Q238" s="72"/>
      <c r="R238" s="72"/>
      <c r="S238" s="72"/>
    </row>
    <row r="239" spans="1:19" x14ac:dyDescent="0.25">
      <c r="A239" s="72" t="s">
        <v>756</v>
      </c>
      <c r="B239" s="72" t="s">
        <v>66</v>
      </c>
      <c r="C239" s="72" t="s">
        <v>140</v>
      </c>
      <c r="D239" s="72" t="s">
        <v>144</v>
      </c>
      <c r="E239" s="72" t="s">
        <v>756</v>
      </c>
      <c r="F239" s="72" t="s">
        <v>757</v>
      </c>
      <c r="G239" s="72" t="s">
        <v>28</v>
      </c>
      <c r="H239" s="72" t="s">
        <v>237</v>
      </c>
      <c r="I239" s="72" t="s">
        <v>1578</v>
      </c>
      <c r="J239" s="72" t="s">
        <v>2634</v>
      </c>
      <c r="K239" s="72" t="s">
        <v>2635</v>
      </c>
      <c r="L239" s="72" t="s">
        <v>2636</v>
      </c>
      <c r="M239" s="72" t="s">
        <v>2637</v>
      </c>
      <c r="N239" s="72" t="s">
        <v>2638</v>
      </c>
      <c r="O239" s="72"/>
      <c r="P239" s="72"/>
      <c r="Q239" s="72"/>
      <c r="R239" s="72"/>
      <c r="S239" s="72"/>
    </row>
    <row r="240" spans="1:19" x14ac:dyDescent="0.25">
      <c r="A240" s="72" t="s">
        <v>642</v>
      </c>
      <c r="B240" s="72" t="s">
        <v>66</v>
      </c>
      <c r="C240" s="72" t="s">
        <v>96</v>
      </c>
      <c r="D240" s="72" t="s">
        <v>501</v>
      </c>
      <c r="E240" s="72" t="s">
        <v>642</v>
      </c>
      <c r="F240" s="72" t="s">
        <v>643</v>
      </c>
      <c r="G240" s="72" t="s">
        <v>28</v>
      </c>
      <c r="H240" s="72" t="s">
        <v>79</v>
      </c>
      <c r="I240" s="72" t="s">
        <v>1438</v>
      </c>
      <c r="J240" s="72" t="s">
        <v>2639</v>
      </c>
      <c r="K240" s="72" t="s">
        <v>2640</v>
      </c>
      <c r="L240" s="72" t="s">
        <v>2641</v>
      </c>
      <c r="M240" s="72" t="s">
        <v>2642</v>
      </c>
      <c r="N240" s="72" t="s">
        <v>2643</v>
      </c>
      <c r="O240" s="72"/>
      <c r="P240" s="72"/>
      <c r="Q240" s="72"/>
      <c r="R240" s="72"/>
      <c r="S240" s="72"/>
    </row>
    <row r="241" spans="1:19" x14ac:dyDescent="0.25">
      <c r="A241" s="72" t="s">
        <v>496</v>
      </c>
      <c r="B241" s="72" t="s">
        <v>66</v>
      </c>
      <c r="C241" s="72" t="s">
        <v>47</v>
      </c>
      <c r="D241" s="72" t="s">
        <v>106</v>
      </c>
      <c r="E241" s="72" t="s">
        <v>496</v>
      </c>
      <c r="F241" s="72" t="s">
        <v>497</v>
      </c>
      <c r="G241" s="72" t="s">
        <v>28</v>
      </c>
      <c r="H241" s="72" t="s">
        <v>267</v>
      </c>
      <c r="I241" s="72" t="s">
        <v>1560</v>
      </c>
      <c r="J241" s="72" t="s">
        <v>2154</v>
      </c>
      <c r="K241" s="72" t="s">
        <v>2644</v>
      </c>
      <c r="L241" s="72" t="s">
        <v>2645</v>
      </c>
      <c r="M241" s="72" t="s">
        <v>2646</v>
      </c>
      <c r="N241" s="72" t="s">
        <v>2647</v>
      </c>
      <c r="O241" s="72"/>
      <c r="P241" s="72"/>
      <c r="Q241" s="72"/>
      <c r="R241" s="72"/>
      <c r="S241" s="72"/>
    </row>
    <row r="242" spans="1:19" x14ac:dyDescent="0.25">
      <c r="A242" s="72" t="s">
        <v>499</v>
      </c>
      <c r="B242" s="72" t="s">
        <v>66</v>
      </c>
      <c r="C242" s="72" t="s">
        <v>140</v>
      </c>
      <c r="D242" s="72" t="s">
        <v>76</v>
      </c>
      <c r="E242" s="72" t="s">
        <v>499</v>
      </c>
      <c r="F242" s="72" t="s">
        <v>500</v>
      </c>
      <c r="G242" s="72" t="s">
        <v>28</v>
      </c>
      <c r="H242" s="72" t="s">
        <v>55</v>
      </c>
      <c r="I242" s="72" t="s">
        <v>1438</v>
      </c>
      <c r="J242" s="72" t="s">
        <v>2639</v>
      </c>
      <c r="K242" s="72" t="s">
        <v>2648</v>
      </c>
      <c r="L242" s="72" t="s">
        <v>2649</v>
      </c>
      <c r="M242" s="72" t="s">
        <v>2650</v>
      </c>
      <c r="N242" s="72" t="s">
        <v>2651</v>
      </c>
      <c r="O242" s="72"/>
      <c r="P242" s="72"/>
      <c r="Q242" s="72"/>
      <c r="R242" s="72"/>
      <c r="S242" s="72"/>
    </row>
    <row r="243" spans="1:19" x14ac:dyDescent="0.25">
      <c r="A243" s="72" t="s">
        <v>430</v>
      </c>
      <c r="B243" s="72" t="s">
        <v>66</v>
      </c>
      <c r="C243" s="72" t="s">
        <v>128</v>
      </c>
      <c r="D243" s="72" t="s">
        <v>133</v>
      </c>
      <c r="E243" s="72" t="s">
        <v>430</v>
      </c>
      <c r="F243" s="72" t="s">
        <v>431</v>
      </c>
      <c r="G243" s="72" t="s">
        <v>37</v>
      </c>
      <c r="H243" s="72" t="s">
        <v>136</v>
      </c>
      <c r="I243" s="72" t="s">
        <v>1418</v>
      </c>
      <c r="J243" s="72" t="s">
        <v>2101</v>
      </c>
      <c r="K243" s="72" t="s">
        <v>2652</v>
      </c>
      <c r="L243" s="72" t="s">
        <v>2653</v>
      </c>
      <c r="M243" s="72" t="s">
        <v>1312</v>
      </c>
      <c r="N243" s="72" t="s">
        <v>1311</v>
      </c>
      <c r="O243" s="72"/>
      <c r="P243" s="72"/>
      <c r="Q243" s="72"/>
      <c r="R243" s="72"/>
      <c r="S243" s="72"/>
    </row>
    <row r="244" spans="1:19" x14ac:dyDescent="0.25">
      <c r="A244" s="72" t="s">
        <v>502</v>
      </c>
      <c r="B244" s="72" t="s">
        <v>66</v>
      </c>
      <c r="C244" s="72" t="s">
        <v>47</v>
      </c>
      <c r="D244" s="72" t="s">
        <v>501</v>
      </c>
      <c r="E244" s="72" t="s">
        <v>502</v>
      </c>
      <c r="F244" s="72" t="s">
        <v>503</v>
      </c>
      <c r="G244" s="72" t="s">
        <v>28</v>
      </c>
      <c r="H244" s="72" t="s">
        <v>24</v>
      </c>
      <c r="I244" s="72" t="s">
        <v>1134</v>
      </c>
      <c r="J244" s="72" t="s">
        <v>1798</v>
      </c>
      <c r="K244" s="72" t="s">
        <v>2654</v>
      </c>
      <c r="L244" s="72" t="s">
        <v>2655</v>
      </c>
      <c r="M244" s="72" t="s">
        <v>2656</v>
      </c>
      <c r="N244" s="72" t="s">
        <v>2657</v>
      </c>
      <c r="O244" s="72"/>
      <c r="P244" s="72"/>
      <c r="Q244" s="72"/>
      <c r="R244" s="72"/>
      <c r="S244" s="72"/>
    </row>
    <row r="245" spans="1:19" x14ac:dyDescent="0.25">
      <c r="A245" s="72" t="s">
        <v>555</v>
      </c>
      <c r="B245" s="72" t="s">
        <v>66</v>
      </c>
      <c r="C245" s="72" t="s">
        <v>96</v>
      </c>
      <c r="D245" s="72" t="s">
        <v>25</v>
      </c>
      <c r="E245" s="72" t="s">
        <v>555</v>
      </c>
      <c r="F245" s="72" t="s">
        <v>556</v>
      </c>
      <c r="G245" s="72" t="s">
        <v>28</v>
      </c>
      <c r="H245" s="72" t="s">
        <v>83</v>
      </c>
      <c r="I245" s="72" t="s">
        <v>1134</v>
      </c>
      <c r="J245" s="72" t="s">
        <v>1798</v>
      </c>
      <c r="K245" s="72" t="s">
        <v>2485</v>
      </c>
      <c r="L245" s="72" t="s">
        <v>2658</v>
      </c>
      <c r="M245" s="72" t="s">
        <v>2659</v>
      </c>
      <c r="N245" s="72" t="s">
        <v>2660</v>
      </c>
      <c r="O245" s="72"/>
      <c r="P245" s="72"/>
      <c r="Q245" s="72"/>
      <c r="R245" s="72"/>
      <c r="S245" s="72"/>
    </row>
    <row r="246" spans="1:19" x14ac:dyDescent="0.25">
      <c r="A246" s="72" t="s">
        <v>594</v>
      </c>
      <c r="B246" s="72" t="s">
        <v>66</v>
      </c>
      <c r="C246" s="72" t="s">
        <v>140</v>
      </c>
      <c r="D246" s="72" t="s">
        <v>390</v>
      </c>
      <c r="E246" s="72" t="s">
        <v>594</v>
      </c>
      <c r="F246" s="72" t="s">
        <v>595</v>
      </c>
      <c r="G246" s="72" t="s">
        <v>28</v>
      </c>
      <c r="H246" s="72" t="s">
        <v>79</v>
      </c>
      <c r="I246" s="72" t="s">
        <v>1134</v>
      </c>
      <c r="J246" s="72" t="s">
        <v>1798</v>
      </c>
      <c r="K246" s="72" t="s">
        <v>2513</v>
      </c>
      <c r="L246" s="72" t="s">
        <v>2661</v>
      </c>
      <c r="M246" s="72" t="s">
        <v>2662</v>
      </c>
      <c r="N246" s="72" t="s">
        <v>2663</v>
      </c>
      <c r="O246" s="72"/>
      <c r="P246" s="72"/>
      <c r="Q246" s="72"/>
      <c r="R246" s="72"/>
      <c r="S246" s="72"/>
    </row>
    <row r="247" spans="1:19" x14ac:dyDescent="0.25">
      <c r="A247" s="72" t="s">
        <v>302</v>
      </c>
      <c r="B247" s="72" t="s">
        <v>66</v>
      </c>
      <c r="C247" s="72" t="s">
        <v>128</v>
      </c>
      <c r="D247" s="72" t="s">
        <v>180</v>
      </c>
      <c r="E247" s="72" t="s">
        <v>302</v>
      </c>
      <c r="F247" s="72" t="s">
        <v>303</v>
      </c>
      <c r="G247" s="72" t="s">
        <v>37</v>
      </c>
      <c r="H247" s="72" t="s">
        <v>132</v>
      </c>
      <c r="I247" s="72" t="s">
        <v>1862</v>
      </c>
      <c r="J247" s="72" t="s">
        <v>1863</v>
      </c>
      <c r="K247" s="72" t="s">
        <v>2664</v>
      </c>
      <c r="L247" s="72" t="s">
        <v>2665</v>
      </c>
      <c r="M247" s="72" t="s">
        <v>1331</v>
      </c>
      <c r="N247" s="72" t="s">
        <v>1330</v>
      </c>
      <c r="O247" s="72"/>
      <c r="P247" s="72"/>
      <c r="Q247" s="72"/>
      <c r="R247" s="72"/>
      <c r="S247" s="72"/>
    </row>
    <row r="248" spans="1:19" x14ac:dyDescent="0.25">
      <c r="A248" s="72" t="s">
        <v>272</v>
      </c>
      <c r="B248" s="72" t="s">
        <v>66</v>
      </c>
      <c r="C248" s="72" t="s">
        <v>177</v>
      </c>
      <c r="D248" s="72" t="s">
        <v>34</v>
      </c>
      <c r="E248" s="72" t="s">
        <v>272</v>
      </c>
      <c r="F248" s="72" t="s">
        <v>273</v>
      </c>
      <c r="G248" s="72" t="s">
        <v>37</v>
      </c>
      <c r="H248" s="72" t="s">
        <v>38</v>
      </c>
      <c r="I248" s="72" t="s">
        <v>1862</v>
      </c>
      <c r="J248" s="72" t="s">
        <v>1863</v>
      </c>
      <c r="K248" s="72" t="s">
        <v>2666</v>
      </c>
      <c r="L248" s="72" t="s">
        <v>2667</v>
      </c>
      <c r="M248" s="72" t="s">
        <v>1332</v>
      </c>
      <c r="N248" s="72" t="s">
        <v>1328</v>
      </c>
      <c r="O248" s="72"/>
      <c r="P248" s="72"/>
      <c r="Q248" s="72"/>
      <c r="R248" s="72"/>
      <c r="S248" s="72"/>
    </row>
    <row r="249" spans="1:19" x14ac:dyDescent="0.25">
      <c r="A249" s="72" t="s">
        <v>295</v>
      </c>
      <c r="B249" s="72" t="s">
        <v>66</v>
      </c>
      <c r="C249" s="72" t="s">
        <v>177</v>
      </c>
      <c r="D249" s="72" t="s">
        <v>133</v>
      </c>
      <c r="E249" s="72" t="s">
        <v>295</v>
      </c>
      <c r="F249" s="72" t="s">
        <v>296</v>
      </c>
      <c r="G249" s="72" t="s">
        <v>37</v>
      </c>
      <c r="H249" s="72" t="s">
        <v>132</v>
      </c>
      <c r="I249" s="72" t="s">
        <v>1849</v>
      </c>
      <c r="J249" s="72" t="s">
        <v>1850</v>
      </c>
      <c r="K249" s="72" t="s">
        <v>2668</v>
      </c>
      <c r="L249" s="72" t="s">
        <v>2669</v>
      </c>
      <c r="M249" s="72" t="s">
        <v>1338</v>
      </c>
      <c r="N249" s="72" t="s">
        <v>1334</v>
      </c>
      <c r="O249" s="72"/>
      <c r="P249" s="72"/>
      <c r="Q249" s="72"/>
      <c r="R249" s="72"/>
      <c r="S249" s="72"/>
    </row>
    <row r="250" spans="1:19" x14ac:dyDescent="0.25">
      <c r="A250" s="72" t="s">
        <v>1229</v>
      </c>
      <c r="B250" s="72" t="s">
        <v>66</v>
      </c>
      <c r="C250" s="72" t="s">
        <v>96</v>
      </c>
      <c r="D250" s="72" t="s">
        <v>517</v>
      </c>
      <c r="E250" s="72" t="s">
        <v>1229</v>
      </c>
      <c r="F250" s="72" t="s">
        <v>780</v>
      </c>
      <c r="G250" s="72" t="s">
        <v>28</v>
      </c>
      <c r="H250" s="72" t="s">
        <v>267</v>
      </c>
      <c r="I250" s="72" t="s">
        <v>1579</v>
      </c>
      <c r="J250" s="72" t="s">
        <v>1793</v>
      </c>
      <c r="K250" s="72" t="s">
        <v>2670</v>
      </c>
      <c r="L250" s="72" t="s">
        <v>2671</v>
      </c>
      <c r="M250" s="72" t="s">
        <v>2672</v>
      </c>
      <c r="N250" s="72" t="s">
        <v>2673</v>
      </c>
      <c r="O250" s="72"/>
      <c r="P250" s="72"/>
      <c r="Q250" s="72"/>
      <c r="R250" s="72"/>
      <c r="S250" s="72"/>
    </row>
    <row r="251" spans="1:19" x14ac:dyDescent="0.25">
      <c r="A251" s="72" t="s">
        <v>126</v>
      </c>
      <c r="B251" s="72" t="s">
        <v>66</v>
      </c>
      <c r="C251" s="72" t="s">
        <v>119</v>
      </c>
      <c r="D251" s="72" t="s">
        <v>34</v>
      </c>
      <c r="E251" s="72" t="s">
        <v>126</v>
      </c>
      <c r="F251" s="72" t="s">
        <v>127</v>
      </c>
      <c r="G251" s="72" t="s">
        <v>37</v>
      </c>
      <c r="H251" s="72" t="s">
        <v>38</v>
      </c>
      <c r="I251" s="72" t="s">
        <v>1581</v>
      </c>
      <c r="J251" s="72" t="s">
        <v>1890</v>
      </c>
      <c r="K251" s="72" t="s">
        <v>2674</v>
      </c>
      <c r="L251" s="72" t="s">
        <v>2675</v>
      </c>
      <c r="M251" s="72" t="s">
        <v>1355</v>
      </c>
      <c r="N251" s="72" t="s">
        <v>1349</v>
      </c>
      <c r="O251" s="72"/>
      <c r="P251" s="72"/>
      <c r="Q251" s="72"/>
      <c r="R251" s="72"/>
      <c r="S251" s="72"/>
    </row>
    <row r="252" spans="1:19" x14ac:dyDescent="0.25">
      <c r="A252" s="72" t="s">
        <v>164</v>
      </c>
      <c r="B252" s="72" t="s">
        <v>66</v>
      </c>
      <c r="C252" s="72" t="s">
        <v>159</v>
      </c>
      <c r="D252" s="72" t="s">
        <v>163</v>
      </c>
      <c r="E252" s="72" t="s">
        <v>164</v>
      </c>
      <c r="F252" s="72" t="s">
        <v>165</v>
      </c>
      <c r="G252" s="72" t="s">
        <v>37</v>
      </c>
      <c r="H252" s="72" t="s">
        <v>42</v>
      </c>
      <c r="I252" s="72" t="s">
        <v>1581</v>
      </c>
      <c r="J252" s="72" t="s">
        <v>1890</v>
      </c>
      <c r="K252" s="72" t="s">
        <v>2676</v>
      </c>
      <c r="L252" s="72" t="s">
        <v>2677</v>
      </c>
      <c r="M252" s="72" t="s">
        <v>1356</v>
      </c>
      <c r="N252" s="72" t="s">
        <v>1351</v>
      </c>
      <c r="O252" s="72"/>
      <c r="P252" s="72"/>
      <c r="Q252" s="72"/>
      <c r="R252" s="72"/>
      <c r="S252" s="72"/>
    </row>
    <row r="253" spans="1:19" x14ac:dyDescent="0.25">
      <c r="A253" s="72" t="s">
        <v>40</v>
      </c>
      <c r="B253" s="72" t="s">
        <v>66</v>
      </c>
      <c r="C253" s="72" t="s">
        <v>10</v>
      </c>
      <c r="D253" s="72" t="s">
        <v>39</v>
      </c>
      <c r="E253" s="72" t="s">
        <v>40</v>
      </c>
      <c r="F253" s="72" t="s">
        <v>41</v>
      </c>
      <c r="G253" s="72" t="s">
        <v>37</v>
      </c>
      <c r="H253" s="72" t="s">
        <v>38</v>
      </c>
      <c r="I253" s="72" t="s">
        <v>1582</v>
      </c>
      <c r="J253" s="72" t="s">
        <v>1895</v>
      </c>
      <c r="K253" s="72" t="s">
        <v>2678</v>
      </c>
      <c r="L253" s="72" t="s">
        <v>2679</v>
      </c>
      <c r="M253" s="72" t="s">
        <v>1364</v>
      </c>
      <c r="N253" s="72" t="s">
        <v>1358</v>
      </c>
      <c r="O253" s="72"/>
      <c r="P253" s="72"/>
      <c r="Q253" s="72"/>
      <c r="R253" s="72"/>
      <c r="S253" s="72"/>
    </row>
    <row r="254" spans="1:19" x14ac:dyDescent="0.25">
      <c r="A254" s="72" t="s">
        <v>306</v>
      </c>
      <c r="B254" s="72" t="s">
        <v>66</v>
      </c>
      <c r="C254" s="72" t="s">
        <v>177</v>
      </c>
      <c r="D254" s="72" t="s">
        <v>39</v>
      </c>
      <c r="E254" s="72" t="s">
        <v>306</v>
      </c>
      <c r="F254" s="72" t="s">
        <v>307</v>
      </c>
      <c r="G254" s="72" t="s">
        <v>37</v>
      </c>
      <c r="H254" s="72" t="s">
        <v>42</v>
      </c>
      <c r="I254" s="72" t="s">
        <v>1582</v>
      </c>
      <c r="J254" s="72" t="s">
        <v>1895</v>
      </c>
      <c r="K254" s="72" t="s">
        <v>2680</v>
      </c>
      <c r="L254" s="72" t="s">
        <v>2681</v>
      </c>
      <c r="M254" s="72" t="s">
        <v>1365</v>
      </c>
      <c r="N254" s="72" t="s">
        <v>1362</v>
      </c>
      <c r="O254" s="72"/>
      <c r="P254" s="72"/>
      <c r="Q254" s="72"/>
      <c r="R254" s="72"/>
      <c r="S254" s="72"/>
    </row>
    <row r="255" spans="1:19" x14ac:dyDescent="0.25">
      <c r="A255" s="72" t="s">
        <v>199</v>
      </c>
      <c r="B255" s="72" t="s">
        <v>66</v>
      </c>
      <c r="C255" s="72" t="s">
        <v>10</v>
      </c>
      <c r="D255" s="72" t="s">
        <v>160</v>
      </c>
      <c r="E255" s="72" t="s">
        <v>199</v>
      </c>
      <c r="F255" s="72" t="s">
        <v>200</v>
      </c>
      <c r="G255" s="72" t="s">
        <v>37</v>
      </c>
      <c r="H255" s="72" t="s">
        <v>136</v>
      </c>
      <c r="I255" s="72" t="s">
        <v>1584</v>
      </c>
      <c r="J255" s="72" t="s">
        <v>1898</v>
      </c>
      <c r="K255" s="72" t="s">
        <v>2682</v>
      </c>
      <c r="L255" s="72" t="s">
        <v>2683</v>
      </c>
      <c r="M255" s="72" t="s">
        <v>1383</v>
      </c>
      <c r="N255" s="72" t="s">
        <v>1380</v>
      </c>
      <c r="O255" s="72"/>
      <c r="P255" s="72"/>
      <c r="Q255" s="72"/>
      <c r="R255" s="72"/>
      <c r="S255" s="72"/>
    </row>
    <row r="256" spans="1:19" x14ac:dyDescent="0.25">
      <c r="A256" s="72" t="s">
        <v>185</v>
      </c>
      <c r="B256" s="72" t="s">
        <v>66</v>
      </c>
      <c r="C256" s="72" t="s">
        <v>119</v>
      </c>
      <c r="D256" s="72" t="s">
        <v>39</v>
      </c>
      <c r="E256" s="72" t="s">
        <v>185</v>
      </c>
      <c r="F256" s="72" t="s">
        <v>186</v>
      </c>
      <c r="G256" s="72" t="s">
        <v>37</v>
      </c>
      <c r="H256" s="72" t="s">
        <v>42</v>
      </c>
      <c r="I256" s="72" t="s">
        <v>1424</v>
      </c>
      <c r="J256" s="72" t="s">
        <v>1903</v>
      </c>
      <c r="K256" s="72" t="s">
        <v>2684</v>
      </c>
      <c r="L256" s="72" t="s">
        <v>2685</v>
      </c>
      <c r="M256" s="72" t="s">
        <v>1386</v>
      </c>
      <c r="N256" s="72" t="s">
        <v>1385</v>
      </c>
      <c r="O256" s="72"/>
      <c r="P256" s="72"/>
      <c r="Q256" s="72"/>
      <c r="R256" s="72"/>
      <c r="S256" s="72"/>
    </row>
    <row r="257" spans="1:19" x14ac:dyDescent="0.25">
      <c r="A257" s="72" t="s">
        <v>623</v>
      </c>
      <c r="B257" s="72" t="s">
        <v>66</v>
      </c>
      <c r="C257" s="72" t="s">
        <v>128</v>
      </c>
      <c r="D257" s="72" t="s">
        <v>120</v>
      </c>
      <c r="E257" s="72" t="s">
        <v>623</v>
      </c>
      <c r="F257" s="72" t="s">
        <v>624</v>
      </c>
      <c r="G257" s="72" t="s">
        <v>37</v>
      </c>
      <c r="H257" s="72" t="s">
        <v>123</v>
      </c>
      <c r="I257" s="72" t="s">
        <v>2686</v>
      </c>
      <c r="J257" s="72" t="s">
        <v>2687</v>
      </c>
      <c r="K257" s="72" t="s">
        <v>2688</v>
      </c>
      <c r="L257" s="72" t="s">
        <v>2689</v>
      </c>
      <c r="M257" s="72" t="s">
        <v>1387</v>
      </c>
      <c r="N257" s="72" t="s">
        <v>1388</v>
      </c>
      <c r="O257" s="72"/>
      <c r="P257" s="72"/>
      <c r="Q257" s="72"/>
      <c r="R257" s="72"/>
      <c r="S257" s="72"/>
    </row>
    <row r="258" spans="1:19" x14ac:dyDescent="0.25">
      <c r="A258" s="72" t="s">
        <v>623</v>
      </c>
      <c r="B258" s="72" t="s">
        <v>66</v>
      </c>
      <c r="C258" s="72" t="s">
        <v>177</v>
      </c>
      <c r="D258" s="72" t="s">
        <v>120</v>
      </c>
      <c r="E258" s="72" t="s">
        <v>623</v>
      </c>
      <c r="F258" s="72" t="s">
        <v>624</v>
      </c>
      <c r="G258" s="72" t="s">
        <v>37</v>
      </c>
      <c r="H258" s="72" t="s">
        <v>123</v>
      </c>
      <c r="I258" s="72" t="s">
        <v>2686</v>
      </c>
      <c r="J258" s="72" t="s">
        <v>2687</v>
      </c>
      <c r="K258" s="72" t="s">
        <v>2690</v>
      </c>
      <c r="L258" s="72" t="s">
        <v>2691</v>
      </c>
      <c r="M258" s="72" t="s">
        <v>1389</v>
      </c>
      <c r="N258" s="72" t="s">
        <v>1388</v>
      </c>
      <c r="O258" s="72"/>
      <c r="P258" s="72"/>
      <c r="Q258" s="72"/>
      <c r="R258" s="72"/>
      <c r="S258" s="72"/>
    </row>
    <row r="259" spans="1:19" x14ac:dyDescent="0.25">
      <c r="A259" s="72" t="s">
        <v>447</v>
      </c>
      <c r="B259" s="72" t="s">
        <v>66</v>
      </c>
      <c r="C259" s="72" t="s">
        <v>10</v>
      </c>
      <c r="D259" s="72" t="s">
        <v>1175</v>
      </c>
      <c r="E259" s="72" t="s">
        <v>447</v>
      </c>
      <c r="F259" s="72" t="s">
        <v>448</v>
      </c>
      <c r="G259" s="72" t="s">
        <v>19</v>
      </c>
      <c r="H259" s="72" t="s">
        <v>20</v>
      </c>
      <c r="I259" s="72" t="s">
        <v>1711</v>
      </c>
      <c r="J259" s="72" t="s">
        <v>1712</v>
      </c>
      <c r="K259" s="72" t="s">
        <v>2692</v>
      </c>
      <c r="L259" s="72" t="s">
        <v>2693</v>
      </c>
      <c r="M259" s="72" t="s">
        <v>2694</v>
      </c>
      <c r="N259" s="72" t="s">
        <v>1918</v>
      </c>
      <c r="O259" s="72"/>
      <c r="P259" s="72"/>
      <c r="Q259" s="72"/>
      <c r="R259" s="72"/>
      <c r="S259" s="72"/>
    </row>
    <row r="260" spans="1:19" x14ac:dyDescent="0.25">
      <c r="A260" s="72" t="s">
        <v>1484</v>
      </c>
      <c r="B260" s="72" t="s">
        <v>66</v>
      </c>
      <c r="C260" s="72" t="s">
        <v>140</v>
      </c>
      <c r="D260" s="72" t="s">
        <v>1483</v>
      </c>
      <c r="E260" s="72" t="s">
        <v>1484</v>
      </c>
      <c r="F260" s="72" t="s">
        <v>510</v>
      </c>
      <c r="G260" s="72" t="s">
        <v>19</v>
      </c>
      <c r="H260" s="72" t="s">
        <v>287</v>
      </c>
      <c r="I260" s="72" t="s">
        <v>2581</v>
      </c>
      <c r="J260" s="72" t="s">
        <v>2582</v>
      </c>
      <c r="K260" s="72" t="s">
        <v>2695</v>
      </c>
      <c r="L260" s="72" t="s">
        <v>2696</v>
      </c>
      <c r="M260" s="72" t="s">
        <v>2697</v>
      </c>
      <c r="N260" s="72" t="s">
        <v>2698</v>
      </c>
      <c r="O260" s="72"/>
      <c r="P260" s="72"/>
      <c r="Q260" s="72"/>
      <c r="R260" s="72"/>
      <c r="S260" s="72"/>
    </row>
    <row r="261" spans="1:19" x14ac:dyDescent="0.25">
      <c r="A261" s="72" t="s">
        <v>1485</v>
      </c>
      <c r="B261" s="72" t="s">
        <v>66</v>
      </c>
      <c r="C261" s="72" t="s">
        <v>47</v>
      </c>
      <c r="D261" s="72" t="s">
        <v>221</v>
      </c>
      <c r="E261" s="72" t="s">
        <v>1485</v>
      </c>
      <c r="F261" s="72" t="s">
        <v>560</v>
      </c>
      <c r="G261" s="72" t="s">
        <v>19</v>
      </c>
      <c r="H261" s="72" t="s">
        <v>237</v>
      </c>
      <c r="I261" s="72" t="s">
        <v>2023</v>
      </c>
      <c r="J261" s="72" t="s">
        <v>1920</v>
      </c>
      <c r="K261" s="72" t="s">
        <v>2699</v>
      </c>
      <c r="L261" s="72" t="s">
        <v>2700</v>
      </c>
      <c r="M261" s="72" t="s">
        <v>2701</v>
      </c>
      <c r="N261" s="72" t="s">
        <v>2702</v>
      </c>
      <c r="O261" s="72"/>
      <c r="P261" s="72"/>
      <c r="Q261" s="72"/>
      <c r="R261" s="72"/>
      <c r="S261" s="72"/>
    </row>
    <row r="262" spans="1:19" x14ac:dyDescent="0.25">
      <c r="A262" s="72" t="s">
        <v>603</v>
      </c>
      <c r="B262" s="72" t="s">
        <v>66</v>
      </c>
      <c r="C262" s="72" t="s">
        <v>140</v>
      </c>
      <c r="D262" s="72" t="s">
        <v>1486</v>
      </c>
      <c r="E262" s="72" t="s">
        <v>603</v>
      </c>
      <c r="F262" s="72" t="s">
        <v>604</v>
      </c>
      <c r="G262" s="72" t="s">
        <v>19</v>
      </c>
      <c r="H262" s="72" t="s">
        <v>83</v>
      </c>
      <c r="I262" s="72" t="s">
        <v>1592</v>
      </c>
      <c r="J262" s="72" t="s">
        <v>2254</v>
      </c>
      <c r="K262" s="72" t="s">
        <v>2703</v>
      </c>
      <c r="L262" s="72" t="s">
        <v>2704</v>
      </c>
      <c r="M262" s="72" t="s">
        <v>2705</v>
      </c>
      <c r="N262" s="72" t="s">
        <v>2706</v>
      </c>
      <c r="O262" s="72"/>
      <c r="P262" s="72"/>
      <c r="Q262" s="72"/>
      <c r="R262" s="72"/>
      <c r="S262" s="72"/>
    </row>
    <row r="263" spans="1:19" x14ac:dyDescent="0.25">
      <c r="A263" s="72" t="s">
        <v>551</v>
      </c>
      <c r="B263" s="72" t="s">
        <v>66</v>
      </c>
      <c r="C263" s="72" t="s">
        <v>96</v>
      </c>
      <c r="D263" s="72" t="s">
        <v>62</v>
      </c>
      <c r="E263" s="72" t="s">
        <v>551</v>
      </c>
      <c r="F263" s="72" t="s">
        <v>552</v>
      </c>
      <c r="G263" s="72" t="s">
        <v>28</v>
      </c>
      <c r="H263" s="72" t="s">
        <v>70</v>
      </c>
      <c r="I263" s="72" t="s">
        <v>2707</v>
      </c>
      <c r="J263" s="72" t="s">
        <v>2708</v>
      </c>
      <c r="K263" s="72" t="s">
        <v>2709</v>
      </c>
      <c r="L263" s="72" t="s">
        <v>2710</v>
      </c>
      <c r="M263" s="72" t="s">
        <v>2711</v>
      </c>
      <c r="N263" s="72" t="s">
        <v>2712</v>
      </c>
      <c r="O263" s="72"/>
      <c r="P263" s="72"/>
      <c r="Q263" s="72"/>
      <c r="R263" s="72"/>
      <c r="S263" s="72"/>
    </row>
    <row r="264" spans="1:19" x14ac:dyDescent="0.25">
      <c r="A264" s="72" t="s">
        <v>206</v>
      </c>
      <c r="B264" s="72" t="s">
        <v>66</v>
      </c>
      <c r="C264" s="72" t="s">
        <v>10</v>
      </c>
      <c r="D264" s="72" t="s">
        <v>1185</v>
      </c>
      <c r="E264" s="72" t="s">
        <v>206</v>
      </c>
      <c r="F264" s="72" t="s">
        <v>207</v>
      </c>
      <c r="G264" s="72" t="s">
        <v>28</v>
      </c>
      <c r="H264" s="72" t="s">
        <v>46</v>
      </c>
      <c r="I264" s="72" t="s">
        <v>1588</v>
      </c>
      <c r="J264" s="72" t="s">
        <v>2713</v>
      </c>
      <c r="K264" s="72" t="s">
        <v>2714</v>
      </c>
      <c r="L264" s="72" t="s">
        <v>2715</v>
      </c>
      <c r="M264" s="72" t="s">
        <v>2716</v>
      </c>
      <c r="N264" s="72" t="s">
        <v>2717</v>
      </c>
      <c r="O264" s="72"/>
      <c r="P264" s="72"/>
      <c r="Q264" s="72"/>
      <c r="R264" s="72"/>
      <c r="S264" s="72"/>
    </row>
    <row r="265" spans="1:19" x14ac:dyDescent="0.25">
      <c r="A265" s="72" t="s">
        <v>259</v>
      </c>
      <c r="B265" s="72" t="s">
        <v>66</v>
      </c>
      <c r="C265" s="72" t="s">
        <v>96</v>
      </c>
      <c r="D265" s="72" t="s">
        <v>1237</v>
      </c>
      <c r="E265" s="72" t="s">
        <v>259</v>
      </c>
      <c r="F265" s="72" t="s">
        <v>260</v>
      </c>
      <c r="G265" s="72" t="s">
        <v>28</v>
      </c>
      <c r="H265" s="72" t="s">
        <v>46</v>
      </c>
      <c r="I265" s="72" t="s">
        <v>1588</v>
      </c>
      <c r="J265" s="72" t="s">
        <v>2713</v>
      </c>
      <c r="K265" s="72" t="s">
        <v>2718</v>
      </c>
      <c r="L265" s="72" t="s">
        <v>2719</v>
      </c>
      <c r="M265" s="72" t="s">
        <v>2720</v>
      </c>
      <c r="N265" s="72" t="s">
        <v>2721</v>
      </c>
      <c r="O265" s="72"/>
      <c r="P265" s="72"/>
      <c r="Q265" s="72"/>
      <c r="R265" s="72"/>
      <c r="S265" s="72"/>
    </row>
    <row r="266" spans="1:19" x14ac:dyDescent="0.25">
      <c r="A266" s="72" t="s">
        <v>44</v>
      </c>
      <c r="B266" s="72" t="s">
        <v>66</v>
      </c>
      <c r="C266" s="72" t="s">
        <v>47</v>
      </c>
      <c r="D266" s="72" t="s">
        <v>1238</v>
      </c>
      <c r="E266" s="72" t="s">
        <v>44</v>
      </c>
      <c r="F266" s="72" t="s">
        <v>45</v>
      </c>
      <c r="G266" s="72" t="s">
        <v>28</v>
      </c>
      <c r="H266" s="72" t="s">
        <v>46</v>
      </c>
      <c r="I266" s="72" t="s">
        <v>1588</v>
      </c>
      <c r="J266" s="72" t="s">
        <v>2713</v>
      </c>
      <c r="K266" s="72" t="s">
        <v>2722</v>
      </c>
      <c r="L266" s="72" t="s">
        <v>2723</v>
      </c>
      <c r="M266" s="72" t="s">
        <v>2724</v>
      </c>
      <c r="N266" s="72" t="s">
        <v>2725</v>
      </c>
      <c r="O266" s="72"/>
      <c r="P266" s="72"/>
      <c r="Q266" s="72"/>
      <c r="R266" s="72"/>
      <c r="S266" s="72"/>
    </row>
    <row r="267" spans="1:19" x14ac:dyDescent="0.25">
      <c r="A267" s="72" t="s">
        <v>454</v>
      </c>
      <c r="B267" s="72" t="s">
        <v>66</v>
      </c>
      <c r="C267" s="72" t="s">
        <v>140</v>
      </c>
      <c r="D267" s="72" t="s">
        <v>221</v>
      </c>
      <c r="E267" s="72" t="s">
        <v>454</v>
      </c>
      <c r="F267" s="72" t="s">
        <v>455</v>
      </c>
      <c r="G267" s="72" t="s">
        <v>19</v>
      </c>
      <c r="H267" s="72" t="s">
        <v>20</v>
      </c>
      <c r="I267" s="72" t="s">
        <v>1590</v>
      </c>
      <c r="J267" s="72" t="s">
        <v>2726</v>
      </c>
      <c r="K267" s="72" t="s">
        <v>2727</v>
      </c>
      <c r="L267" s="72" t="s">
        <v>2728</v>
      </c>
      <c r="M267" s="72" t="s">
        <v>2729</v>
      </c>
      <c r="N267" s="72" t="s">
        <v>2730</v>
      </c>
      <c r="O267" s="72"/>
      <c r="P267" s="72"/>
      <c r="Q267" s="72"/>
      <c r="R267" s="72"/>
      <c r="S267" s="72"/>
    </row>
    <row r="268" spans="1:19" x14ac:dyDescent="0.25">
      <c r="A268" s="72" t="s">
        <v>563</v>
      </c>
      <c r="B268" s="72" t="s">
        <v>66</v>
      </c>
      <c r="C268" s="72" t="s">
        <v>96</v>
      </c>
      <c r="D268" s="72" t="s">
        <v>276</v>
      </c>
      <c r="E268" s="72" t="s">
        <v>563</v>
      </c>
      <c r="F268" s="72" t="s">
        <v>564</v>
      </c>
      <c r="G268" s="72" t="s">
        <v>19</v>
      </c>
      <c r="H268" s="72" t="s">
        <v>24</v>
      </c>
      <c r="I268" s="72" t="s">
        <v>1590</v>
      </c>
      <c r="J268" s="72" t="s">
        <v>2726</v>
      </c>
      <c r="K268" s="72" t="s">
        <v>2731</v>
      </c>
      <c r="L268" s="72" t="s">
        <v>2732</v>
      </c>
      <c r="M268" s="72" t="s">
        <v>2733</v>
      </c>
      <c r="N268" s="72" t="s">
        <v>2734</v>
      </c>
      <c r="O268" s="72"/>
      <c r="P268" s="72"/>
      <c r="Q268" s="72"/>
      <c r="R268" s="72"/>
      <c r="S268" s="72"/>
    </row>
    <row r="269" spans="1:19" x14ac:dyDescent="0.25">
      <c r="A269" s="72" t="s">
        <v>565</v>
      </c>
      <c r="B269" s="72" t="s">
        <v>66</v>
      </c>
      <c r="C269" s="72" t="s">
        <v>96</v>
      </c>
      <c r="D269" s="72" t="s">
        <v>396</v>
      </c>
      <c r="E269" s="72" t="s">
        <v>565</v>
      </c>
      <c r="F269" s="72" t="s">
        <v>566</v>
      </c>
      <c r="G269" s="72" t="s">
        <v>28</v>
      </c>
      <c r="H269" s="72" t="s">
        <v>420</v>
      </c>
      <c r="I269" s="72" t="s">
        <v>1595</v>
      </c>
      <c r="J269" s="72" t="s">
        <v>2405</v>
      </c>
      <c r="K269" s="72" t="s">
        <v>2735</v>
      </c>
      <c r="L269" s="72" t="s">
        <v>2736</v>
      </c>
      <c r="M269" s="72" t="s">
        <v>2737</v>
      </c>
      <c r="N269" s="72" t="s">
        <v>2738</v>
      </c>
      <c r="O269" s="72"/>
      <c r="P269" s="72"/>
      <c r="Q269" s="72"/>
      <c r="R269" s="72"/>
      <c r="S269" s="72"/>
    </row>
    <row r="270" spans="1:19" x14ac:dyDescent="0.25">
      <c r="A270" s="72" t="s">
        <v>621</v>
      </c>
      <c r="B270" s="72" t="s">
        <v>66</v>
      </c>
      <c r="C270" s="72" t="s">
        <v>140</v>
      </c>
      <c r="D270" s="72" t="s">
        <v>150</v>
      </c>
      <c r="E270" s="72" t="s">
        <v>621</v>
      </c>
      <c r="F270" s="72" t="s">
        <v>622</v>
      </c>
      <c r="G270" s="72" t="s">
        <v>28</v>
      </c>
      <c r="H270" s="72" t="s">
        <v>507</v>
      </c>
      <c r="I270" s="72" t="s">
        <v>1595</v>
      </c>
      <c r="J270" s="72" t="s">
        <v>2405</v>
      </c>
      <c r="K270" s="72" t="s">
        <v>2739</v>
      </c>
      <c r="L270" s="72" t="s">
        <v>2740</v>
      </c>
      <c r="M270" s="72" t="s">
        <v>2741</v>
      </c>
      <c r="N270" s="72" t="s">
        <v>2742</v>
      </c>
      <c r="O270" s="72"/>
      <c r="P270" s="72"/>
      <c r="Q270" s="72"/>
      <c r="R270" s="72"/>
      <c r="S270" s="72"/>
    </row>
    <row r="271" spans="1:19" x14ac:dyDescent="0.25">
      <c r="A271" s="72" t="s">
        <v>613</v>
      </c>
      <c r="B271" s="72" t="s">
        <v>66</v>
      </c>
      <c r="C271" s="72" t="s">
        <v>159</v>
      </c>
      <c r="D271" s="72" t="s">
        <v>62</v>
      </c>
      <c r="E271" s="72" t="s">
        <v>613</v>
      </c>
      <c r="F271" s="72" t="s">
        <v>614</v>
      </c>
      <c r="G271" s="72" t="s">
        <v>28</v>
      </c>
      <c r="H271" s="72" t="s">
        <v>983</v>
      </c>
      <c r="I271" s="72" t="s">
        <v>1729</v>
      </c>
      <c r="J271" s="72" t="s">
        <v>1730</v>
      </c>
      <c r="K271" s="72" t="s">
        <v>2743</v>
      </c>
      <c r="L271" s="72" t="s">
        <v>2744</v>
      </c>
      <c r="M271" s="72" t="s">
        <v>2745</v>
      </c>
      <c r="N271" s="72" t="s">
        <v>2746</v>
      </c>
      <c r="O271" s="72"/>
      <c r="P271" s="72"/>
      <c r="Q271" s="72"/>
      <c r="R271" s="72"/>
      <c r="S271" s="72"/>
    </row>
    <row r="272" spans="1:19" x14ac:dyDescent="0.25">
      <c r="A272" s="72" t="s">
        <v>734</v>
      </c>
      <c r="B272" s="72" t="s">
        <v>216</v>
      </c>
      <c r="C272" s="72" t="s">
        <v>140</v>
      </c>
      <c r="D272" s="72" t="s">
        <v>733</v>
      </c>
      <c r="E272" s="72" t="s">
        <v>734</v>
      </c>
      <c r="F272" s="72" t="s">
        <v>735</v>
      </c>
      <c r="G272" s="72" t="s">
        <v>28</v>
      </c>
      <c r="H272" s="72" t="s">
        <v>792</v>
      </c>
      <c r="I272" s="72" t="s">
        <v>2707</v>
      </c>
      <c r="J272" s="72" t="s">
        <v>2708</v>
      </c>
      <c r="K272" s="72" t="s">
        <v>2747</v>
      </c>
      <c r="L272" s="72" t="s">
        <v>2748</v>
      </c>
      <c r="M272" s="72" t="s">
        <v>2749</v>
      </c>
      <c r="N272" s="72" t="s">
        <v>2750</v>
      </c>
      <c r="O272" s="72"/>
      <c r="P272" s="72"/>
      <c r="Q272" s="72"/>
      <c r="R272" s="72"/>
      <c r="S272" s="72"/>
    </row>
    <row r="273" spans="1:19" x14ac:dyDescent="0.25">
      <c r="A273" s="72" t="s">
        <v>569</v>
      </c>
      <c r="B273" s="72" t="s">
        <v>66</v>
      </c>
      <c r="C273" s="72" t="s">
        <v>10</v>
      </c>
      <c r="D273" s="72" t="s">
        <v>251</v>
      </c>
      <c r="E273" s="72" t="s">
        <v>569</v>
      </c>
      <c r="F273" s="72" t="s">
        <v>570</v>
      </c>
      <c r="G273" s="72" t="s">
        <v>19</v>
      </c>
      <c r="H273" s="72" t="s">
        <v>237</v>
      </c>
      <c r="I273" s="72" t="s">
        <v>1592</v>
      </c>
      <c r="J273" s="72" t="s">
        <v>2254</v>
      </c>
      <c r="K273" s="72" t="s">
        <v>2751</v>
      </c>
      <c r="L273" s="72" t="s">
        <v>2752</v>
      </c>
      <c r="M273" s="72" t="s">
        <v>2753</v>
      </c>
      <c r="N273" s="72" t="s">
        <v>2754</v>
      </c>
      <c r="O273" s="72"/>
      <c r="P273" s="72"/>
      <c r="Q273" s="72"/>
      <c r="R273" s="72"/>
      <c r="S273" s="72"/>
    </row>
    <row r="274" spans="1:19" x14ac:dyDescent="0.25">
      <c r="A274" s="72" t="s">
        <v>699</v>
      </c>
      <c r="B274" s="72" t="s">
        <v>170</v>
      </c>
      <c r="C274" s="72" t="s">
        <v>10</v>
      </c>
      <c r="D274" s="72" t="s">
        <v>441</v>
      </c>
      <c r="E274" s="72" t="s">
        <v>699</v>
      </c>
      <c r="F274" s="72" t="s">
        <v>700</v>
      </c>
      <c r="G274" s="72" t="s">
        <v>19</v>
      </c>
      <c r="H274" s="72" t="s">
        <v>287</v>
      </c>
      <c r="I274" s="72" t="s">
        <v>2071</v>
      </c>
      <c r="J274" s="72" t="s">
        <v>2072</v>
      </c>
      <c r="K274" s="72" t="s">
        <v>2755</v>
      </c>
      <c r="L274" s="72" t="s">
        <v>2756</v>
      </c>
      <c r="M274" s="72" t="s">
        <v>2757</v>
      </c>
      <c r="N274" s="72" t="s">
        <v>2758</v>
      </c>
      <c r="O274" s="72"/>
      <c r="P274" s="72"/>
      <c r="Q274" s="72"/>
      <c r="R274" s="72"/>
      <c r="S274" s="72"/>
    </row>
    <row r="275" spans="1:19" x14ac:dyDescent="0.25">
      <c r="A275" s="72" t="s">
        <v>775</v>
      </c>
      <c r="B275" s="72" t="s">
        <v>66</v>
      </c>
      <c r="C275" s="72" t="s">
        <v>47</v>
      </c>
      <c r="D275" s="72" t="s">
        <v>688</v>
      </c>
      <c r="E275" s="72" t="s">
        <v>775</v>
      </c>
      <c r="F275" s="72" t="s">
        <v>776</v>
      </c>
      <c r="G275" s="72" t="s">
        <v>19</v>
      </c>
      <c r="H275" s="72" t="s">
        <v>55</v>
      </c>
      <c r="I275" s="72" t="s">
        <v>1711</v>
      </c>
      <c r="J275" s="72" t="s">
        <v>1712</v>
      </c>
      <c r="K275" s="72" t="s">
        <v>2759</v>
      </c>
      <c r="L275" s="72" t="s">
        <v>2760</v>
      </c>
      <c r="M275" s="72" t="s">
        <v>2761</v>
      </c>
      <c r="N275" s="72" t="s">
        <v>2762</v>
      </c>
      <c r="O275" s="72"/>
      <c r="P275" s="72"/>
      <c r="Q275" s="72"/>
      <c r="R275" s="72"/>
      <c r="S275" s="72"/>
    </row>
    <row r="276" spans="1:19" x14ac:dyDescent="0.25">
      <c r="A276" s="72" t="s">
        <v>456</v>
      </c>
      <c r="B276" s="72" t="s">
        <v>66</v>
      </c>
      <c r="C276" s="72" t="s">
        <v>943</v>
      </c>
      <c r="D276" s="72" t="s">
        <v>1489</v>
      </c>
      <c r="E276" s="72" t="s">
        <v>456</v>
      </c>
      <c r="F276" s="72" t="s">
        <v>457</v>
      </c>
      <c r="G276" s="72" t="s">
        <v>28</v>
      </c>
      <c r="H276" s="72" t="s">
        <v>24</v>
      </c>
      <c r="I276" s="72" t="s">
        <v>1601</v>
      </c>
      <c r="J276" s="72" t="s">
        <v>2138</v>
      </c>
      <c r="K276" s="72" t="s">
        <v>2763</v>
      </c>
      <c r="L276" s="72" t="s">
        <v>2764</v>
      </c>
      <c r="M276" s="72" t="s">
        <v>2765</v>
      </c>
      <c r="N276" s="72" t="s">
        <v>2766</v>
      </c>
      <c r="O276" s="72"/>
      <c r="P276" s="72"/>
      <c r="Q276" s="72"/>
      <c r="R276" s="72"/>
      <c r="S276" s="72"/>
    </row>
    <row r="277" spans="1:19" x14ac:dyDescent="0.25">
      <c r="A277" s="72" t="s">
        <v>777</v>
      </c>
      <c r="B277" s="72" t="s">
        <v>66</v>
      </c>
      <c r="C277" s="72" t="s">
        <v>140</v>
      </c>
      <c r="D277" s="72" t="s">
        <v>351</v>
      </c>
      <c r="E277" s="72" t="s">
        <v>777</v>
      </c>
      <c r="F277" s="72" t="s">
        <v>778</v>
      </c>
      <c r="G277" s="72" t="s">
        <v>28</v>
      </c>
      <c r="H277" s="72" t="s">
        <v>507</v>
      </c>
      <c r="I277" s="72" t="s">
        <v>1601</v>
      </c>
      <c r="J277" s="72" t="s">
        <v>2138</v>
      </c>
      <c r="K277" s="72" t="s">
        <v>2739</v>
      </c>
      <c r="L277" s="72" t="s">
        <v>2767</v>
      </c>
      <c r="M277" s="72" t="s">
        <v>2768</v>
      </c>
      <c r="N277" s="72" t="s">
        <v>2769</v>
      </c>
      <c r="O277" s="72"/>
      <c r="P277" s="72"/>
      <c r="Q277" s="72"/>
      <c r="R277" s="72"/>
      <c r="S277" s="72"/>
    </row>
    <row r="278" spans="1:19" x14ac:dyDescent="0.25">
      <c r="A278" s="72" t="s">
        <v>718</v>
      </c>
      <c r="B278" s="72" t="s">
        <v>66</v>
      </c>
      <c r="C278" s="72" t="s">
        <v>47</v>
      </c>
      <c r="D278" s="72" t="s">
        <v>281</v>
      </c>
      <c r="E278" s="72" t="s">
        <v>718</v>
      </c>
      <c r="F278" s="72" t="s">
        <v>1500</v>
      </c>
      <c r="G278" s="72" t="s">
        <v>14</v>
      </c>
      <c r="H278" s="72" t="s">
        <v>1458</v>
      </c>
      <c r="I278" s="72" t="s">
        <v>2187</v>
      </c>
      <c r="J278" s="72" t="s">
        <v>2188</v>
      </c>
      <c r="K278" s="72" t="s">
        <v>2770</v>
      </c>
      <c r="L278" s="72" t="s">
        <v>2771</v>
      </c>
      <c r="M278" s="72" t="s">
        <v>2772</v>
      </c>
      <c r="N278" s="72" t="s">
        <v>2773</v>
      </c>
      <c r="O278" s="72"/>
      <c r="P278" s="72"/>
      <c r="Q278" s="72"/>
      <c r="R278" s="72"/>
      <c r="S278" s="72"/>
    </row>
    <row r="279" spans="1:19" x14ac:dyDescent="0.25">
      <c r="A279" s="72" t="s">
        <v>769</v>
      </c>
      <c r="B279" s="72" t="s">
        <v>66</v>
      </c>
      <c r="C279" s="72" t="s">
        <v>47</v>
      </c>
      <c r="D279" s="72" t="s">
        <v>97</v>
      </c>
      <c r="E279" s="72" t="s">
        <v>769</v>
      </c>
      <c r="F279" s="72" t="s">
        <v>770</v>
      </c>
      <c r="G279" s="72" t="s">
        <v>14</v>
      </c>
      <c r="H279" s="72" t="s">
        <v>241</v>
      </c>
      <c r="I279" s="72" t="s">
        <v>1819</v>
      </c>
      <c r="J279" s="72" t="s">
        <v>1820</v>
      </c>
      <c r="K279" s="72" t="s">
        <v>2774</v>
      </c>
      <c r="L279" s="72" t="s">
        <v>2775</v>
      </c>
      <c r="M279" s="72" t="s">
        <v>2776</v>
      </c>
      <c r="N279" s="72" t="s">
        <v>2777</v>
      </c>
      <c r="O279" s="72"/>
      <c r="P279" s="72"/>
      <c r="Q279" s="72"/>
      <c r="R279" s="72"/>
      <c r="S279" s="72"/>
    </row>
    <row r="280" spans="1:19" x14ac:dyDescent="0.25">
      <c r="A280" s="72" t="s">
        <v>1269</v>
      </c>
      <c r="B280" s="72" t="s">
        <v>66</v>
      </c>
      <c r="C280" s="72" t="s">
        <v>96</v>
      </c>
      <c r="D280" s="72" t="s">
        <v>1262</v>
      </c>
      <c r="E280" s="72" t="s">
        <v>1269</v>
      </c>
      <c r="F280" s="72" t="s">
        <v>1270</v>
      </c>
      <c r="G280" s="72" t="s">
        <v>14</v>
      </c>
      <c r="H280" s="72" t="s">
        <v>241</v>
      </c>
      <c r="I280" s="72" t="s">
        <v>1603</v>
      </c>
      <c r="J280" s="72" t="s">
        <v>2778</v>
      </c>
      <c r="K280" s="72" t="s">
        <v>2779</v>
      </c>
      <c r="L280" s="72" t="s">
        <v>2780</v>
      </c>
      <c r="M280" s="72" t="s">
        <v>2781</v>
      </c>
      <c r="N280" s="72" t="s">
        <v>2782</v>
      </c>
      <c r="O280" s="72"/>
      <c r="P280" s="72"/>
      <c r="Q280" s="72"/>
      <c r="R280" s="72"/>
      <c r="S280" s="72"/>
    </row>
    <row r="281" spans="1:19" x14ac:dyDescent="0.25">
      <c r="A281" s="72" t="s">
        <v>242</v>
      </c>
      <c r="B281" s="72" t="s">
        <v>66</v>
      </c>
      <c r="C281" s="72" t="s">
        <v>96</v>
      </c>
      <c r="D281" s="72" t="s">
        <v>156</v>
      </c>
      <c r="E281" s="72" t="s">
        <v>242</v>
      </c>
      <c r="F281" s="72" t="s">
        <v>243</v>
      </c>
      <c r="G281" s="72" t="s">
        <v>14</v>
      </c>
      <c r="H281" s="72" t="s">
        <v>792</v>
      </c>
      <c r="I281" s="72" t="s">
        <v>2783</v>
      </c>
      <c r="J281" s="72" t="s">
        <v>2784</v>
      </c>
      <c r="K281" s="72" t="s">
        <v>2785</v>
      </c>
      <c r="L281" s="72" t="s">
        <v>2786</v>
      </c>
      <c r="M281" s="72" t="s">
        <v>2787</v>
      </c>
      <c r="N281" s="72" t="s">
        <v>2788</v>
      </c>
      <c r="O281" s="72"/>
      <c r="P281" s="72"/>
      <c r="Q281" s="72"/>
      <c r="R281" s="72"/>
      <c r="S281" s="72"/>
    </row>
    <row r="282" spans="1:19" x14ac:dyDescent="0.25">
      <c r="A282" s="72" t="s">
        <v>235</v>
      </c>
      <c r="B282" s="72" t="s">
        <v>66</v>
      </c>
      <c r="C282" s="72" t="s">
        <v>140</v>
      </c>
      <c r="D282" s="72" t="s">
        <v>1194</v>
      </c>
      <c r="E282" s="72" t="s">
        <v>235</v>
      </c>
      <c r="F282" s="72" t="s">
        <v>236</v>
      </c>
      <c r="G282" s="72" t="s">
        <v>28</v>
      </c>
      <c r="H282" s="72" t="s">
        <v>20</v>
      </c>
      <c r="I282" s="72" t="s">
        <v>874</v>
      </c>
      <c r="J282" s="72" t="s">
        <v>2484</v>
      </c>
      <c r="K282" s="72" t="s">
        <v>2727</v>
      </c>
      <c r="L282" s="72" t="s">
        <v>2789</v>
      </c>
      <c r="M282" s="72" t="s">
        <v>2790</v>
      </c>
      <c r="N282" s="72" t="s">
        <v>2791</v>
      </c>
      <c r="O282" s="72"/>
      <c r="P282" s="72"/>
      <c r="Q282" s="72"/>
      <c r="R282" s="72"/>
      <c r="S282" s="72"/>
    </row>
    <row r="283" spans="1:19" x14ac:dyDescent="0.25">
      <c r="A283" s="72" t="s">
        <v>1429</v>
      </c>
      <c r="B283" s="72" t="s">
        <v>66</v>
      </c>
      <c r="C283" s="72" t="s">
        <v>128</v>
      </c>
      <c r="D283" s="72" t="s">
        <v>1421</v>
      </c>
      <c r="E283" s="72" t="s">
        <v>1429</v>
      </c>
      <c r="F283" s="72" t="s">
        <v>1430</v>
      </c>
      <c r="G283" s="72" t="s">
        <v>37</v>
      </c>
      <c r="H283" s="72" t="s">
        <v>120</v>
      </c>
      <c r="I283" s="72" t="s">
        <v>1424</v>
      </c>
      <c r="J283" s="72" t="s">
        <v>1903</v>
      </c>
      <c r="K283" s="72" t="s">
        <v>2792</v>
      </c>
      <c r="L283" s="72" t="s">
        <v>2793</v>
      </c>
      <c r="M283" s="72" t="s">
        <v>2794</v>
      </c>
      <c r="N283" s="72" t="s">
        <v>2795</v>
      </c>
      <c r="O283" s="72"/>
      <c r="P283" s="72"/>
      <c r="Q283" s="72"/>
      <c r="R283" s="72"/>
      <c r="S283" s="72"/>
    </row>
    <row r="284" spans="1:19" x14ac:dyDescent="0.25">
      <c r="A284" s="72" t="s">
        <v>1507</v>
      </c>
      <c r="B284" s="72" t="s">
        <v>66</v>
      </c>
      <c r="C284" s="72" t="s">
        <v>119</v>
      </c>
      <c r="D284" s="72" t="s">
        <v>1495</v>
      </c>
      <c r="E284" s="72" t="s">
        <v>1507</v>
      </c>
      <c r="F284" s="72" t="s">
        <v>1508</v>
      </c>
      <c r="G284" s="72" t="s">
        <v>37</v>
      </c>
      <c r="H284" s="72" t="s">
        <v>136</v>
      </c>
      <c r="I284" s="72"/>
      <c r="J284" s="72"/>
      <c r="K284" s="72" t="s">
        <v>2796</v>
      </c>
      <c r="L284" s="72"/>
      <c r="M284" s="72" t="s">
        <v>2797</v>
      </c>
      <c r="N284" s="72"/>
      <c r="O284" s="72"/>
      <c r="P284" s="72"/>
      <c r="Q284" s="72"/>
      <c r="R284" s="72"/>
      <c r="S284" s="72"/>
    </row>
    <row r="285" spans="1:19" x14ac:dyDescent="0.25">
      <c r="A285" s="72" t="s">
        <v>1509</v>
      </c>
      <c r="B285" s="72" t="s">
        <v>66</v>
      </c>
      <c r="C285" s="72" t="s">
        <v>177</v>
      </c>
      <c r="D285" s="72" t="s">
        <v>1495</v>
      </c>
      <c r="E285" s="72" t="s">
        <v>1509</v>
      </c>
      <c r="F285" s="72" t="s">
        <v>1510</v>
      </c>
      <c r="G285" s="72" t="s">
        <v>37</v>
      </c>
      <c r="H285" s="72" t="s">
        <v>34</v>
      </c>
      <c r="I285" s="72"/>
      <c r="J285" s="72"/>
      <c r="K285" s="72" t="s">
        <v>2798</v>
      </c>
      <c r="L285" s="72"/>
      <c r="M285" s="72" t="s">
        <v>2799</v>
      </c>
      <c r="N285" s="72"/>
      <c r="O285" s="72"/>
      <c r="P285" s="72"/>
      <c r="Q285" s="72"/>
      <c r="R285" s="72"/>
      <c r="S285" s="72"/>
    </row>
    <row r="286" spans="1:19" x14ac:dyDescent="0.25">
      <c r="A286" s="72" t="s">
        <v>1517</v>
      </c>
      <c r="B286" s="72" t="s">
        <v>66</v>
      </c>
      <c r="C286" s="72" t="s">
        <v>47</v>
      </c>
      <c r="D286" s="72" t="s">
        <v>1489</v>
      </c>
      <c r="E286" s="72" t="s">
        <v>1517</v>
      </c>
      <c r="F286" s="72" t="s">
        <v>1518</v>
      </c>
      <c r="G286" s="72" t="s">
        <v>28</v>
      </c>
      <c r="H286" s="72" t="s">
        <v>507</v>
      </c>
      <c r="I286" s="72" t="s">
        <v>1595</v>
      </c>
      <c r="J286" s="72" t="s">
        <v>2405</v>
      </c>
      <c r="K286" s="72" t="s">
        <v>2800</v>
      </c>
      <c r="L286" s="72" t="s">
        <v>2801</v>
      </c>
      <c r="M286" s="72" t="s">
        <v>2802</v>
      </c>
      <c r="N286" s="72" t="s">
        <v>2803</v>
      </c>
      <c r="O286" s="72"/>
      <c r="P286" s="72"/>
      <c r="Q286" s="72"/>
      <c r="R286" s="72"/>
      <c r="S286" s="72"/>
    </row>
    <row r="287" spans="1:19" x14ac:dyDescent="0.25">
      <c r="A287" s="72" t="s">
        <v>1473</v>
      </c>
      <c r="B287" s="72" t="s">
        <v>216</v>
      </c>
      <c r="C287" s="72" t="s">
        <v>96</v>
      </c>
      <c r="D287" s="72" t="s">
        <v>1660</v>
      </c>
      <c r="E287" s="72" t="s">
        <v>1473</v>
      </c>
      <c r="F287" s="72" t="s">
        <v>1672</v>
      </c>
      <c r="G287" s="72" t="s">
        <v>28</v>
      </c>
      <c r="H287" s="72" t="s">
        <v>1456</v>
      </c>
      <c r="I287" s="72" t="s">
        <v>1956</v>
      </c>
      <c r="J287" s="72" t="s">
        <v>1957</v>
      </c>
      <c r="K287" s="72" t="s">
        <v>2804</v>
      </c>
      <c r="L287" s="72" t="s">
        <v>2805</v>
      </c>
      <c r="M287" s="72" t="s">
        <v>2806</v>
      </c>
      <c r="N287" s="72" t="s">
        <v>2807</v>
      </c>
      <c r="O287" s="72"/>
      <c r="P287" s="72"/>
      <c r="Q287" s="72"/>
      <c r="R287" s="72"/>
      <c r="S287" s="72"/>
    </row>
    <row r="288" spans="1:19" x14ac:dyDescent="0.25">
      <c r="A288" s="72" t="s">
        <v>1476</v>
      </c>
      <c r="B288" s="72" t="s">
        <v>216</v>
      </c>
      <c r="C288" s="72" t="s">
        <v>140</v>
      </c>
      <c r="D288" s="72" t="s">
        <v>441</v>
      </c>
      <c r="E288" s="72" t="s">
        <v>1476</v>
      </c>
      <c r="F288" s="72" t="s">
        <v>443</v>
      </c>
      <c r="G288" s="72" t="s">
        <v>19</v>
      </c>
      <c r="H288" s="72" t="s">
        <v>83</v>
      </c>
      <c r="I288" s="72" t="s">
        <v>2303</v>
      </c>
      <c r="J288" s="72" t="s">
        <v>2304</v>
      </c>
      <c r="K288" s="72" t="s">
        <v>2808</v>
      </c>
      <c r="L288" s="72" t="s">
        <v>2809</v>
      </c>
      <c r="M288" s="72" t="s">
        <v>2810</v>
      </c>
      <c r="N288" s="72" t="s">
        <v>2811</v>
      </c>
      <c r="O288" s="72"/>
      <c r="P288" s="72"/>
      <c r="Q288" s="72"/>
      <c r="R288" s="72"/>
      <c r="S288" s="72"/>
    </row>
    <row r="289" spans="1:19" x14ac:dyDescent="0.25">
      <c r="A289" s="72" t="s">
        <v>511</v>
      </c>
      <c r="B289" s="72" t="s">
        <v>216</v>
      </c>
      <c r="C289" s="72" t="s">
        <v>47</v>
      </c>
      <c r="D289" s="72" t="s">
        <v>251</v>
      </c>
      <c r="E289" s="72" t="s">
        <v>511</v>
      </c>
      <c r="F289" s="72" t="s">
        <v>512</v>
      </c>
      <c r="G289" s="72" t="s">
        <v>19</v>
      </c>
      <c r="H289" s="72" t="s">
        <v>237</v>
      </c>
      <c r="I289" s="72" t="s">
        <v>2587</v>
      </c>
      <c r="J289" s="72" t="s">
        <v>2588</v>
      </c>
      <c r="K289" s="72" t="s">
        <v>2812</v>
      </c>
      <c r="L289" s="72" t="s">
        <v>2813</v>
      </c>
      <c r="M289" s="72" t="s">
        <v>2814</v>
      </c>
      <c r="N289" s="72" t="s">
        <v>2815</v>
      </c>
      <c r="O289" s="72"/>
      <c r="P289" s="72"/>
      <c r="Q289" s="72"/>
      <c r="R289" s="72"/>
      <c r="S289" s="72"/>
    </row>
    <row r="290" spans="1:19" x14ac:dyDescent="0.25">
      <c r="A290" s="72" t="s">
        <v>615</v>
      </c>
      <c r="B290" s="72" t="s">
        <v>216</v>
      </c>
      <c r="C290" s="72" t="s">
        <v>47</v>
      </c>
      <c r="D290" s="72" t="s">
        <v>229</v>
      </c>
      <c r="E290" s="72" t="s">
        <v>615</v>
      </c>
      <c r="F290" s="72" t="s">
        <v>616</v>
      </c>
      <c r="G290" s="72" t="s">
        <v>19</v>
      </c>
      <c r="H290" s="72" t="s">
        <v>55</v>
      </c>
      <c r="I290" s="72" t="s">
        <v>2816</v>
      </c>
      <c r="J290" s="72" t="s">
        <v>2817</v>
      </c>
      <c r="K290" s="72" t="s">
        <v>2818</v>
      </c>
      <c r="L290" s="72" t="s">
        <v>2819</v>
      </c>
      <c r="M290" s="72" t="s">
        <v>2820</v>
      </c>
      <c r="N290" s="72" t="s">
        <v>2821</v>
      </c>
      <c r="O290" s="72"/>
      <c r="P290" s="72"/>
      <c r="Q290" s="72"/>
      <c r="R290" s="72"/>
      <c r="S290" s="72"/>
    </row>
    <row r="291" spans="1:19" x14ac:dyDescent="0.25">
      <c r="A291" s="72" t="s">
        <v>694</v>
      </c>
      <c r="B291" s="72" t="s">
        <v>216</v>
      </c>
      <c r="C291" s="72" t="s">
        <v>47</v>
      </c>
      <c r="D291" s="72" t="s">
        <v>693</v>
      </c>
      <c r="E291" s="72" t="s">
        <v>694</v>
      </c>
      <c r="F291" s="72" t="s">
        <v>695</v>
      </c>
      <c r="G291" s="72" t="s">
        <v>14</v>
      </c>
      <c r="H291" s="72" t="s">
        <v>61</v>
      </c>
      <c r="I291" s="72" t="s">
        <v>1539</v>
      </c>
      <c r="J291" s="72" t="s">
        <v>1706</v>
      </c>
      <c r="K291" s="72" t="s">
        <v>2822</v>
      </c>
      <c r="L291" s="72" t="s">
        <v>2823</v>
      </c>
      <c r="M291" s="72" t="s">
        <v>2824</v>
      </c>
      <c r="N291" s="72" t="s">
        <v>2825</v>
      </c>
      <c r="O291" s="72"/>
      <c r="P291" s="72"/>
      <c r="Q291" s="72"/>
      <c r="R291" s="72"/>
      <c r="S291" s="72"/>
    </row>
    <row r="292" spans="1:19" x14ac:dyDescent="0.25">
      <c r="A292" s="72" t="s">
        <v>628</v>
      </c>
      <c r="B292" s="72" t="s">
        <v>216</v>
      </c>
      <c r="C292" s="72" t="s">
        <v>10</v>
      </c>
      <c r="D292" s="72" t="s">
        <v>438</v>
      </c>
      <c r="E292" s="72" t="s">
        <v>628</v>
      </c>
      <c r="F292" s="72" t="s">
        <v>629</v>
      </c>
      <c r="G292" s="72" t="s">
        <v>19</v>
      </c>
      <c r="H292" s="72" t="s">
        <v>20</v>
      </c>
      <c r="I292" s="72" t="s">
        <v>874</v>
      </c>
      <c r="J292" s="72" t="s">
        <v>2484</v>
      </c>
      <c r="K292" s="72" t="s">
        <v>2826</v>
      </c>
      <c r="L292" s="72" t="s">
        <v>2827</v>
      </c>
      <c r="M292" s="72" t="s">
        <v>2828</v>
      </c>
      <c r="N292" s="72" t="s">
        <v>2829</v>
      </c>
      <c r="O292" s="72"/>
      <c r="P292" s="72"/>
      <c r="Q292" s="72"/>
      <c r="R292" s="72"/>
      <c r="S292" s="72"/>
    </row>
    <row r="293" spans="1:19" x14ac:dyDescent="0.25">
      <c r="A293" s="72" t="s">
        <v>661</v>
      </c>
      <c r="B293" s="72" t="s">
        <v>216</v>
      </c>
      <c r="C293" s="72" t="s">
        <v>96</v>
      </c>
      <c r="D293" s="72" t="s">
        <v>535</v>
      </c>
      <c r="E293" s="72" t="s">
        <v>661</v>
      </c>
      <c r="F293" s="72" t="s">
        <v>662</v>
      </c>
      <c r="G293" s="72" t="s">
        <v>19</v>
      </c>
      <c r="H293" s="72" t="s">
        <v>287</v>
      </c>
      <c r="I293" s="72" t="s">
        <v>874</v>
      </c>
      <c r="J293" s="72" t="s">
        <v>2484</v>
      </c>
      <c r="K293" s="72" t="s">
        <v>2830</v>
      </c>
      <c r="L293" s="72" t="s">
        <v>2831</v>
      </c>
      <c r="M293" s="72" t="s">
        <v>2832</v>
      </c>
      <c r="N293" s="72" t="s">
        <v>2833</v>
      </c>
      <c r="O293" s="72"/>
      <c r="P293" s="72"/>
      <c r="Q293" s="72"/>
      <c r="R293" s="72"/>
      <c r="S293" s="72"/>
    </row>
    <row r="294" spans="1:19" x14ac:dyDescent="0.25">
      <c r="A294" s="72" t="s">
        <v>744</v>
      </c>
      <c r="B294" s="72" t="s">
        <v>216</v>
      </c>
      <c r="C294" s="72" t="s">
        <v>47</v>
      </c>
      <c r="D294" s="72" t="s">
        <v>688</v>
      </c>
      <c r="E294" s="72" t="s">
        <v>744</v>
      </c>
      <c r="F294" s="72" t="s">
        <v>745</v>
      </c>
      <c r="G294" s="72" t="s">
        <v>19</v>
      </c>
      <c r="H294" s="72" t="s">
        <v>287</v>
      </c>
      <c r="I294" s="72" t="s">
        <v>874</v>
      </c>
      <c r="J294" s="72" t="s">
        <v>2484</v>
      </c>
      <c r="K294" s="72" t="s">
        <v>2834</v>
      </c>
      <c r="L294" s="72" t="s">
        <v>2835</v>
      </c>
      <c r="M294" s="72" t="s">
        <v>2836</v>
      </c>
      <c r="N294" s="72" t="s">
        <v>2837</v>
      </c>
      <c r="O294" s="72"/>
      <c r="P294" s="72"/>
      <c r="Q294" s="72"/>
      <c r="R294" s="72"/>
      <c r="S294" s="72"/>
    </row>
    <row r="295" spans="1:19" x14ac:dyDescent="0.25">
      <c r="A295" s="72" t="s">
        <v>709</v>
      </c>
      <c r="B295" s="72" t="s">
        <v>216</v>
      </c>
      <c r="C295" s="72" t="s">
        <v>140</v>
      </c>
      <c r="D295" s="72" t="s">
        <v>354</v>
      </c>
      <c r="E295" s="72" t="s">
        <v>709</v>
      </c>
      <c r="F295" s="72" t="s">
        <v>710</v>
      </c>
      <c r="G295" s="72" t="s">
        <v>14</v>
      </c>
      <c r="H295" s="72" t="s">
        <v>1458</v>
      </c>
      <c r="I295" s="72" t="s">
        <v>1103</v>
      </c>
      <c r="J295" s="72" t="s">
        <v>2489</v>
      </c>
      <c r="K295" s="72" t="s">
        <v>2838</v>
      </c>
      <c r="L295" s="72" t="s">
        <v>2839</v>
      </c>
      <c r="M295" s="72" t="s">
        <v>2840</v>
      </c>
      <c r="N295" s="72" t="s">
        <v>2841</v>
      </c>
      <c r="O295" s="72"/>
      <c r="P295" s="72"/>
      <c r="Q295" s="72"/>
      <c r="R295" s="72"/>
      <c r="S295" s="72"/>
    </row>
    <row r="296" spans="1:19" x14ac:dyDescent="0.25">
      <c r="A296" s="72" t="s">
        <v>580</v>
      </c>
      <c r="B296" s="72" t="s">
        <v>56</v>
      </c>
      <c r="C296" s="72" t="s">
        <v>10</v>
      </c>
      <c r="D296" s="72" t="s">
        <v>357</v>
      </c>
      <c r="E296" s="72" t="s">
        <v>580</v>
      </c>
      <c r="F296" s="72" t="s">
        <v>581</v>
      </c>
      <c r="G296" s="72" t="s">
        <v>19</v>
      </c>
      <c r="H296" s="72" t="s">
        <v>24</v>
      </c>
      <c r="I296" s="72" t="s">
        <v>2581</v>
      </c>
      <c r="J296" s="72" t="s">
        <v>2582</v>
      </c>
      <c r="K296" s="72" t="s">
        <v>2401</v>
      </c>
      <c r="L296" s="72" t="s">
        <v>2842</v>
      </c>
      <c r="M296" s="72" t="s">
        <v>2843</v>
      </c>
      <c r="N296" s="72" t="s">
        <v>2844</v>
      </c>
      <c r="O296" s="72"/>
      <c r="P296" s="72"/>
      <c r="Q296" s="72"/>
      <c r="R296" s="72"/>
      <c r="S296" s="72"/>
    </row>
    <row r="297" spans="1:19" x14ac:dyDescent="0.25">
      <c r="A297" s="72" t="s">
        <v>711</v>
      </c>
      <c r="B297" s="72" t="s">
        <v>216</v>
      </c>
      <c r="C297" s="72" t="s">
        <v>47</v>
      </c>
      <c r="D297" s="72" t="s">
        <v>1480</v>
      </c>
      <c r="E297" s="72" t="s">
        <v>711</v>
      </c>
      <c r="F297" s="72" t="s">
        <v>712</v>
      </c>
      <c r="G297" s="72" t="s">
        <v>28</v>
      </c>
      <c r="H297" s="72" t="s">
        <v>507</v>
      </c>
      <c r="I297" s="72" t="s">
        <v>1543</v>
      </c>
      <c r="J297" s="72" t="s">
        <v>1906</v>
      </c>
      <c r="K297" s="72" t="s">
        <v>2845</v>
      </c>
      <c r="L297" s="72" t="s">
        <v>2846</v>
      </c>
      <c r="M297" s="72" t="s">
        <v>2847</v>
      </c>
      <c r="N297" s="72" t="s">
        <v>2848</v>
      </c>
      <c r="O297" s="72"/>
      <c r="P297" s="72"/>
      <c r="Q297" s="72"/>
      <c r="R297" s="72"/>
      <c r="S297" s="72"/>
    </row>
    <row r="298" spans="1:19" x14ac:dyDescent="0.25">
      <c r="A298" s="72" t="s">
        <v>640</v>
      </c>
      <c r="B298" s="72" t="s">
        <v>216</v>
      </c>
      <c r="C298" s="72" t="s">
        <v>96</v>
      </c>
      <c r="D298" s="72" t="s">
        <v>354</v>
      </c>
      <c r="E298" s="72" t="s">
        <v>640</v>
      </c>
      <c r="F298" s="72" t="s">
        <v>641</v>
      </c>
      <c r="G298" s="72" t="s">
        <v>14</v>
      </c>
      <c r="H298" s="72" t="s">
        <v>1456</v>
      </c>
      <c r="I298" s="72" t="s">
        <v>2849</v>
      </c>
      <c r="J298" s="72" t="s">
        <v>2850</v>
      </c>
      <c r="K298" s="72" t="s">
        <v>2804</v>
      </c>
      <c r="L298" s="72" t="s">
        <v>2851</v>
      </c>
      <c r="M298" s="72" t="s">
        <v>2852</v>
      </c>
      <c r="N298" s="72" t="s">
        <v>2853</v>
      </c>
      <c r="O298" s="72"/>
      <c r="P298" s="72"/>
      <c r="Q298" s="72"/>
      <c r="R298" s="72"/>
      <c r="S298" s="72"/>
    </row>
    <row r="299" spans="1:19" x14ac:dyDescent="0.25">
      <c r="A299" s="72" t="s">
        <v>669</v>
      </c>
      <c r="B299" s="72" t="s">
        <v>216</v>
      </c>
      <c r="C299" s="72" t="s">
        <v>47</v>
      </c>
      <c r="D299" s="72" t="s">
        <v>354</v>
      </c>
      <c r="E299" s="72" t="s">
        <v>669</v>
      </c>
      <c r="F299" s="72" t="s">
        <v>670</v>
      </c>
      <c r="G299" s="72" t="s">
        <v>14</v>
      </c>
      <c r="H299" s="72" t="s">
        <v>1456</v>
      </c>
      <c r="I299" s="72" t="s">
        <v>2849</v>
      </c>
      <c r="J299" s="72" t="s">
        <v>2850</v>
      </c>
      <c r="K299" s="72" t="s">
        <v>2854</v>
      </c>
      <c r="L299" s="72" t="s">
        <v>2855</v>
      </c>
      <c r="M299" s="72" t="s">
        <v>2856</v>
      </c>
      <c r="N299" s="72" t="s">
        <v>2857</v>
      </c>
      <c r="O299" s="72"/>
      <c r="P299" s="72"/>
      <c r="Q299" s="72"/>
      <c r="R299" s="72"/>
      <c r="S299" s="72"/>
    </row>
    <row r="300" spans="1:19" x14ac:dyDescent="0.25">
      <c r="A300" s="72" t="s">
        <v>1232</v>
      </c>
      <c r="B300" s="72" t="s">
        <v>216</v>
      </c>
      <c r="C300" s="72" t="s">
        <v>140</v>
      </c>
      <c r="D300" s="72" t="s">
        <v>360</v>
      </c>
      <c r="E300" s="72" t="s">
        <v>1232</v>
      </c>
      <c r="F300" s="72" t="s">
        <v>687</v>
      </c>
      <c r="G300" s="72" t="s">
        <v>14</v>
      </c>
      <c r="H300" s="72" t="s">
        <v>1458</v>
      </c>
      <c r="I300" s="72" t="s">
        <v>2849</v>
      </c>
      <c r="J300" s="72" t="s">
        <v>2850</v>
      </c>
      <c r="K300" s="72" t="s">
        <v>2838</v>
      </c>
      <c r="L300" s="72" t="s">
        <v>2858</v>
      </c>
      <c r="M300" s="72" t="s">
        <v>2859</v>
      </c>
      <c r="N300" s="72" t="s">
        <v>2860</v>
      </c>
      <c r="O300" s="72"/>
      <c r="P300" s="72"/>
      <c r="Q300" s="72"/>
      <c r="R300" s="72"/>
      <c r="S300" s="72"/>
    </row>
    <row r="301" spans="1:19" x14ac:dyDescent="0.25">
      <c r="A301" s="72" t="s">
        <v>477</v>
      </c>
      <c r="B301" s="72" t="s">
        <v>216</v>
      </c>
      <c r="C301" s="72" t="s">
        <v>96</v>
      </c>
      <c r="D301" s="72" t="s">
        <v>476</v>
      </c>
      <c r="E301" s="72" t="s">
        <v>477</v>
      </c>
      <c r="F301" s="72" t="s">
        <v>478</v>
      </c>
      <c r="G301" s="72" t="s">
        <v>14</v>
      </c>
      <c r="H301" s="72" t="s">
        <v>1460</v>
      </c>
      <c r="I301" s="72" t="s">
        <v>2861</v>
      </c>
      <c r="J301" s="72" t="s">
        <v>2862</v>
      </c>
      <c r="K301" s="72" t="s">
        <v>2863</v>
      </c>
      <c r="L301" s="72" t="s">
        <v>2864</v>
      </c>
      <c r="M301" s="72" t="s">
        <v>2865</v>
      </c>
      <c r="N301" s="72" t="s">
        <v>2866</v>
      </c>
      <c r="O301" s="72"/>
      <c r="P301" s="72"/>
      <c r="Q301" s="72"/>
      <c r="R301" s="72"/>
      <c r="S301" s="72"/>
    </row>
    <row r="302" spans="1:19" x14ac:dyDescent="0.25">
      <c r="A302" s="72" t="s">
        <v>761</v>
      </c>
      <c r="B302" s="72" t="s">
        <v>216</v>
      </c>
      <c r="C302" s="72" t="s">
        <v>140</v>
      </c>
      <c r="D302" s="72" t="s">
        <v>281</v>
      </c>
      <c r="E302" s="72" t="s">
        <v>761</v>
      </c>
      <c r="F302" s="72" t="s">
        <v>762</v>
      </c>
      <c r="G302" s="72" t="s">
        <v>14</v>
      </c>
      <c r="H302" s="72" t="s">
        <v>1457</v>
      </c>
      <c r="I302" s="72" t="s">
        <v>2861</v>
      </c>
      <c r="J302" s="72" t="s">
        <v>2862</v>
      </c>
      <c r="K302" s="72" t="s">
        <v>2867</v>
      </c>
      <c r="L302" s="72" t="s">
        <v>2868</v>
      </c>
      <c r="M302" s="72" t="s">
        <v>2869</v>
      </c>
      <c r="N302" s="72" t="s">
        <v>2870</v>
      </c>
      <c r="O302" s="72"/>
      <c r="P302" s="72"/>
      <c r="Q302" s="72"/>
      <c r="R302" s="72"/>
      <c r="S302" s="72"/>
    </row>
    <row r="303" spans="1:19" x14ac:dyDescent="0.25">
      <c r="A303" s="72" t="s">
        <v>321</v>
      </c>
      <c r="B303" s="72" t="s">
        <v>216</v>
      </c>
      <c r="C303" s="72" t="s">
        <v>96</v>
      </c>
      <c r="D303" s="72" t="s">
        <v>1189</v>
      </c>
      <c r="E303" s="72" t="s">
        <v>321</v>
      </c>
      <c r="F303" s="72" t="s">
        <v>322</v>
      </c>
      <c r="G303" s="72" t="s">
        <v>28</v>
      </c>
      <c r="H303" s="72" t="s">
        <v>83</v>
      </c>
      <c r="I303" s="72" t="s">
        <v>1578</v>
      </c>
      <c r="J303" s="72" t="s">
        <v>2634</v>
      </c>
      <c r="K303" s="72" t="s">
        <v>2871</v>
      </c>
      <c r="L303" s="72" t="s">
        <v>2872</v>
      </c>
      <c r="M303" s="72" t="s">
        <v>2873</v>
      </c>
      <c r="N303" s="72" t="s">
        <v>2874</v>
      </c>
      <c r="O303" s="72"/>
      <c r="P303" s="72"/>
      <c r="Q303" s="72"/>
      <c r="R303" s="72"/>
      <c r="S303" s="72"/>
    </row>
    <row r="304" spans="1:19" x14ac:dyDescent="0.25">
      <c r="A304" s="72" t="s">
        <v>343</v>
      </c>
      <c r="B304" s="72" t="s">
        <v>216</v>
      </c>
      <c r="C304" s="72" t="s">
        <v>47</v>
      </c>
      <c r="D304" s="72" t="s">
        <v>342</v>
      </c>
      <c r="E304" s="72" t="s">
        <v>343</v>
      </c>
      <c r="F304" s="72" t="s">
        <v>344</v>
      </c>
      <c r="G304" s="72" t="s">
        <v>28</v>
      </c>
      <c r="H304" s="72" t="s">
        <v>79</v>
      </c>
      <c r="I304" s="72" t="s">
        <v>1545</v>
      </c>
      <c r="J304" s="72" t="s">
        <v>2508</v>
      </c>
      <c r="K304" s="72" t="s">
        <v>2875</v>
      </c>
      <c r="L304" s="72" t="s">
        <v>2876</v>
      </c>
      <c r="M304" s="72" t="s">
        <v>2877</v>
      </c>
      <c r="N304" s="72" t="s">
        <v>2878</v>
      </c>
      <c r="O304" s="72"/>
      <c r="P304" s="72"/>
      <c r="Q304" s="72"/>
      <c r="R304" s="72"/>
      <c r="S304" s="72"/>
    </row>
    <row r="305" spans="1:19" x14ac:dyDescent="0.25">
      <c r="A305" s="72" t="s">
        <v>391</v>
      </c>
      <c r="B305" s="72" t="s">
        <v>216</v>
      </c>
      <c r="C305" s="72" t="s">
        <v>96</v>
      </c>
      <c r="D305" s="72" t="s">
        <v>390</v>
      </c>
      <c r="E305" s="72" t="s">
        <v>391</v>
      </c>
      <c r="F305" s="72" t="s">
        <v>392</v>
      </c>
      <c r="G305" s="72" t="s">
        <v>28</v>
      </c>
      <c r="H305" s="72" t="s">
        <v>87</v>
      </c>
      <c r="I305" s="72" t="s">
        <v>1545</v>
      </c>
      <c r="J305" s="72" t="s">
        <v>2508</v>
      </c>
      <c r="K305" s="72" t="s">
        <v>2879</v>
      </c>
      <c r="L305" s="72" t="s">
        <v>2880</v>
      </c>
      <c r="M305" s="72" t="s">
        <v>2881</v>
      </c>
      <c r="N305" s="72" t="s">
        <v>2882</v>
      </c>
      <c r="O305" s="72"/>
      <c r="P305" s="72"/>
      <c r="Q305" s="72"/>
      <c r="R305" s="72"/>
      <c r="S305" s="72"/>
    </row>
    <row r="306" spans="1:19" x14ac:dyDescent="0.25">
      <c r="A306" s="72" t="s">
        <v>436</v>
      </c>
      <c r="B306" s="72" t="s">
        <v>216</v>
      </c>
      <c r="C306" s="72" t="s">
        <v>140</v>
      </c>
      <c r="D306" s="72" t="s">
        <v>1190</v>
      </c>
      <c r="E306" s="72" t="s">
        <v>436</v>
      </c>
      <c r="F306" s="72" t="s">
        <v>437</v>
      </c>
      <c r="G306" s="72" t="s">
        <v>14</v>
      </c>
      <c r="H306" s="72" t="s">
        <v>51</v>
      </c>
      <c r="I306" s="72" t="s">
        <v>1558</v>
      </c>
      <c r="J306" s="72" t="s">
        <v>1814</v>
      </c>
      <c r="K306" s="72" t="s">
        <v>2883</v>
      </c>
      <c r="L306" s="72" t="s">
        <v>2884</v>
      </c>
      <c r="M306" s="72" t="s">
        <v>2885</v>
      </c>
      <c r="N306" s="72" t="s">
        <v>2886</v>
      </c>
      <c r="O306" s="72"/>
      <c r="P306" s="72"/>
      <c r="Q306" s="72"/>
      <c r="R306" s="72"/>
      <c r="S306" s="72"/>
    </row>
    <row r="307" spans="1:19" x14ac:dyDescent="0.25">
      <c r="A307" s="72" t="s">
        <v>584</v>
      </c>
      <c r="B307" s="72" t="s">
        <v>216</v>
      </c>
      <c r="C307" s="72" t="s">
        <v>943</v>
      </c>
      <c r="D307" s="72" t="s">
        <v>1194</v>
      </c>
      <c r="E307" s="72" t="s">
        <v>584</v>
      </c>
      <c r="F307" s="72" t="s">
        <v>585</v>
      </c>
      <c r="G307" s="72" t="s">
        <v>28</v>
      </c>
      <c r="H307" s="72" t="s">
        <v>20</v>
      </c>
      <c r="I307" s="72" t="s">
        <v>1766</v>
      </c>
      <c r="J307" s="72" t="s">
        <v>1767</v>
      </c>
      <c r="K307" s="72" t="s">
        <v>2887</v>
      </c>
      <c r="L307" s="72" t="s">
        <v>2888</v>
      </c>
      <c r="M307" s="72" t="s">
        <v>2889</v>
      </c>
      <c r="N307" s="72" t="s">
        <v>2890</v>
      </c>
      <c r="O307" s="72"/>
      <c r="P307" s="72"/>
      <c r="Q307" s="72"/>
      <c r="R307" s="72"/>
      <c r="S307" s="72"/>
    </row>
    <row r="308" spans="1:19" x14ac:dyDescent="0.25">
      <c r="A308" s="72" t="s">
        <v>635</v>
      </c>
      <c r="B308" s="72" t="s">
        <v>216</v>
      </c>
      <c r="C308" s="72" t="s">
        <v>10</v>
      </c>
      <c r="D308" s="72" t="s">
        <v>1196</v>
      </c>
      <c r="E308" s="72" t="s">
        <v>635</v>
      </c>
      <c r="F308" s="72" t="s">
        <v>636</v>
      </c>
      <c r="G308" s="72" t="s">
        <v>14</v>
      </c>
      <c r="H308" s="72" t="s">
        <v>91</v>
      </c>
      <c r="I308" s="72" t="s">
        <v>1776</v>
      </c>
      <c r="J308" s="72" t="s">
        <v>1777</v>
      </c>
      <c r="K308" s="72" t="s">
        <v>2891</v>
      </c>
      <c r="L308" s="72" t="s">
        <v>2892</v>
      </c>
      <c r="M308" s="72" t="s">
        <v>2893</v>
      </c>
      <c r="N308" s="72" t="s">
        <v>2894</v>
      </c>
      <c r="O308" s="72"/>
      <c r="P308" s="72"/>
      <c r="Q308" s="72"/>
      <c r="R308" s="72"/>
      <c r="S308" s="72"/>
    </row>
    <row r="309" spans="1:19" x14ac:dyDescent="0.25">
      <c r="A309" s="72" t="s">
        <v>394</v>
      </c>
      <c r="B309" s="72" t="s">
        <v>216</v>
      </c>
      <c r="C309" s="72" t="s">
        <v>96</v>
      </c>
      <c r="D309" s="72" t="s">
        <v>62</v>
      </c>
      <c r="E309" s="72" t="s">
        <v>394</v>
      </c>
      <c r="F309" s="72" t="s">
        <v>395</v>
      </c>
      <c r="G309" s="72" t="s">
        <v>28</v>
      </c>
      <c r="H309" s="72" t="s">
        <v>79</v>
      </c>
      <c r="I309" s="72" t="s">
        <v>1134</v>
      </c>
      <c r="J309" s="72" t="s">
        <v>1798</v>
      </c>
      <c r="K309" s="72" t="s">
        <v>2895</v>
      </c>
      <c r="L309" s="72" t="s">
        <v>2896</v>
      </c>
      <c r="M309" s="72" t="s">
        <v>2897</v>
      </c>
      <c r="N309" s="72" t="s">
        <v>2898</v>
      </c>
      <c r="O309" s="72"/>
      <c r="P309" s="72"/>
      <c r="Q309" s="72"/>
      <c r="R309" s="72"/>
      <c r="S309" s="72"/>
    </row>
    <row r="310" spans="1:19" x14ac:dyDescent="0.25">
      <c r="A310" s="72" t="s">
        <v>645</v>
      </c>
      <c r="B310" s="72" t="s">
        <v>216</v>
      </c>
      <c r="C310" s="72" t="s">
        <v>96</v>
      </c>
      <c r="D310" s="72" t="s">
        <v>251</v>
      </c>
      <c r="E310" s="72" t="s">
        <v>645</v>
      </c>
      <c r="F310" s="72" t="s">
        <v>646</v>
      </c>
      <c r="G310" s="72" t="s">
        <v>19</v>
      </c>
      <c r="H310" s="72" t="s">
        <v>46</v>
      </c>
      <c r="I310" s="72" t="s">
        <v>2707</v>
      </c>
      <c r="J310" s="72" t="s">
        <v>2708</v>
      </c>
      <c r="K310" s="72" t="s">
        <v>2899</v>
      </c>
      <c r="L310" s="72" t="s">
        <v>2900</v>
      </c>
      <c r="M310" s="72" t="s">
        <v>2901</v>
      </c>
      <c r="N310" s="72" t="s">
        <v>2902</v>
      </c>
      <c r="O310" s="72"/>
      <c r="P310" s="72"/>
      <c r="Q310" s="72"/>
      <c r="R310" s="72"/>
      <c r="S310" s="72"/>
    </row>
    <row r="311" spans="1:19" x14ac:dyDescent="0.25">
      <c r="A311" s="72" t="s">
        <v>1290</v>
      </c>
      <c r="B311" s="72" t="s">
        <v>216</v>
      </c>
      <c r="C311" s="72" t="s">
        <v>128</v>
      </c>
      <c r="D311" s="72" t="s">
        <v>129</v>
      </c>
      <c r="E311" s="72" t="s">
        <v>1290</v>
      </c>
      <c r="F311" s="72" t="s">
        <v>294</v>
      </c>
      <c r="G311" s="72" t="s">
        <v>37</v>
      </c>
      <c r="H311" s="72" t="s">
        <v>123</v>
      </c>
      <c r="I311" s="72" t="s">
        <v>1427</v>
      </c>
      <c r="J311" s="72" t="s">
        <v>1854</v>
      </c>
      <c r="K311" s="72" t="s">
        <v>2903</v>
      </c>
      <c r="L311" s="72" t="s">
        <v>2904</v>
      </c>
      <c r="M311" s="72" t="s">
        <v>1292</v>
      </c>
      <c r="N311" s="72" t="s">
        <v>2278</v>
      </c>
      <c r="O311" s="72"/>
      <c r="P311" s="72"/>
      <c r="Q311" s="72"/>
      <c r="R311" s="72"/>
      <c r="S311" s="72"/>
    </row>
    <row r="312" spans="1:19" x14ac:dyDescent="0.25">
      <c r="A312" s="72" t="s">
        <v>101</v>
      </c>
      <c r="B312" s="72" t="s">
        <v>216</v>
      </c>
      <c r="C312" s="72" t="s">
        <v>47</v>
      </c>
      <c r="D312" s="72" t="s">
        <v>100</v>
      </c>
      <c r="E312" s="72" t="s">
        <v>101</v>
      </c>
      <c r="F312" s="72" t="s">
        <v>102</v>
      </c>
      <c r="G312" s="72" t="s">
        <v>28</v>
      </c>
      <c r="H312" s="72" t="s">
        <v>83</v>
      </c>
      <c r="I312" s="72" t="s">
        <v>1556</v>
      </c>
      <c r="J312" s="72" t="s">
        <v>1788</v>
      </c>
      <c r="K312" s="72" t="s">
        <v>2905</v>
      </c>
      <c r="L312" s="72" t="s">
        <v>2906</v>
      </c>
      <c r="M312" s="72" t="s">
        <v>2907</v>
      </c>
      <c r="N312" s="72" t="s">
        <v>2908</v>
      </c>
      <c r="O312" s="72"/>
      <c r="P312" s="72"/>
      <c r="Q312" s="72"/>
      <c r="R312" s="72"/>
      <c r="S312" s="72"/>
    </row>
    <row r="313" spans="1:19" x14ac:dyDescent="0.25">
      <c r="A313" s="72" t="s">
        <v>482</v>
      </c>
      <c r="B313" s="72" t="s">
        <v>216</v>
      </c>
      <c r="C313" s="72" t="s">
        <v>47</v>
      </c>
      <c r="D313" s="72" t="s">
        <v>1194</v>
      </c>
      <c r="E313" s="72" t="s">
        <v>482</v>
      </c>
      <c r="F313" s="72" t="s">
        <v>483</v>
      </c>
      <c r="G313" s="72" t="s">
        <v>19</v>
      </c>
      <c r="H313" s="72" t="s">
        <v>87</v>
      </c>
      <c r="I313" s="72" t="s">
        <v>2303</v>
      </c>
      <c r="J313" s="72" t="s">
        <v>2304</v>
      </c>
      <c r="K313" s="72" t="s">
        <v>2909</v>
      </c>
      <c r="L313" s="72" t="s">
        <v>2910</v>
      </c>
      <c r="M313" s="72" t="s">
        <v>2911</v>
      </c>
      <c r="N313" s="72" t="s">
        <v>2912</v>
      </c>
      <c r="O313" s="72"/>
      <c r="P313" s="72"/>
      <c r="Q313" s="72"/>
      <c r="R313" s="72"/>
      <c r="S313" s="72"/>
    </row>
    <row r="314" spans="1:19" x14ac:dyDescent="0.25">
      <c r="A314" s="72" t="s">
        <v>404</v>
      </c>
      <c r="B314" s="72" t="s">
        <v>216</v>
      </c>
      <c r="C314" s="72" t="s">
        <v>10</v>
      </c>
      <c r="D314" s="72" t="s">
        <v>248</v>
      </c>
      <c r="E314" s="72" t="s">
        <v>404</v>
      </c>
      <c r="F314" s="72" t="s">
        <v>405</v>
      </c>
      <c r="G314" s="72" t="s">
        <v>19</v>
      </c>
      <c r="H314" s="72" t="s">
        <v>24</v>
      </c>
      <c r="I314" s="72" t="s">
        <v>2303</v>
      </c>
      <c r="J314" s="72" t="s">
        <v>2304</v>
      </c>
      <c r="K314" s="72" t="s">
        <v>2913</v>
      </c>
      <c r="L314" s="72" t="s">
        <v>2914</v>
      </c>
      <c r="M314" s="72" t="s">
        <v>2915</v>
      </c>
      <c r="N314" s="72" t="s">
        <v>2916</v>
      </c>
      <c r="O314" s="72"/>
      <c r="P314" s="72"/>
      <c r="Q314" s="72"/>
      <c r="R314" s="72"/>
      <c r="S314" s="72"/>
    </row>
    <row r="315" spans="1:19" x14ac:dyDescent="0.25">
      <c r="A315" s="72" t="s">
        <v>361</v>
      </c>
      <c r="B315" s="72" t="s">
        <v>216</v>
      </c>
      <c r="C315" s="72" t="s">
        <v>96</v>
      </c>
      <c r="D315" s="72" t="s">
        <v>360</v>
      </c>
      <c r="E315" s="72" t="s">
        <v>361</v>
      </c>
      <c r="F315" s="72" t="s">
        <v>362</v>
      </c>
      <c r="G315" s="72" t="s">
        <v>14</v>
      </c>
      <c r="H315" s="72" t="s">
        <v>1457</v>
      </c>
      <c r="I315" s="72" t="s">
        <v>2187</v>
      </c>
      <c r="J315" s="72" t="s">
        <v>2188</v>
      </c>
      <c r="K315" s="72" t="s">
        <v>2917</v>
      </c>
      <c r="L315" s="72" t="s">
        <v>2918</v>
      </c>
      <c r="M315" s="72" t="s">
        <v>2919</v>
      </c>
      <c r="N315" s="72" t="s">
        <v>2920</v>
      </c>
      <c r="O315" s="72"/>
      <c r="P315" s="72"/>
      <c r="Q315" s="72"/>
      <c r="R315" s="72"/>
      <c r="S315" s="72"/>
    </row>
    <row r="316" spans="1:19" x14ac:dyDescent="0.25">
      <c r="A316" s="72" t="s">
        <v>647</v>
      </c>
      <c r="B316" s="72" t="s">
        <v>216</v>
      </c>
      <c r="C316" s="72" t="s">
        <v>10</v>
      </c>
      <c r="D316" s="72" t="s">
        <v>251</v>
      </c>
      <c r="E316" s="72" t="s">
        <v>647</v>
      </c>
      <c r="F316" s="72" t="s">
        <v>648</v>
      </c>
      <c r="G316" s="72" t="s">
        <v>19</v>
      </c>
      <c r="H316" s="72" t="s">
        <v>237</v>
      </c>
      <c r="I316" s="72" t="s">
        <v>2816</v>
      </c>
      <c r="J316" s="72" t="s">
        <v>2817</v>
      </c>
      <c r="K316" s="72" t="s">
        <v>2921</v>
      </c>
      <c r="L316" s="72" t="s">
        <v>2922</v>
      </c>
      <c r="M316" s="72" t="s">
        <v>2923</v>
      </c>
      <c r="N316" s="72" t="s">
        <v>2924</v>
      </c>
      <c r="O316" s="72"/>
      <c r="P316" s="72"/>
      <c r="Q316" s="72"/>
      <c r="R316" s="72"/>
      <c r="S316" s="72"/>
    </row>
    <row r="317" spans="1:19" x14ac:dyDescent="0.25">
      <c r="A317" s="72" t="s">
        <v>715</v>
      </c>
      <c r="B317" s="72" t="s">
        <v>216</v>
      </c>
      <c r="C317" s="72" t="s">
        <v>96</v>
      </c>
      <c r="D317" s="72" t="s">
        <v>229</v>
      </c>
      <c r="E317" s="72" t="s">
        <v>715</v>
      </c>
      <c r="F317" s="72" t="s">
        <v>716</v>
      </c>
      <c r="G317" s="72" t="s">
        <v>19</v>
      </c>
      <c r="H317" s="72" t="s">
        <v>79</v>
      </c>
      <c r="I317" s="72" t="s">
        <v>2816</v>
      </c>
      <c r="J317" s="72" t="s">
        <v>2817</v>
      </c>
      <c r="K317" s="72" t="s">
        <v>2895</v>
      </c>
      <c r="L317" s="72" t="s">
        <v>2925</v>
      </c>
      <c r="M317" s="72" t="s">
        <v>2926</v>
      </c>
      <c r="N317" s="72" t="s">
        <v>2927</v>
      </c>
      <c r="O317" s="72"/>
      <c r="P317" s="72"/>
      <c r="Q317" s="72"/>
      <c r="R317" s="72"/>
      <c r="S317" s="72"/>
    </row>
    <row r="318" spans="1:19" x14ac:dyDescent="0.25">
      <c r="A318" s="72" t="s">
        <v>1431</v>
      </c>
      <c r="B318" s="72" t="s">
        <v>216</v>
      </c>
      <c r="C318" s="72" t="s">
        <v>10</v>
      </c>
      <c r="D318" s="72" t="s">
        <v>1421</v>
      </c>
      <c r="E318" s="72" t="s">
        <v>1431</v>
      </c>
      <c r="F318" s="72" t="s">
        <v>1432</v>
      </c>
      <c r="G318" s="72" t="s">
        <v>37</v>
      </c>
      <c r="H318" s="72" t="s">
        <v>136</v>
      </c>
      <c r="I318" s="72" t="s">
        <v>1424</v>
      </c>
      <c r="J318" s="72" t="s">
        <v>1903</v>
      </c>
      <c r="K318" s="72" t="s">
        <v>2928</v>
      </c>
      <c r="L318" s="72" t="s">
        <v>2929</v>
      </c>
      <c r="M318" s="72" t="s">
        <v>2930</v>
      </c>
      <c r="N318" s="72" t="s">
        <v>2931</v>
      </c>
      <c r="O318" s="72"/>
      <c r="P318" s="72"/>
      <c r="Q318" s="72"/>
      <c r="R318" s="72"/>
      <c r="S318" s="72"/>
    </row>
    <row r="319" spans="1:19" x14ac:dyDescent="0.25">
      <c r="A319" s="72" t="s">
        <v>364</v>
      </c>
      <c r="B319" s="72" t="s">
        <v>216</v>
      </c>
      <c r="C319" s="72" t="s">
        <v>140</v>
      </c>
      <c r="D319" s="72" t="s">
        <v>187</v>
      </c>
      <c r="E319" s="72" t="s">
        <v>364</v>
      </c>
      <c r="F319" s="72" t="s">
        <v>365</v>
      </c>
      <c r="G319" s="72" t="s">
        <v>19</v>
      </c>
      <c r="H319" s="72" t="s">
        <v>55</v>
      </c>
      <c r="I319" s="72" t="s">
        <v>1564</v>
      </c>
      <c r="J319" s="72" t="s">
        <v>2036</v>
      </c>
      <c r="K319" s="72" t="s">
        <v>2932</v>
      </c>
      <c r="L319" s="72" t="s">
        <v>2933</v>
      </c>
      <c r="M319" s="72" t="s">
        <v>2934</v>
      </c>
      <c r="N319" s="72" t="s">
        <v>2935</v>
      </c>
      <c r="O319" s="72"/>
      <c r="P319" s="72"/>
      <c r="Q319" s="72"/>
      <c r="R319" s="72"/>
      <c r="S319" s="72"/>
    </row>
    <row r="320" spans="1:19" x14ac:dyDescent="0.25">
      <c r="A320" s="72" t="s">
        <v>1216</v>
      </c>
      <c r="B320" s="72" t="s">
        <v>216</v>
      </c>
      <c r="C320" s="72" t="s">
        <v>96</v>
      </c>
      <c r="D320" s="72" t="s">
        <v>187</v>
      </c>
      <c r="E320" s="72" t="s">
        <v>1216</v>
      </c>
      <c r="F320" s="72" t="s">
        <v>1217</v>
      </c>
      <c r="G320" s="72" t="s">
        <v>19</v>
      </c>
      <c r="H320" s="72" t="s">
        <v>24</v>
      </c>
      <c r="I320" s="72" t="s">
        <v>1564</v>
      </c>
      <c r="J320" s="72" t="s">
        <v>2036</v>
      </c>
      <c r="K320" s="72" t="s">
        <v>2936</v>
      </c>
      <c r="L320" s="72" t="s">
        <v>2937</v>
      </c>
      <c r="M320" s="72" t="s">
        <v>2938</v>
      </c>
      <c r="N320" s="72" t="s">
        <v>2939</v>
      </c>
      <c r="O320" s="72"/>
      <c r="P320" s="72"/>
      <c r="Q320" s="72"/>
      <c r="R320" s="72"/>
      <c r="S320" s="72"/>
    </row>
    <row r="321" spans="1:19" x14ac:dyDescent="0.25">
      <c r="A321" s="72" t="s">
        <v>31</v>
      </c>
      <c r="B321" s="72" t="s">
        <v>216</v>
      </c>
      <c r="C321" s="72" t="s">
        <v>10</v>
      </c>
      <c r="D321" s="72" t="s">
        <v>30</v>
      </c>
      <c r="E321" s="72" t="s">
        <v>31</v>
      </c>
      <c r="F321" s="72" t="s">
        <v>32</v>
      </c>
      <c r="G321" s="72" t="s">
        <v>14</v>
      </c>
      <c r="H321" s="72" t="s">
        <v>51</v>
      </c>
      <c r="I321" s="72" t="s">
        <v>1106</v>
      </c>
      <c r="J321" s="72" t="s">
        <v>2440</v>
      </c>
      <c r="K321" s="72" t="s">
        <v>2940</v>
      </c>
      <c r="L321" s="72" t="s">
        <v>2941</v>
      </c>
      <c r="M321" s="72" t="s">
        <v>2942</v>
      </c>
      <c r="N321" s="72" t="s">
        <v>2943</v>
      </c>
      <c r="O321" s="72"/>
      <c r="P321" s="72"/>
      <c r="Q321" s="72"/>
      <c r="R321" s="72"/>
      <c r="S321" s="72"/>
    </row>
    <row r="322" spans="1:19" x14ac:dyDescent="0.25">
      <c r="A322" s="72" t="s">
        <v>157</v>
      </c>
      <c r="B322" s="72" t="s">
        <v>216</v>
      </c>
      <c r="C322" s="72" t="s">
        <v>47</v>
      </c>
      <c r="D322" s="72" t="s">
        <v>156</v>
      </c>
      <c r="E322" s="72" t="s">
        <v>157</v>
      </c>
      <c r="F322" s="72" t="s">
        <v>158</v>
      </c>
      <c r="G322" s="72" t="s">
        <v>14</v>
      </c>
      <c r="H322" s="72" t="s">
        <v>792</v>
      </c>
      <c r="I322" s="72" t="s">
        <v>1106</v>
      </c>
      <c r="J322" s="72" t="s">
        <v>2440</v>
      </c>
      <c r="K322" s="72" t="s">
        <v>2944</v>
      </c>
      <c r="L322" s="72" t="s">
        <v>2945</v>
      </c>
      <c r="M322" s="72" t="s">
        <v>2946</v>
      </c>
      <c r="N322" s="72" t="s">
        <v>2947</v>
      </c>
      <c r="O322" s="72"/>
      <c r="P322" s="72"/>
      <c r="Q322" s="72"/>
      <c r="R322" s="72"/>
      <c r="S322" s="72"/>
    </row>
    <row r="323" spans="1:19" x14ac:dyDescent="0.25">
      <c r="A323" s="72" t="s">
        <v>667</v>
      </c>
      <c r="B323" s="72" t="s">
        <v>216</v>
      </c>
      <c r="C323" s="72" t="s">
        <v>140</v>
      </c>
      <c r="D323" s="72" t="s">
        <v>1218</v>
      </c>
      <c r="E323" s="72" t="s">
        <v>667</v>
      </c>
      <c r="F323" s="72" t="s">
        <v>668</v>
      </c>
      <c r="G323" s="72" t="s">
        <v>14</v>
      </c>
      <c r="H323" s="72" t="s">
        <v>1459</v>
      </c>
      <c r="I323" s="72" t="s">
        <v>1956</v>
      </c>
      <c r="J323" s="72" t="s">
        <v>1957</v>
      </c>
      <c r="K323" s="72" t="s">
        <v>2948</v>
      </c>
      <c r="L323" s="72" t="s">
        <v>2949</v>
      </c>
      <c r="M323" s="72" t="s">
        <v>2950</v>
      </c>
      <c r="N323" s="72" t="s">
        <v>2951</v>
      </c>
      <c r="O323" s="72"/>
      <c r="P323" s="72"/>
      <c r="Q323" s="72"/>
      <c r="R323" s="72"/>
      <c r="S323" s="72"/>
    </row>
    <row r="324" spans="1:19" x14ac:dyDescent="0.25">
      <c r="A324" s="72" t="s">
        <v>218</v>
      </c>
      <c r="B324" s="72" t="s">
        <v>66</v>
      </c>
      <c r="C324" s="72" t="s">
        <v>140</v>
      </c>
      <c r="D324" s="72" t="s">
        <v>217</v>
      </c>
      <c r="E324" s="72" t="s">
        <v>218</v>
      </c>
      <c r="F324" s="72" t="s">
        <v>219</v>
      </c>
      <c r="G324" s="72" t="s">
        <v>14</v>
      </c>
      <c r="H324" s="72" t="s">
        <v>1457</v>
      </c>
      <c r="I324" s="72" t="s">
        <v>2187</v>
      </c>
      <c r="J324" s="72" t="s">
        <v>2188</v>
      </c>
      <c r="K324" s="72" t="s">
        <v>2610</v>
      </c>
      <c r="L324" s="72" t="s">
        <v>2952</v>
      </c>
      <c r="M324" s="72" t="s">
        <v>2953</v>
      </c>
      <c r="N324" s="72" t="s">
        <v>2954</v>
      </c>
      <c r="O324" s="72"/>
      <c r="P324" s="72"/>
      <c r="Q324" s="72"/>
      <c r="R324" s="72"/>
      <c r="S324" s="72"/>
    </row>
    <row r="325" spans="1:19" x14ac:dyDescent="0.25">
      <c r="A325" s="72" t="s">
        <v>590</v>
      </c>
      <c r="B325" s="72" t="s">
        <v>216</v>
      </c>
      <c r="C325" s="72" t="s">
        <v>47</v>
      </c>
      <c r="D325" s="72" t="s">
        <v>360</v>
      </c>
      <c r="E325" s="72" t="s">
        <v>590</v>
      </c>
      <c r="F325" s="72" t="s">
        <v>591</v>
      </c>
      <c r="G325" s="72" t="s">
        <v>14</v>
      </c>
      <c r="H325" s="72" t="s">
        <v>1458</v>
      </c>
      <c r="I325" s="72" t="s">
        <v>1098</v>
      </c>
      <c r="J325" s="72" t="s">
        <v>2605</v>
      </c>
      <c r="K325" s="72" t="s">
        <v>2955</v>
      </c>
      <c r="L325" s="72" t="s">
        <v>2956</v>
      </c>
      <c r="M325" s="72" t="s">
        <v>2957</v>
      </c>
      <c r="N325" s="72" t="s">
        <v>2958</v>
      </c>
      <c r="O325" s="72"/>
      <c r="P325" s="72"/>
      <c r="Q325" s="72"/>
      <c r="R325" s="72"/>
      <c r="S325" s="72"/>
    </row>
    <row r="326" spans="1:19" x14ac:dyDescent="0.25">
      <c r="A326" s="72" t="s">
        <v>333</v>
      </c>
      <c r="B326" s="72" t="s">
        <v>216</v>
      </c>
      <c r="C326" s="72" t="s">
        <v>10</v>
      </c>
      <c r="D326" s="72" t="s">
        <v>133</v>
      </c>
      <c r="E326" s="72" t="s">
        <v>333</v>
      </c>
      <c r="F326" s="72" t="s">
        <v>334</v>
      </c>
      <c r="G326" s="72" t="s">
        <v>37</v>
      </c>
      <c r="H326" s="72" t="s">
        <v>38</v>
      </c>
      <c r="I326" s="72" t="s">
        <v>1411</v>
      </c>
      <c r="J326" s="72" t="s">
        <v>2331</v>
      </c>
      <c r="K326" s="72" t="s">
        <v>2959</v>
      </c>
      <c r="L326" s="72" t="s">
        <v>2960</v>
      </c>
      <c r="M326" s="72" t="s">
        <v>1297</v>
      </c>
      <c r="N326" s="72" t="s">
        <v>1294</v>
      </c>
      <c r="O326" s="72"/>
      <c r="P326" s="72"/>
      <c r="Q326" s="72"/>
      <c r="R326" s="72"/>
      <c r="S326" s="72"/>
    </row>
    <row r="327" spans="1:19" x14ac:dyDescent="0.25">
      <c r="A327" s="72" t="s">
        <v>425</v>
      </c>
      <c r="B327" s="72" t="s">
        <v>216</v>
      </c>
      <c r="C327" s="72" t="s">
        <v>177</v>
      </c>
      <c r="D327" s="72" t="s">
        <v>180</v>
      </c>
      <c r="E327" s="72" t="s">
        <v>425</v>
      </c>
      <c r="F327" s="72" t="s">
        <v>426</v>
      </c>
      <c r="G327" s="72" t="s">
        <v>37</v>
      </c>
      <c r="H327" s="72" t="s">
        <v>38</v>
      </c>
      <c r="I327" s="72" t="s">
        <v>1411</v>
      </c>
      <c r="J327" s="72" t="s">
        <v>2331</v>
      </c>
      <c r="K327" s="72" t="s">
        <v>2961</v>
      </c>
      <c r="L327" s="72" t="s">
        <v>2962</v>
      </c>
      <c r="M327" s="72" t="s">
        <v>1298</v>
      </c>
      <c r="N327" s="72" t="s">
        <v>1296</v>
      </c>
      <c r="O327" s="72"/>
      <c r="P327" s="72"/>
      <c r="Q327" s="72"/>
      <c r="R327" s="72"/>
      <c r="S327" s="72"/>
    </row>
    <row r="328" spans="1:19" x14ac:dyDescent="0.25">
      <c r="A328" s="72" t="s">
        <v>596</v>
      </c>
      <c r="B328" s="72" t="s">
        <v>216</v>
      </c>
      <c r="C328" s="72" t="s">
        <v>47</v>
      </c>
      <c r="D328" s="72" t="s">
        <v>144</v>
      </c>
      <c r="E328" s="72" t="s">
        <v>596</v>
      </c>
      <c r="F328" s="72" t="s">
        <v>597</v>
      </c>
      <c r="G328" s="72" t="s">
        <v>28</v>
      </c>
      <c r="H328" s="72" t="s">
        <v>55</v>
      </c>
      <c r="I328" s="72" t="s">
        <v>1578</v>
      </c>
      <c r="J328" s="72" t="s">
        <v>2634</v>
      </c>
      <c r="K328" s="72" t="s">
        <v>2818</v>
      </c>
      <c r="L328" s="72" t="s">
        <v>2963</v>
      </c>
      <c r="M328" s="72" t="s">
        <v>2964</v>
      </c>
      <c r="N328" s="72" t="s">
        <v>2965</v>
      </c>
      <c r="O328" s="72"/>
      <c r="P328" s="72"/>
      <c r="Q328" s="72"/>
      <c r="R328" s="72"/>
      <c r="S328" s="72"/>
    </row>
    <row r="329" spans="1:19" x14ac:dyDescent="0.25">
      <c r="A329" s="72" t="s">
        <v>300</v>
      </c>
      <c r="B329" s="72" t="s">
        <v>216</v>
      </c>
      <c r="C329" s="72" t="s">
        <v>10</v>
      </c>
      <c r="D329" s="72" t="s">
        <v>163</v>
      </c>
      <c r="E329" s="72" t="s">
        <v>300</v>
      </c>
      <c r="F329" s="72" t="s">
        <v>301</v>
      </c>
      <c r="G329" s="72" t="s">
        <v>37</v>
      </c>
      <c r="H329" s="72" t="s">
        <v>132</v>
      </c>
      <c r="I329" s="72" t="s">
        <v>1427</v>
      </c>
      <c r="J329" s="72" t="s">
        <v>1854</v>
      </c>
      <c r="K329" s="72" t="s">
        <v>2966</v>
      </c>
      <c r="L329" s="72" t="s">
        <v>2967</v>
      </c>
      <c r="M329" s="72" t="s">
        <v>1305</v>
      </c>
      <c r="N329" s="72" t="s">
        <v>1304</v>
      </c>
      <c r="O329" s="72"/>
      <c r="P329" s="72"/>
      <c r="Q329" s="72"/>
      <c r="R329" s="72"/>
      <c r="S329" s="72"/>
    </row>
    <row r="330" spans="1:19" x14ac:dyDescent="0.25">
      <c r="A330" s="72" t="s">
        <v>124</v>
      </c>
      <c r="B330" s="72" t="s">
        <v>216</v>
      </c>
      <c r="C330" s="72" t="s">
        <v>119</v>
      </c>
      <c r="D330" s="72" t="s">
        <v>39</v>
      </c>
      <c r="E330" s="72" t="s">
        <v>124</v>
      </c>
      <c r="F330" s="72" t="s">
        <v>125</v>
      </c>
      <c r="G330" s="72" t="s">
        <v>37</v>
      </c>
      <c r="H330" s="72" t="s">
        <v>38</v>
      </c>
      <c r="I330" s="72" t="s">
        <v>1575</v>
      </c>
      <c r="J330" s="72" t="s">
        <v>1846</v>
      </c>
      <c r="K330" s="72" t="s">
        <v>2968</v>
      </c>
      <c r="L330" s="72" t="s">
        <v>2969</v>
      </c>
      <c r="M330" s="72" t="s">
        <v>1306</v>
      </c>
      <c r="N330" s="72" t="s">
        <v>1300</v>
      </c>
      <c r="O330" s="72"/>
      <c r="P330" s="72"/>
      <c r="Q330" s="72"/>
      <c r="R330" s="72"/>
      <c r="S330" s="72"/>
    </row>
    <row r="331" spans="1:19" x14ac:dyDescent="0.25">
      <c r="A331" s="72" t="s">
        <v>1301</v>
      </c>
      <c r="B331" s="72" t="s">
        <v>216</v>
      </c>
      <c r="C331" s="72" t="s">
        <v>177</v>
      </c>
      <c r="D331" s="72" t="s">
        <v>120</v>
      </c>
      <c r="E331" s="72" t="s">
        <v>1301</v>
      </c>
      <c r="F331" s="72" t="s">
        <v>179</v>
      </c>
      <c r="G331" s="72" t="s">
        <v>37</v>
      </c>
      <c r="H331" s="72" t="s">
        <v>123</v>
      </c>
      <c r="I331" s="72" t="s">
        <v>1849</v>
      </c>
      <c r="J331" s="72" t="s">
        <v>1850</v>
      </c>
      <c r="K331" s="72" t="s">
        <v>2970</v>
      </c>
      <c r="L331" s="72" t="s">
        <v>2971</v>
      </c>
      <c r="M331" s="72" t="s">
        <v>1307</v>
      </c>
      <c r="N331" s="72" t="s">
        <v>1853</v>
      </c>
      <c r="O331" s="72"/>
      <c r="P331" s="72"/>
      <c r="Q331" s="72"/>
      <c r="R331" s="72"/>
      <c r="S331" s="72"/>
    </row>
    <row r="332" spans="1:19" x14ac:dyDescent="0.25">
      <c r="A332" s="72" t="s">
        <v>270</v>
      </c>
      <c r="B332" s="72" t="s">
        <v>216</v>
      </c>
      <c r="C332" s="72" t="s">
        <v>128</v>
      </c>
      <c r="D332" s="72" t="s">
        <v>163</v>
      </c>
      <c r="E332" s="72" t="s">
        <v>270</v>
      </c>
      <c r="F332" s="72" t="s">
        <v>271</v>
      </c>
      <c r="G332" s="72" t="s">
        <v>37</v>
      </c>
      <c r="H332" s="72" t="s">
        <v>42</v>
      </c>
      <c r="I332" s="72" t="s">
        <v>1418</v>
      </c>
      <c r="J332" s="72" t="s">
        <v>2101</v>
      </c>
      <c r="K332" s="72" t="s">
        <v>2972</v>
      </c>
      <c r="L332" s="72" t="s">
        <v>2973</v>
      </c>
      <c r="M332" s="72" t="s">
        <v>1313</v>
      </c>
      <c r="N332" s="72" t="s">
        <v>1309</v>
      </c>
      <c r="O332" s="72"/>
      <c r="P332" s="72"/>
      <c r="Q332" s="72"/>
      <c r="R332" s="72"/>
      <c r="S332" s="72"/>
    </row>
    <row r="333" spans="1:19" x14ac:dyDescent="0.25">
      <c r="A333" s="72" t="s">
        <v>763</v>
      </c>
      <c r="B333" s="72" t="s">
        <v>216</v>
      </c>
      <c r="C333" s="72" t="s">
        <v>140</v>
      </c>
      <c r="D333" s="72" t="s">
        <v>390</v>
      </c>
      <c r="E333" s="72" t="s">
        <v>763</v>
      </c>
      <c r="F333" s="72" t="s">
        <v>764</v>
      </c>
      <c r="G333" s="72" t="s">
        <v>28</v>
      </c>
      <c r="H333" s="72" t="s">
        <v>87</v>
      </c>
      <c r="I333" s="72" t="s">
        <v>1134</v>
      </c>
      <c r="J333" s="72" t="s">
        <v>1798</v>
      </c>
      <c r="K333" s="72" t="s">
        <v>2974</v>
      </c>
      <c r="L333" s="72" t="s">
        <v>2975</v>
      </c>
      <c r="M333" s="72" t="s">
        <v>2976</v>
      </c>
      <c r="N333" s="72" t="s">
        <v>2977</v>
      </c>
      <c r="O333" s="72"/>
      <c r="P333" s="72"/>
      <c r="Q333" s="72"/>
      <c r="R333" s="72"/>
      <c r="S333" s="72"/>
    </row>
    <row r="334" spans="1:19" x14ac:dyDescent="0.25">
      <c r="A334" s="72" t="s">
        <v>254</v>
      </c>
      <c r="B334" s="72" t="s">
        <v>216</v>
      </c>
      <c r="C334" s="72" t="s">
        <v>96</v>
      </c>
      <c r="D334" s="72" t="s">
        <v>76</v>
      </c>
      <c r="E334" s="72" t="s">
        <v>254</v>
      </c>
      <c r="F334" s="72" t="s">
        <v>255</v>
      </c>
      <c r="G334" s="72" t="s">
        <v>28</v>
      </c>
      <c r="H334" s="72" t="s">
        <v>87</v>
      </c>
      <c r="I334" s="72" t="s">
        <v>2095</v>
      </c>
      <c r="J334" s="72" t="s">
        <v>2096</v>
      </c>
      <c r="K334" s="72" t="s">
        <v>2879</v>
      </c>
      <c r="L334" s="72" t="s">
        <v>2978</v>
      </c>
      <c r="M334" s="72" t="s">
        <v>2979</v>
      </c>
      <c r="N334" s="72" t="s">
        <v>2980</v>
      </c>
      <c r="O334" s="72"/>
      <c r="P334" s="72"/>
      <c r="Q334" s="72"/>
      <c r="R334" s="72"/>
      <c r="S334" s="72"/>
    </row>
    <row r="335" spans="1:19" x14ac:dyDescent="0.25">
      <c r="A335" s="72" t="s">
        <v>445</v>
      </c>
      <c r="B335" s="72" t="s">
        <v>216</v>
      </c>
      <c r="C335" s="72" t="s">
        <v>140</v>
      </c>
      <c r="D335" s="72" t="s">
        <v>444</v>
      </c>
      <c r="E335" s="72" t="s">
        <v>445</v>
      </c>
      <c r="F335" s="72" t="s">
        <v>446</v>
      </c>
      <c r="G335" s="72" t="s">
        <v>28</v>
      </c>
      <c r="H335" s="72" t="s">
        <v>79</v>
      </c>
      <c r="I335" s="72" t="s">
        <v>1578</v>
      </c>
      <c r="J335" s="72" t="s">
        <v>2634</v>
      </c>
      <c r="K335" s="72" t="s">
        <v>2981</v>
      </c>
      <c r="L335" s="72" t="s">
        <v>2982</v>
      </c>
      <c r="M335" s="72" t="s">
        <v>2983</v>
      </c>
      <c r="N335" s="72" t="s">
        <v>2984</v>
      </c>
      <c r="O335" s="72"/>
      <c r="P335" s="72"/>
      <c r="Q335" s="72"/>
      <c r="R335" s="72"/>
      <c r="S335" s="72"/>
    </row>
    <row r="336" spans="1:19" x14ac:dyDescent="0.25">
      <c r="A336" s="72" t="s">
        <v>727</v>
      </c>
      <c r="B336" s="72" t="s">
        <v>216</v>
      </c>
      <c r="C336" s="72" t="s">
        <v>140</v>
      </c>
      <c r="D336" s="72" t="s">
        <v>479</v>
      </c>
      <c r="E336" s="72" t="s">
        <v>727</v>
      </c>
      <c r="F336" s="72" t="s">
        <v>728</v>
      </c>
      <c r="G336" s="72" t="s">
        <v>28</v>
      </c>
      <c r="H336" s="72" t="s">
        <v>83</v>
      </c>
      <c r="I336" s="72" t="s">
        <v>2095</v>
      </c>
      <c r="J336" s="72" t="s">
        <v>2096</v>
      </c>
      <c r="K336" s="72" t="s">
        <v>2808</v>
      </c>
      <c r="L336" s="72" t="s">
        <v>2985</v>
      </c>
      <c r="M336" s="72" t="s">
        <v>2986</v>
      </c>
      <c r="N336" s="72" t="s">
        <v>2987</v>
      </c>
      <c r="O336" s="72"/>
      <c r="P336" s="72"/>
      <c r="Q336" s="72"/>
      <c r="R336" s="72"/>
      <c r="S336" s="72"/>
    </row>
    <row r="337" spans="1:19" x14ac:dyDescent="0.25">
      <c r="A337" s="72" t="s">
        <v>304</v>
      </c>
      <c r="B337" s="72" t="s">
        <v>216</v>
      </c>
      <c r="C337" s="72" t="s">
        <v>159</v>
      </c>
      <c r="D337" s="72" t="s">
        <v>160</v>
      </c>
      <c r="E337" s="72" t="s">
        <v>304</v>
      </c>
      <c r="F337" s="72" t="s">
        <v>305</v>
      </c>
      <c r="G337" s="72" t="s">
        <v>37</v>
      </c>
      <c r="H337" s="72" t="s">
        <v>123</v>
      </c>
      <c r="I337" s="72" t="s">
        <v>1413</v>
      </c>
      <c r="J337" s="72" t="s">
        <v>2116</v>
      </c>
      <c r="K337" s="72" t="s">
        <v>2988</v>
      </c>
      <c r="L337" s="72" t="s">
        <v>2989</v>
      </c>
      <c r="M337" s="72" t="s">
        <v>1337</v>
      </c>
      <c r="N337" s="72" t="s">
        <v>1336</v>
      </c>
      <c r="O337" s="72"/>
      <c r="P337" s="72"/>
      <c r="Q337" s="72"/>
      <c r="R337" s="72"/>
      <c r="S337" s="72"/>
    </row>
    <row r="338" spans="1:19" x14ac:dyDescent="0.25">
      <c r="A338" s="72" t="s">
        <v>765</v>
      </c>
      <c r="B338" s="72" t="s">
        <v>216</v>
      </c>
      <c r="C338" s="72" t="s">
        <v>140</v>
      </c>
      <c r="D338" s="72" t="s">
        <v>106</v>
      </c>
      <c r="E338" s="72" t="s">
        <v>765</v>
      </c>
      <c r="F338" s="72" t="s">
        <v>766</v>
      </c>
      <c r="G338" s="72" t="s">
        <v>28</v>
      </c>
      <c r="H338" s="72" t="s">
        <v>287</v>
      </c>
      <c r="I338" s="72" t="s">
        <v>1579</v>
      </c>
      <c r="J338" s="72" t="s">
        <v>1793</v>
      </c>
      <c r="K338" s="72" t="s">
        <v>2990</v>
      </c>
      <c r="L338" s="72" t="s">
        <v>2991</v>
      </c>
      <c r="M338" s="72" t="s">
        <v>2992</v>
      </c>
      <c r="N338" s="72" t="s">
        <v>2993</v>
      </c>
      <c r="O338" s="72"/>
      <c r="P338" s="72"/>
      <c r="Q338" s="72"/>
      <c r="R338" s="72"/>
      <c r="S338" s="72"/>
    </row>
    <row r="339" spans="1:19" x14ac:dyDescent="0.25">
      <c r="A339" s="72" t="s">
        <v>297</v>
      </c>
      <c r="B339" s="72" t="s">
        <v>216</v>
      </c>
      <c r="C339" s="72" t="s">
        <v>119</v>
      </c>
      <c r="D339" s="72" t="s">
        <v>180</v>
      </c>
      <c r="E339" s="72" t="s">
        <v>297</v>
      </c>
      <c r="F339" s="72" t="s">
        <v>298</v>
      </c>
      <c r="G339" s="72" t="s">
        <v>37</v>
      </c>
      <c r="H339" s="72" t="s">
        <v>42</v>
      </c>
      <c r="I339" s="72" t="s">
        <v>1583</v>
      </c>
      <c r="J339" s="72" t="s">
        <v>2127</v>
      </c>
      <c r="K339" s="72" t="s">
        <v>2994</v>
      </c>
      <c r="L339" s="72" t="s">
        <v>2995</v>
      </c>
      <c r="M339" s="72" t="s">
        <v>1373</v>
      </c>
      <c r="N339" s="72" t="s">
        <v>1369</v>
      </c>
      <c r="O339" s="72"/>
      <c r="P339" s="72"/>
      <c r="Q339" s="72"/>
      <c r="R339" s="72"/>
      <c r="S339" s="72"/>
    </row>
    <row r="340" spans="1:19" x14ac:dyDescent="0.25">
      <c r="A340" s="72" t="s">
        <v>1230</v>
      </c>
      <c r="B340" s="72" t="s">
        <v>216</v>
      </c>
      <c r="C340" s="72" t="s">
        <v>10</v>
      </c>
      <c r="D340" s="72" t="s">
        <v>535</v>
      </c>
      <c r="E340" s="72" t="s">
        <v>1230</v>
      </c>
      <c r="F340" s="72" t="s">
        <v>1231</v>
      </c>
      <c r="G340" s="72" t="s">
        <v>19</v>
      </c>
      <c r="H340" s="72" t="s">
        <v>287</v>
      </c>
      <c r="I340" s="72" t="s">
        <v>2587</v>
      </c>
      <c r="J340" s="72" t="s">
        <v>2588</v>
      </c>
      <c r="K340" s="72" t="s">
        <v>2996</v>
      </c>
      <c r="L340" s="72" t="s">
        <v>2997</v>
      </c>
      <c r="M340" s="72" t="s">
        <v>2998</v>
      </c>
      <c r="N340" s="72" t="s">
        <v>2999</v>
      </c>
      <c r="O340" s="72"/>
      <c r="P340" s="72"/>
      <c r="Q340" s="72"/>
      <c r="R340" s="72"/>
      <c r="S340" s="72"/>
    </row>
    <row r="341" spans="1:19" x14ac:dyDescent="0.25">
      <c r="A341" s="72" t="s">
        <v>282</v>
      </c>
      <c r="B341" s="72" t="s">
        <v>216</v>
      </c>
      <c r="C341" s="72" t="s">
        <v>47</v>
      </c>
      <c r="D341" s="72" t="s">
        <v>281</v>
      </c>
      <c r="E341" s="72" t="s">
        <v>282</v>
      </c>
      <c r="F341" s="72" t="s">
        <v>283</v>
      </c>
      <c r="G341" s="72" t="s">
        <v>14</v>
      </c>
      <c r="H341" s="72" t="s">
        <v>1458</v>
      </c>
      <c r="I341" s="72" t="s">
        <v>1095</v>
      </c>
      <c r="J341" s="72" t="s">
        <v>3000</v>
      </c>
      <c r="K341" s="72" t="s">
        <v>2955</v>
      </c>
      <c r="L341" s="72" t="s">
        <v>3001</v>
      </c>
      <c r="M341" s="72" t="s">
        <v>3002</v>
      </c>
      <c r="N341" s="72" t="s">
        <v>3003</v>
      </c>
      <c r="O341" s="72"/>
      <c r="P341" s="72"/>
      <c r="Q341" s="72"/>
      <c r="R341" s="72"/>
      <c r="S341" s="72"/>
    </row>
    <row r="342" spans="1:19" x14ac:dyDescent="0.25">
      <c r="A342" s="72" t="s">
        <v>374</v>
      </c>
      <c r="B342" s="72" t="s">
        <v>216</v>
      </c>
      <c r="C342" s="72" t="s">
        <v>96</v>
      </c>
      <c r="D342" s="72" t="s">
        <v>325</v>
      </c>
      <c r="E342" s="72" t="s">
        <v>374</v>
      </c>
      <c r="F342" s="72" t="s">
        <v>375</v>
      </c>
      <c r="G342" s="72" t="s">
        <v>14</v>
      </c>
      <c r="H342" s="72" t="s">
        <v>1458</v>
      </c>
      <c r="I342" s="72" t="s">
        <v>1095</v>
      </c>
      <c r="J342" s="72" t="s">
        <v>3000</v>
      </c>
      <c r="K342" s="72" t="s">
        <v>3004</v>
      </c>
      <c r="L342" s="72" t="s">
        <v>3005</v>
      </c>
      <c r="M342" s="72" t="s">
        <v>3006</v>
      </c>
      <c r="N342" s="72" t="s">
        <v>3007</v>
      </c>
      <c r="O342" s="72"/>
      <c r="P342" s="72"/>
      <c r="Q342" s="72"/>
      <c r="R342" s="72"/>
      <c r="S342" s="72"/>
    </row>
    <row r="343" spans="1:19" x14ac:dyDescent="0.25">
      <c r="A343" s="72" t="s">
        <v>649</v>
      </c>
      <c r="B343" s="72" t="s">
        <v>216</v>
      </c>
      <c r="C343" s="72" t="s">
        <v>10</v>
      </c>
      <c r="D343" s="72" t="s">
        <v>62</v>
      </c>
      <c r="E343" s="72" t="s">
        <v>649</v>
      </c>
      <c r="F343" s="72" t="s">
        <v>650</v>
      </c>
      <c r="G343" s="72" t="s">
        <v>28</v>
      </c>
      <c r="H343" s="72" t="s">
        <v>83</v>
      </c>
      <c r="I343" s="72" t="s">
        <v>1560</v>
      </c>
      <c r="J343" s="72" t="s">
        <v>2154</v>
      </c>
      <c r="K343" s="72" t="s">
        <v>3008</v>
      </c>
      <c r="L343" s="72" t="s">
        <v>3009</v>
      </c>
      <c r="M343" s="72" t="s">
        <v>3010</v>
      </c>
      <c r="N343" s="72" t="s">
        <v>3011</v>
      </c>
      <c r="O343" s="72"/>
      <c r="P343" s="72"/>
      <c r="Q343" s="72"/>
      <c r="R343" s="72"/>
      <c r="S343" s="72"/>
    </row>
    <row r="344" spans="1:19" x14ac:dyDescent="0.25">
      <c r="A344" s="72" t="s">
        <v>767</v>
      </c>
      <c r="B344" s="72" t="s">
        <v>216</v>
      </c>
      <c r="C344" s="72" t="s">
        <v>140</v>
      </c>
      <c r="D344" s="72" t="s">
        <v>517</v>
      </c>
      <c r="E344" s="72" t="s">
        <v>767</v>
      </c>
      <c r="F344" s="72" t="s">
        <v>768</v>
      </c>
      <c r="G344" s="72" t="s">
        <v>28</v>
      </c>
      <c r="H344" s="72" t="s">
        <v>70</v>
      </c>
      <c r="I344" s="72" t="s">
        <v>1560</v>
      </c>
      <c r="J344" s="72" t="s">
        <v>2154</v>
      </c>
      <c r="K344" s="72" t="s">
        <v>3012</v>
      </c>
      <c r="L344" s="72" t="s">
        <v>3013</v>
      </c>
      <c r="M344" s="72" t="s">
        <v>3014</v>
      </c>
      <c r="N344" s="72" t="s">
        <v>3015</v>
      </c>
      <c r="O344" s="72"/>
      <c r="P344" s="72"/>
      <c r="Q344" s="72"/>
      <c r="R344" s="72"/>
      <c r="S344" s="72"/>
    </row>
    <row r="345" spans="1:19" x14ac:dyDescent="0.25">
      <c r="A345" s="72" t="s">
        <v>206</v>
      </c>
      <c r="B345" s="72" t="s">
        <v>216</v>
      </c>
      <c r="C345" s="72" t="s">
        <v>47</v>
      </c>
      <c r="D345" s="72" t="s">
        <v>1673</v>
      </c>
      <c r="E345" s="72" t="s">
        <v>206</v>
      </c>
      <c r="F345" s="72" t="s">
        <v>207</v>
      </c>
      <c r="G345" s="72" t="s">
        <v>28</v>
      </c>
      <c r="H345" s="72" t="s">
        <v>46</v>
      </c>
      <c r="I345" s="72" t="s">
        <v>1588</v>
      </c>
      <c r="J345" s="72" t="s">
        <v>2713</v>
      </c>
      <c r="K345" s="72" t="s">
        <v>3016</v>
      </c>
      <c r="L345" s="72" t="s">
        <v>3017</v>
      </c>
      <c r="M345" s="72" t="s">
        <v>3018</v>
      </c>
      <c r="N345" s="72" t="s">
        <v>2717</v>
      </c>
      <c r="O345" s="72"/>
      <c r="P345" s="72"/>
      <c r="Q345" s="72"/>
      <c r="R345" s="72"/>
      <c r="S345" s="72"/>
    </row>
    <row r="346" spans="1:19" x14ac:dyDescent="0.25">
      <c r="A346" s="72" t="s">
        <v>520</v>
      </c>
      <c r="B346" s="72" t="s">
        <v>216</v>
      </c>
      <c r="C346" s="72" t="s">
        <v>96</v>
      </c>
      <c r="D346" s="72" t="s">
        <v>84</v>
      </c>
      <c r="E346" s="72" t="s">
        <v>520</v>
      </c>
      <c r="F346" s="72" t="s">
        <v>521</v>
      </c>
      <c r="G346" s="72" t="s">
        <v>28</v>
      </c>
      <c r="H346" s="72" t="s">
        <v>507</v>
      </c>
      <c r="I346" s="72" t="s">
        <v>1588</v>
      </c>
      <c r="J346" s="72" t="s">
        <v>2713</v>
      </c>
      <c r="K346" s="72" t="s">
        <v>3019</v>
      </c>
      <c r="L346" s="72" t="s">
        <v>3020</v>
      </c>
      <c r="M346" s="72" t="s">
        <v>3021</v>
      </c>
      <c r="N346" s="72" t="s">
        <v>3022</v>
      </c>
      <c r="O346" s="72"/>
      <c r="P346" s="72"/>
      <c r="Q346" s="72"/>
      <c r="R346" s="72"/>
      <c r="S346" s="72"/>
    </row>
    <row r="347" spans="1:19" x14ac:dyDescent="0.25">
      <c r="A347" s="72" t="s">
        <v>1240</v>
      </c>
      <c r="B347" s="72" t="s">
        <v>216</v>
      </c>
      <c r="C347" s="72" t="s">
        <v>47</v>
      </c>
      <c r="D347" s="72" t="s">
        <v>1239</v>
      </c>
      <c r="E347" s="72" t="s">
        <v>1240</v>
      </c>
      <c r="F347" s="72" t="s">
        <v>1241</v>
      </c>
      <c r="G347" s="72" t="s">
        <v>14</v>
      </c>
      <c r="H347" s="72" t="s">
        <v>1460</v>
      </c>
      <c r="I347" s="72" t="s">
        <v>1919</v>
      </c>
      <c r="J347" s="72" t="s">
        <v>1920</v>
      </c>
      <c r="K347" s="72" t="s">
        <v>3023</v>
      </c>
      <c r="L347" s="72" t="s">
        <v>3024</v>
      </c>
      <c r="M347" s="72" t="s">
        <v>3025</v>
      </c>
      <c r="N347" s="72" t="s">
        <v>3026</v>
      </c>
      <c r="O347" s="72"/>
      <c r="P347" s="72"/>
      <c r="Q347" s="72"/>
      <c r="R347" s="72"/>
      <c r="S347" s="72"/>
    </row>
    <row r="348" spans="1:19" x14ac:dyDescent="0.25">
      <c r="A348" s="72" t="s">
        <v>729</v>
      </c>
      <c r="B348" s="72" t="s">
        <v>216</v>
      </c>
      <c r="C348" s="72" t="s">
        <v>96</v>
      </c>
      <c r="D348" s="72" t="s">
        <v>221</v>
      </c>
      <c r="E348" s="72" t="s">
        <v>729</v>
      </c>
      <c r="F348" s="72" t="s">
        <v>730</v>
      </c>
      <c r="G348" s="72" t="s">
        <v>19</v>
      </c>
      <c r="H348" s="72" t="s">
        <v>20</v>
      </c>
      <c r="I348" s="72" t="s">
        <v>3027</v>
      </c>
      <c r="J348" s="72" t="s">
        <v>3028</v>
      </c>
      <c r="K348" s="72" t="s">
        <v>3029</v>
      </c>
      <c r="L348" s="72" t="s">
        <v>3030</v>
      </c>
      <c r="M348" s="72" t="s">
        <v>3031</v>
      </c>
      <c r="N348" s="72" t="s">
        <v>3032</v>
      </c>
      <c r="O348" s="72"/>
      <c r="P348" s="72"/>
      <c r="Q348" s="72"/>
      <c r="R348" s="72"/>
      <c r="S348" s="72"/>
    </row>
    <row r="349" spans="1:19" x14ac:dyDescent="0.25">
      <c r="A349" s="72" t="s">
        <v>1248</v>
      </c>
      <c r="B349" s="72" t="s">
        <v>216</v>
      </c>
      <c r="C349" s="72" t="s">
        <v>140</v>
      </c>
      <c r="D349" s="72" t="s">
        <v>21</v>
      </c>
      <c r="E349" s="72" t="s">
        <v>1248</v>
      </c>
      <c r="F349" s="72" t="s">
        <v>1249</v>
      </c>
      <c r="G349" s="72" t="s">
        <v>19</v>
      </c>
      <c r="H349" s="72" t="s">
        <v>507</v>
      </c>
      <c r="I349" s="72" t="s">
        <v>2560</v>
      </c>
      <c r="J349" s="72" t="s">
        <v>2561</v>
      </c>
      <c r="K349" s="72" t="s">
        <v>3033</v>
      </c>
      <c r="L349" s="72" t="s">
        <v>3034</v>
      </c>
      <c r="M349" s="72" t="s">
        <v>3035</v>
      </c>
      <c r="N349" s="72" t="s">
        <v>3036</v>
      </c>
      <c r="O349" s="72"/>
      <c r="P349" s="72"/>
      <c r="Q349" s="72"/>
      <c r="R349" s="72"/>
      <c r="S349" s="72"/>
    </row>
    <row r="350" spans="1:19" x14ac:dyDescent="0.25">
      <c r="A350" s="72" t="s">
        <v>731</v>
      </c>
      <c r="B350" s="72" t="s">
        <v>216</v>
      </c>
      <c r="C350" s="72" t="s">
        <v>96</v>
      </c>
      <c r="D350" s="72" t="s">
        <v>351</v>
      </c>
      <c r="E350" s="72" t="s">
        <v>731</v>
      </c>
      <c r="F350" s="72" t="s">
        <v>732</v>
      </c>
      <c r="G350" s="72" t="s">
        <v>28</v>
      </c>
      <c r="H350" s="72" t="s">
        <v>420</v>
      </c>
      <c r="I350" s="72" t="s">
        <v>1596</v>
      </c>
      <c r="J350" s="72" t="s">
        <v>2410</v>
      </c>
      <c r="K350" s="72" t="s">
        <v>3037</v>
      </c>
      <c r="L350" s="72" t="s">
        <v>3038</v>
      </c>
      <c r="M350" s="72" t="s">
        <v>3039</v>
      </c>
      <c r="N350" s="72" t="s">
        <v>3040</v>
      </c>
      <c r="O350" s="72"/>
      <c r="P350" s="72"/>
      <c r="Q350" s="72"/>
      <c r="R350" s="72"/>
      <c r="S350" s="72"/>
    </row>
    <row r="351" spans="1:19" x14ac:dyDescent="0.25">
      <c r="A351" s="72" t="s">
        <v>1492</v>
      </c>
      <c r="B351" s="72" t="s">
        <v>216</v>
      </c>
      <c r="C351" s="72" t="s">
        <v>10</v>
      </c>
      <c r="D351" s="72" t="s">
        <v>187</v>
      </c>
      <c r="E351" s="72" t="s">
        <v>1492</v>
      </c>
      <c r="F351" s="72" t="s">
        <v>1493</v>
      </c>
      <c r="G351" s="72" t="s">
        <v>19</v>
      </c>
      <c r="H351" s="72" t="s">
        <v>55</v>
      </c>
      <c r="I351" s="72" t="s">
        <v>1599</v>
      </c>
      <c r="J351" s="72" t="s">
        <v>1927</v>
      </c>
      <c r="K351" s="72" t="s">
        <v>3041</v>
      </c>
      <c r="L351" s="72" t="s">
        <v>3042</v>
      </c>
      <c r="M351" s="72" t="s">
        <v>3043</v>
      </c>
      <c r="N351" s="72" t="s">
        <v>3044</v>
      </c>
      <c r="O351" s="72"/>
      <c r="P351" s="72"/>
      <c r="Q351" s="72"/>
      <c r="R351" s="72"/>
      <c r="S351" s="72"/>
    </row>
    <row r="352" spans="1:19" x14ac:dyDescent="0.25">
      <c r="A352" s="72" t="s">
        <v>739</v>
      </c>
      <c r="B352" s="72" t="s">
        <v>216</v>
      </c>
      <c r="C352" s="72" t="s">
        <v>96</v>
      </c>
      <c r="D352" s="72" t="s">
        <v>738</v>
      </c>
      <c r="E352" s="72" t="s">
        <v>739</v>
      </c>
      <c r="F352" s="72" t="s">
        <v>740</v>
      </c>
      <c r="G352" s="72" t="s">
        <v>19</v>
      </c>
      <c r="H352" s="72" t="s">
        <v>237</v>
      </c>
      <c r="I352" s="72" t="s">
        <v>2560</v>
      </c>
      <c r="J352" s="72" t="s">
        <v>2561</v>
      </c>
      <c r="K352" s="72" t="s">
        <v>3045</v>
      </c>
      <c r="L352" s="72" t="s">
        <v>3046</v>
      </c>
      <c r="M352" s="72" t="s">
        <v>3047</v>
      </c>
      <c r="N352" s="72" t="s">
        <v>3048</v>
      </c>
      <c r="O352" s="72"/>
      <c r="P352" s="72"/>
      <c r="Q352" s="72"/>
      <c r="R352" s="72"/>
      <c r="S352" s="72"/>
    </row>
    <row r="353" spans="1:19" x14ac:dyDescent="0.25">
      <c r="A353" s="72" t="s">
        <v>1433</v>
      </c>
      <c r="B353" s="72" t="s">
        <v>216</v>
      </c>
      <c r="C353" s="72" t="s">
        <v>128</v>
      </c>
      <c r="D353" s="72" t="s">
        <v>1421</v>
      </c>
      <c r="E353" s="72" t="s">
        <v>1433</v>
      </c>
      <c r="F353" s="72" t="s">
        <v>1434</v>
      </c>
      <c r="G353" s="72" t="s">
        <v>37</v>
      </c>
      <c r="H353" s="72" t="s">
        <v>120</v>
      </c>
      <c r="I353" s="72" t="s">
        <v>1427</v>
      </c>
      <c r="J353" s="72" t="s">
        <v>1854</v>
      </c>
      <c r="K353" s="72" t="s">
        <v>3049</v>
      </c>
      <c r="L353" s="72" t="s">
        <v>2904</v>
      </c>
      <c r="M353" s="72" t="s">
        <v>3050</v>
      </c>
      <c r="N353" s="72" t="s">
        <v>3051</v>
      </c>
      <c r="O353" s="72"/>
      <c r="P353" s="72"/>
      <c r="Q353" s="72"/>
      <c r="R353" s="72"/>
      <c r="S353" s="72"/>
    </row>
    <row r="354" spans="1:19" x14ac:dyDescent="0.25">
      <c r="A354" s="72" t="s">
        <v>1496</v>
      </c>
      <c r="B354" s="72" t="s">
        <v>216</v>
      </c>
      <c r="C354" s="72" t="s">
        <v>119</v>
      </c>
      <c r="D354" s="72" t="s">
        <v>1495</v>
      </c>
      <c r="E354" s="72" t="s">
        <v>1496</v>
      </c>
      <c r="F354" s="72" t="s">
        <v>1497</v>
      </c>
      <c r="G354" s="72" t="s">
        <v>37</v>
      </c>
      <c r="H354" s="72" t="s">
        <v>136</v>
      </c>
      <c r="I354" s="72"/>
      <c r="J354" s="72"/>
      <c r="K354" s="72" t="s">
        <v>3052</v>
      </c>
      <c r="L354" s="72"/>
      <c r="M354" s="72" t="s">
        <v>3053</v>
      </c>
      <c r="N354" s="72"/>
      <c r="O354" s="72"/>
      <c r="P354" s="72"/>
      <c r="Q354" s="72"/>
      <c r="R354" s="72"/>
      <c r="S354" s="72"/>
    </row>
    <row r="355" spans="1:19" x14ac:dyDescent="0.25">
      <c r="A355" s="72" t="s">
        <v>459</v>
      </c>
      <c r="B355" s="72" t="s">
        <v>216</v>
      </c>
      <c r="C355" s="72" t="s">
        <v>47</v>
      </c>
      <c r="D355" s="72" t="s">
        <v>458</v>
      </c>
      <c r="E355" s="72" t="s">
        <v>459</v>
      </c>
      <c r="F355" s="72" t="s">
        <v>460</v>
      </c>
      <c r="G355" s="72" t="s">
        <v>14</v>
      </c>
      <c r="H355" s="72" t="s">
        <v>91</v>
      </c>
      <c r="I355" s="72" t="s">
        <v>1602</v>
      </c>
      <c r="J355" s="72" t="s">
        <v>2143</v>
      </c>
      <c r="K355" s="72" t="s">
        <v>3054</v>
      </c>
      <c r="L355" s="72" t="s">
        <v>3055</v>
      </c>
      <c r="M355" s="72" t="s">
        <v>3056</v>
      </c>
      <c r="N355" s="72" t="s">
        <v>3057</v>
      </c>
      <c r="O355" s="72"/>
      <c r="P355" s="72"/>
      <c r="Q355" s="72"/>
      <c r="R355" s="72"/>
      <c r="S355" s="72"/>
    </row>
    <row r="356" spans="1:19" x14ac:dyDescent="0.25">
      <c r="A356" s="72" t="s">
        <v>655</v>
      </c>
      <c r="B356" s="72" t="s">
        <v>216</v>
      </c>
      <c r="C356" s="72" t="s">
        <v>10</v>
      </c>
      <c r="D356" s="72" t="s">
        <v>525</v>
      </c>
      <c r="E356" s="72" t="s">
        <v>655</v>
      </c>
      <c r="F356" s="72" t="s">
        <v>656</v>
      </c>
      <c r="G356" s="72" t="s">
        <v>14</v>
      </c>
      <c r="H356" s="72" t="s">
        <v>15</v>
      </c>
      <c r="I356" s="72" t="s">
        <v>1602</v>
      </c>
      <c r="J356" s="72" t="s">
        <v>2143</v>
      </c>
      <c r="K356" s="72" t="s">
        <v>3058</v>
      </c>
      <c r="L356" s="72" t="s">
        <v>3059</v>
      </c>
      <c r="M356" s="72" t="s">
        <v>3060</v>
      </c>
      <c r="N356" s="72" t="s">
        <v>3061</v>
      </c>
      <c r="O356" s="72"/>
      <c r="P356" s="72"/>
      <c r="Q356" s="72"/>
      <c r="R356" s="72"/>
      <c r="S356" s="72"/>
    </row>
    <row r="357" spans="1:19" x14ac:dyDescent="0.25">
      <c r="A357" s="72" t="s">
        <v>682</v>
      </c>
      <c r="B357" s="72" t="s">
        <v>216</v>
      </c>
      <c r="C357" s="72" t="s">
        <v>96</v>
      </c>
      <c r="D357" s="72" t="s">
        <v>681</v>
      </c>
      <c r="E357" s="72" t="s">
        <v>682</v>
      </c>
      <c r="F357" s="72" t="s">
        <v>683</v>
      </c>
      <c r="G357" s="72" t="s">
        <v>14</v>
      </c>
      <c r="H357" s="72" t="s">
        <v>61</v>
      </c>
      <c r="I357" s="72" t="s">
        <v>1602</v>
      </c>
      <c r="J357" s="72" t="s">
        <v>2143</v>
      </c>
      <c r="K357" s="72" t="s">
        <v>3062</v>
      </c>
      <c r="L357" s="72" t="s">
        <v>3063</v>
      </c>
      <c r="M357" s="72" t="s">
        <v>3064</v>
      </c>
      <c r="N357" s="72" t="s">
        <v>3065</v>
      </c>
      <c r="O357" s="72"/>
      <c r="P357" s="72"/>
      <c r="Q357" s="72"/>
      <c r="R357" s="72"/>
      <c r="S357" s="72"/>
    </row>
    <row r="358" spans="1:19" x14ac:dyDescent="0.25">
      <c r="A358" s="72" t="s">
        <v>533</v>
      </c>
      <c r="B358" s="72" t="s">
        <v>216</v>
      </c>
      <c r="C358" s="72" t="s">
        <v>96</v>
      </c>
      <c r="D358" s="72" t="s">
        <v>217</v>
      </c>
      <c r="E358" s="72" t="s">
        <v>533</v>
      </c>
      <c r="F358" s="72" t="s">
        <v>534</v>
      </c>
      <c r="G358" s="72" t="s">
        <v>14</v>
      </c>
      <c r="H358" s="72" t="s">
        <v>1459</v>
      </c>
      <c r="I358" s="72" t="s">
        <v>1103</v>
      </c>
      <c r="J358" s="72" t="s">
        <v>2489</v>
      </c>
      <c r="K358" s="72" t="s">
        <v>3066</v>
      </c>
      <c r="L358" s="72" t="s">
        <v>3067</v>
      </c>
      <c r="M358" s="72" t="s">
        <v>3068</v>
      </c>
      <c r="N358" s="72" t="s">
        <v>3069</v>
      </c>
      <c r="O358" s="72"/>
      <c r="P358" s="72"/>
      <c r="Q358" s="72"/>
      <c r="R358" s="72"/>
      <c r="S358" s="72"/>
    </row>
    <row r="359" spans="1:19" x14ac:dyDescent="0.25">
      <c r="A359" s="72" t="s">
        <v>1242</v>
      </c>
      <c r="B359" s="72" t="s">
        <v>216</v>
      </c>
      <c r="C359" s="72" t="s">
        <v>96</v>
      </c>
      <c r="D359" s="72" t="s">
        <v>1239</v>
      </c>
      <c r="E359" s="72" t="s">
        <v>1242</v>
      </c>
      <c r="F359" s="72" t="s">
        <v>1243</v>
      </c>
      <c r="G359" s="72" t="s">
        <v>14</v>
      </c>
      <c r="H359" s="72" t="s">
        <v>1460</v>
      </c>
      <c r="I359" s="72" t="s">
        <v>2213</v>
      </c>
      <c r="J359" s="72" t="s">
        <v>2214</v>
      </c>
      <c r="K359" s="72" t="s">
        <v>2863</v>
      </c>
      <c r="L359" s="72" t="s">
        <v>3070</v>
      </c>
      <c r="M359" s="72" t="s">
        <v>3071</v>
      </c>
      <c r="N359" s="72" t="s">
        <v>3072</v>
      </c>
      <c r="O359" s="72"/>
      <c r="P359" s="72"/>
      <c r="Q359" s="72"/>
      <c r="R359" s="72"/>
      <c r="S359" s="72"/>
    </row>
    <row r="360" spans="1:19" x14ac:dyDescent="0.25">
      <c r="A360" s="72" t="s">
        <v>1256</v>
      </c>
      <c r="B360" s="72" t="s">
        <v>216</v>
      </c>
      <c r="C360" s="72" t="s">
        <v>47</v>
      </c>
      <c r="D360" s="72" t="s">
        <v>1253</v>
      </c>
      <c r="E360" s="72" t="s">
        <v>1256</v>
      </c>
      <c r="F360" s="72" t="s">
        <v>1257</v>
      </c>
      <c r="G360" s="72" t="s">
        <v>14</v>
      </c>
      <c r="H360" s="72" t="s">
        <v>1460</v>
      </c>
      <c r="I360" s="72" t="s">
        <v>2213</v>
      </c>
      <c r="J360" s="72" t="s">
        <v>2214</v>
      </c>
      <c r="K360" s="72" t="s">
        <v>3023</v>
      </c>
      <c r="L360" s="72" t="s">
        <v>3073</v>
      </c>
      <c r="M360" s="72" t="s">
        <v>3074</v>
      </c>
      <c r="N360" s="72" t="s">
        <v>3075</v>
      </c>
      <c r="O360" s="72"/>
      <c r="P360" s="72"/>
      <c r="Q360" s="72"/>
      <c r="R360" s="72"/>
      <c r="S360" s="72"/>
    </row>
    <row r="361" spans="1:19" x14ac:dyDescent="0.25">
      <c r="A361" s="72" t="s">
        <v>659</v>
      </c>
      <c r="B361" s="72" t="s">
        <v>216</v>
      </c>
      <c r="C361" s="72" t="s">
        <v>47</v>
      </c>
      <c r="D361" s="72" t="s">
        <v>1208</v>
      </c>
      <c r="E361" s="72" t="s">
        <v>659</v>
      </c>
      <c r="F361" s="72" t="s">
        <v>660</v>
      </c>
      <c r="G361" s="72" t="s">
        <v>14</v>
      </c>
      <c r="H361" s="72" t="s">
        <v>1674</v>
      </c>
      <c r="I361" s="72" t="s">
        <v>1956</v>
      </c>
      <c r="J361" s="72" t="s">
        <v>1957</v>
      </c>
      <c r="K361" s="72" t="s">
        <v>3076</v>
      </c>
      <c r="L361" s="72" t="s">
        <v>3077</v>
      </c>
      <c r="M361" s="72" t="s">
        <v>3078</v>
      </c>
      <c r="N361" s="72" t="s">
        <v>3079</v>
      </c>
      <c r="O361" s="72"/>
      <c r="P361" s="72"/>
      <c r="Q361" s="72"/>
      <c r="R361" s="72"/>
      <c r="S361" s="72"/>
    </row>
    <row r="362" spans="1:19" x14ac:dyDescent="0.25">
      <c r="A362" s="72" t="s">
        <v>526</v>
      </c>
      <c r="B362" s="72" t="s">
        <v>216</v>
      </c>
      <c r="C362" s="72" t="s">
        <v>140</v>
      </c>
      <c r="D362" s="72" t="s">
        <v>525</v>
      </c>
      <c r="E362" s="72" t="s">
        <v>526</v>
      </c>
      <c r="F362" s="72" t="s">
        <v>527</v>
      </c>
      <c r="G362" s="72" t="s">
        <v>14</v>
      </c>
      <c r="H362" s="72" t="s">
        <v>33</v>
      </c>
      <c r="I362" s="72" t="s">
        <v>1603</v>
      </c>
      <c r="J362" s="72" t="s">
        <v>2778</v>
      </c>
      <c r="K362" s="72" t="s">
        <v>3080</v>
      </c>
      <c r="L362" s="72" t="s">
        <v>3081</v>
      </c>
      <c r="M362" s="72" t="s">
        <v>3082</v>
      </c>
      <c r="N362" s="72" t="s">
        <v>3083</v>
      </c>
      <c r="O362" s="72"/>
      <c r="P362" s="72"/>
      <c r="Q362" s="72"/>
      <c r="R362" s="72"/>
      <c r="S362" s="72"/>
    </row>
    <row r="363" spans="1:19" x14ac:dyDescent="0.25">
      <c r="A363" s="72" t="s">
        <v>574</v>
      </c>
      <c r="B363" s="72" t="s">
        <v>216</v>
      </c>
      <c r="C363" s="72" t="s">
        <v>10</v>
      </c>
      <c r="D363" s="72" t="s">
        <v>573</v>
      </c>
      <c r="E363" s="72" t="s">
        <v>574</v>
      </c>
      <c r="F363" s="72" t="s">
        <v>575</v>
      </c>
      <c r="G363" s="72" t="s">
        <v>14</v>
      </c>
      <c r="H363" s="72" t="s">
        <v>33</v>
      </c>
      <c r="I363" s="72" t="s">
        <v>1603</v>
      </c>
      <c r="J363" s="72" t="s">
        <v>2778</v>
      </c>
      <c r="K363" s="72" t="s">
        <v>3084</v>
      </c>
      <c r="L363" s="72" t="s">
        <v>3085</v>
      </c>
      <c r="M363" s="72" t="s">
        <v>3086</v>
      </c>
      <c r="N363" s="72" t="s">
        <v>3087</v>
      </c>
      <c r="O363" s="72"/>
      <c r="P363" s="72"/>
      <c r="Q363" s="72"/>
      <c r="R363" s="72"/>
      <c r="S363" s="72"/>
    </row>
    <row r="364" spans="1:19" x14ac:dyDescent="0.25">
      <c r="A364" s="72" t="s">
        <v>703</v>
      </c>
      <c r="B364" s="72" t="s">
        <v>216</v>
      </c>
      <c r="C364" s="72" t="s">
        <v>47</v>
      </c>
      <c r="D364" s="72" t="s">
        <v>522</v>
      </c>
      <c r="E364" s="72" t="s">
        <v>703</v>
      </c>
      <c r="F364" s="72" t="s">
        <v>704</v>
      </c>
      <c r="G364" s="72" t="s">
        <v>14</v>
      </c>
      <c r="H364" s="72" t="s">
        <v>51</v>
      </c>
      <c r="I364" s="72" t="s">
        <v>1603</v>
      </c>
      <c r="J364" s="72" t="s">
        <v>2778</v>
      </c>
      <c r="K364" s="72" t="s">
        <v>3088</v>
      </c>
      <c r="L364" s="72" t="s">
        <v>3089</v>
      </c>
      <c r="M364" s="72" t="s">
        <v>3090</v>
      </c>
      <c r="N364" s="72" t="s">
        <v>3091</v>
      </c>
      <c r="O364" s="72"/>
      <c r="P364" s="72"/>
      <c r="Q364" s="72"/>
      <c r="R364" s="72"/>
      <c r="S364" s="72"/>
    </row>
    <row r="365" spans="1:19" x14ac:dyDescent="0.25">
      <c r="A365" s="72" t="s">
        <v>742</v>
      </c>
      <c r="B365" s="72" t="s">
        <v>216</v>
      </c>
      <c r="C365" s="72" t="s">
        <v>96</v>
      </c>
      <c r="D365" s="72" t="s">
        <v>741</v>
      </c>
      <c r="E365" s="72" t="s">
        <v>742</v>
      </c>
      <c r="F365" s="72" t="s">
        <v>743</v>
      </c>
      <c r="G365" s="72" t="s">
        <v>14</v>
      </c>
      <c r="H365" s="72" t="s">
        <v>33</v>
      </c>
      <c r="I365" s="72" t="s">
        <v>1603</v>
      </c>
      <c r="J365" s="72" t="s">
        <v>2778</v>
      </c>
      <c r="K365" s="72" t="s">
        <v>3092</v>
      </c>
      <c r="L365" s="72" t="s">
        <v>3093</v>
      </c>
      <c r="M365" s="72" t="s">
        <v>3094</v>
      </c>
      <c r="N365" s="72" t="s">
        <v>3095</v>
      </c>
      <c r="O365" s="72"/>
      <c r="P365" s="72"/>
      <c r="Q365" s="72"/>
      <c r="R365" s="72"/>
      <c r="S365" s="72"/>
    </row>
    <row r="366" spans="1:19" x14ac:dyDescent="0.25">
      <c r="A366" s="72" t="s">
        <v>1454</v>
      </c>
      <c r="B366" s="72" t="s">
        <v>216</v>
      </c>
      <c r="C366" s="72" t="s">
        <v>140</v>
      </c>
      <c r="D366" s="72" t="s">
        <v>325</v>
      </c>
      <c r="E366" s="72" t="s">
        <v>1454</v>
      </c>
      <c r="F366" s="72" t="s">
        <v>1455</v>
      </c>
      <c r="G366" s="72" t="s">
        <v>14</v>
      </c>
      <c r="H366" s="72" t="s">
        <v>1459</v>
      </c>
      <c r="I366" s="72" t="s">
        <v>1098</v>
      </c>
      <c r="J366" s="72" t="s">
        <v>2605</v>
      </c>
      <c r="K366" s="72" t="s">
        <v>2948</v>
      </c>
      <c r="L366" s="72" t="s">
        <v>3096</v>
      </c>
      <c r="M366" s="72" t="s">
        <v>3097</v>
      </c>
      <c r="N366" s="72" t="s">
        <v>3098</v>
      </c>
      <c r="O366" s="72"/>
      <c r="P366" s="72"/>
      <c r="Q366" s="72"/>
      <c r="R366" s="72"/>
      <c r="S366" s="72"/>
    </row>
    <row r="367" spans="1:19" x14ac:dyDescent="0.25">
      <c r="A367" s="72" t="s">
        <v>677</v>
      </c>
      <c r="B367" s="72" t="s">
        <v>216</v>
      </c>
      <c r="C367" s="72" t="s">
        <v>47</v>
      </c>
      <c r="D367" s="72" t="s">
        <v>1250</v>
      </c>
      <c r="E367" s="72" t="s">
        <v>677</v>
      </c>
      <c r="F367" s="72" t="s">
        <v>646</v>
      </c>
      <c r="G367" s="72" t="s">
        <v>19</v>
      </c>
      <c r="H367" s="72" t="s">
        <v>20</v>
      </c>
      <c r="I367" s="72" t="s">
        <v>2707</v>
      </c>
      <c r="J367" s="72" t="s">
        <v>2708</v>
      </c>
      <c r="K367" s="72" t="s">
        <v>3099</v>
      </c>
      <c r="L367" s="72" t="s">
        <v>3100</v>
      </c>
      <c r="M367" s="72" t="s">
        <v>3101</v>
      </c>
      <c r="N367" s="72" t="s">
        <v>3102</v>
      </c>
      <c r="O367" s="72"/>
      <c r="P367" s="72"/>
      <c r="Q367" s="72"/>
      <c r="R367" s="72"/>
      <c r="S367" s="72"/>
    </row>
    <row r="368" spans="1:19" x14ac:dyDescent="0.25">
      <c r="A368" s="72" t="s">
        <v>262</v>
      </c>
      <c r="B368" s="72" t="s">
        <v>216</v>
      </c>
      <c r="C368" s="72" t="s">
        <v>47</v>
      </c>
      <c r="D368" s="72" t="s">
        <v>52</v>
      </c>
      <c r="E368" s="72" t="s">
        <v>262</v>
      </c>
      <c r="F368" s="72" t="s">
        <v>1519</v>
      </c>
      <c r="G368" s="72" t="s">
        <v>28</v>
      </c>
      <c r="H368" s="72" t="s">
        <v>24</v>
      </c>
      <c r="I368" s="72" t="s">
        <v>3027</v>
      </c>
      <c r="J368" s="72" t="s">
        <v>3028</v>
      </c>
      <c r="K368" s="72" t="s">
        <v>3103</v>
      </c>
      <c r="L368" s="72" t="s">
        <v>3104</v>
      </c>
      <c r="M368" s="72" t="s">
        <v>3105</v>
      </c>
      <c r="N368" s="72" t="s">
        <v>3106</v>
      </c>
      <c r="O368" s="72"/>
      <c r="P368" s="72"/>
      <c r="Q368" s="72"/>
      <c r="R368" s="72"/>
      <c r="S368" s="72"/>
    </row>
    <row r="369" spans="1:19" x14ac:dyDescent="0.25">
      <c r="A369" s="72" t="s">
        <v>1675</v>
      </c>
      <c r="B369" s="72" t="s">
        <v>216</v>
      </c>
      <c r="C369" s="72" t="s">
        <v>47</v>
      </c>
      <c r="D369" s="72" t="s">
        <v>1666</v>
      </c>
      <c r="E369" s="72" t="s">
        <v>1675</v>
      </c>
      <c r="F369" s="72" t="s">
        <v>1676</v>
      </c>
      <c r="G369" s="72" t="s">
        <v>14</v>
      </c>
      <c r="H369" s="72" t="s">
        <v>70</v>
      </c>
      <c r="I369" s="72" t="s">
        <v>2041</v>
      </c>
      <c r="J369" s="72" t="s">
        <v>2042</v>
      </c>
      <c r="K369" s="72" t="s">
        <v>3107</v>
      </c>
      <c r="L369" s="72" t="s">
        <v>3108</v>
      </c>
      <c r="M369" s="72" t="s">
        <v>3109</v>
      </c>
      <c r="N369" s="72" t="s">
        <v>3110</v>
      </c>
      <c r="O369" s="72"/>
      <c r="P369" s="72"/>
      <c r="Q369" s="72"/>
      <c r="R369" s="72"/>
      <c r="S369" s="72"/>
    </row>
    <row r="370" spans="1:19" x14ac:dyDescent="0.25">
      <c r="A370" s="72" t="s">
        <v>1677</v>
      </c>
      <c r="B370" s="72" t="s">
        <v>216</v>
      </c>
      <c r="C370" s="72" t="s">
        <v>10</v>
      </c>
      <c r="D370" s="72" t="s">
        <v>1666</v>
      </c>
      <c r="E370" s="72" t="s">
        <v>1677</v>
      </c>
      <c r="F370" s="72" t="s">
        <v>1678</v>
      </c>
      <c r="G370" s="72" t="s">
        <v>14</v>
      </c>
      <c r="H370" s="72" t="s">
        <v>267</v>
      </c>
      <c r="I370" s="72" t="s">
        <v>1539</v>
      </c>
      <c r="J370" s="72" t="s">
        <v>1706</v>
      </c>
      <c r="K370" s="72" t="s">
        <v>3111</v>
      </c>
      <c r="L370" s="72" t="s">
        <v>3112</v>
      </c>
      <c r="M370" s="72" t="s">
        <v>3113</v>
      </c>
      <c r="N370" s="72" t="s">
        <v>3114</v>
      </c>
      <c r="O370" s="72"/>
      <c r="P370" s="72"/>
      <c r="Q370" s="72"/>
      <c r="R370" s="72"/>
      <c r="S370" s="72"/>
    </row>
    <row r="371" spans="1:19" x14ac:dyDescent="0.25">
      <c r="A371" s="72" t="s">
        <v>1675</v>
      </c>
      <c r="B371" s="72" t="s">
        <v>216</v>
      </c>
      <c r="C371" s="72" t="s">
        <v>47</v>
      </c>
      <c r="D371" s="72" t="s">
        <v>1666</v>
      </c>
      <c r="E371" s="72" t="s">
        <v>1675</v>
      </c>
      <c r="F371" s="72" t="s">
        <v>1676</v>
      </c>
      <c r="G371" s="72" t="s">
        <v>14</v>
      </c>
      <c r="H371" s="72" t="s">
        <v>70</v>
      </c>
      <c r="I371" s="72" t="s">
        <v>2041</v>
      </c>
      <c r="J371" s="72" t="s">
        <v>2042</v>
      </c>
      <c r="K371" s="72" t="s">
        <v>3107</v>
      </c>
      <c r="L371" s="72" t="s">
        <v>3108</v>
      </c>
      <c r="M371" s="72" t="s">
        <v>3109</v>
      </c>
      <c r="N371" s="72" t="s">
        <v>3110</v>
      </c>
      <c r="O371" s="72"/>
      <c r="P371" s="72"/>
      <c r="Q371" s="72"/>
      <c r="R371" s="72"/>
      <c r="S371" s="72"/>
    </row>
    <row r="372" spans="1:19" x14ac:dyDescent="0.25">
      <c r="A372" s="72" t="s">
        <v>1677</v>
      </c>
      <c r="B372" s="72" t="s">
        <v>216</v>
      </c>
      <c r="C372" s="72" t="s">
        <v>10</v>
      </c>
      <c r="D372" s="72" t="s">
        <v>1666</v>
      </c>
      <c r="E372" s="72" t="s">
        <v>1677</v>
      </c>
      <c r="F372" s="72" t="s">
        <v>1678</v>
      </c>
      <c r="G372" s="72" t="s">
        <v>14</v>
      </c>
      <c r="H372" s="72" t="s">
        <v>267</v>
      </c>
      <c r="I372" s="72" t="s">
        <v>1539</v>
      </c>
      <c r="J372" s="72" t="s">
        <v>1706</v>
      </c>
      <c r="K372" s="72" t="s">
        <v>3111</v>
      </c>
      <c r="L372" s="72" t="s">
        <v>3112</v>
      </c>
      <c r="M372" s="72" t="s">
        <v>3113</v>
      </c>
      <c r="N372" s="72" t="s">
        <v>3114</v>
      </c>
      <c r="O372" s="72"/>
      <c r="P372" s="72"/>
      <c r="Q372" s="72"/>
      <c r="R372" s="72"/>
      <c r="S372" s="72"/>
    </row>
    <row r="373" spans="1:19" x14ac:dyDescent="0.25">
      <c r="A373" s="72" t="s">
        <v>1451</v>
      </c>
      <c r="B373" s="72" t="s">
        <v>781</v>
      </c>
      <c r="C373" s="72" t="s">
        <v>47</v>
      </c>
      <c r="D373" s="72" t="s">
        <v>1679</v>
      </c>
      <c r="E373" s="72" t="s">
        <v>1451</v>
      </c>
      <c r="F373" s="72" t="s">
        <v>646</v>
      </c>
      <c r="G373" s="72" t="s">
        <v>19</v>
      </c>
      <c r="H373" s="72" t="s">
        <v>1680</v>
      </c>
      <c r="I373" s="72" t="s">
        <v>2707</v>
      </c>
      <c r="J373" s="72" t="s">
        <v>2708</v>
      </c>
      <c r="K373" s="72" t="s">
        <v>3115</v>
      </c>
      <c r="L373" s="72" t="s">
        <v>3116</v>
      </c>
      <c r="M373" s="72" t="s">
        <v>3117</v>
      </c>
      <c r="N373" s="72" t="s">
        <v>3118</v>
      </c>
      <c r="O373" s="72"/>
      <c r="P373" s="72"/>
      <c r="Q373" s="72"/>
      <c r="R373" s="72"/>
      <c r="S373" s="72"/>
    </row>
    <row r="374" spans="1:19" x14ac:dyDescent="0.25">
      <c r="A374" s="72" t="s">
        <v>1474</v>
      </c>
      <c r="B374" s="72" t="s">
        <v>170</v>
      </c>
      <c r="C374" s="72" t="s">
        <v>47</v>
      </c>
      <c r="D374" s="72" t="s">
        <v>1208</v>
      </c>
      <c r="E374" s="72" t="s">
        <v>1474</v>
      </c>
      <c r="F374" s="72" t="s">
        <v>322</v>
      </c>
      <c r="G374" s="72" t="s">
        <v>28</v>
      </c>
      <c r="H374" s="72" t="s">
        <v>1459</v>
      </c>
      <c r="I374" s="72" t="s">
        <v>1578</v>
      </c>
      <c r="J374" s="72" t="s">
        <v>2634</v>
      </c>
      <c r="K374" s="72" t="s">
        <v>3119</v>
      </c>
      <c r="L374" s="72" t="s">
        <v>3120</v>
      </c>
      <c r="M374" s="72" t="s">
        <v>3121</v>
      </c>
      <c r="N374" s="72" t="s">
        <v>3122</v>
      </c>
      <c r="O374" s="72"/>
      <c r="P374" s="72"/>
      <c r="Q374" s="72"/>
      <c r="R374" s="72"/>
      <c r="S374" s="72"/>
    </row>
    <row r="375" spans="1:19" x14ac:dyDescent="0.25">
      <c r="A375" s="72" t="s">
        <v>1681</v>
      </c>
      <c r="B375" s="72" t="s">
        <v>781</v>
      </c>
      <c r="C375" s="72" t="s">
        <v>96</v>
      </c>
      <c r="D375" s="72"/>
      <c r="E375" s="72" t="s">
        <v>1681</v>
      </c>
      <c r="F375" s="72" t="s">
        <v>1682</v>
      </c>
      <c r="G375" s="72" t="s">
        <v>19</v>
      </c>
      <c r="H375" s="72" t="s">
        <v>983</v>
      </c>
      <c r="I375" s="72" t="s">
        <v>3123</v>
      </c>
      <c r="J375" s="72" t="s">
        <v>3124</v>
      </c>
      <c r="K375" s="72"/>
      <c r="L375" s="72"/>
      <c r="M375" s="72"/>
      <c r="N375" s="72"/>
      <c r="O375" s="72"/>
      <c r="P375" s="72"/>
      <c r="Q375" s="72"/>
      <c r="R375" s="72"/>
      <c r="S375" s="72"/>
    </row>
    <row r="376" spans="1:19" x14ac:dyDescent="0.25">
      <c r="A376" s="72" t="s">
        <v>1683</v>
      </c>
      <c r="B376" s="72" t="s">
        <v>812</v>
      </c>
      <c r="C376" s="72" t="s">
        <v>96</v>
      </c>
      <c r="D376" s="72"/>
      <c r="E376" s="72" t="s">
        <v>1683</v>
      </c>
      <c r="F376" s="72" t="s">
        <v>1684</v>
      </c>
      <c r="G376" s="72" t="s">
        <v>19</v>
      </c>
      <c r="H376" s="72" t="s">
        <v>983</v>
      </c>
      <c r="I376" s="72" t="s">
        <v>3123</v>
      </c>
      <c r="J376" s="72" t="s">
        <v>3124</v>
      </c>
      <c r="K376" s="72"/>
      <c r="L376" s="72"/>
      <c r="M376" s="72"/>
      <c r="N376" s="72"/>
      <c r="O376" s="72"/>
      <c r="P376" s="72"/>
      <c r="Q376" s="72"/>
      <c r="R376" s="72"/>
      <c r="S376" s="72"/>
    </row>
    <row r="377" spans="1:19" x14ac:dyDescent="0.25">
      <c r="A377" s="72" t="s">
        <v>1685</v>
      </c>
      <c r="B377" s="72" t="s">
        <v>812</v>
      </c>
      <c r="C377" s="72" t="s">
        <v>47</v>
      </c>
      <c r="D377" s="72"/>
      <c r="E377" s="72" t="s">
        <v>1685</v>
      </c>
      <c r="F377" s="72" t="s">
        <v>1686</v>
      </c>
      <c r="G377" s="72" t="s">
        <v>19</v>
      </c>
      <c r="H377" s="72" t="s">
        <v>983</v>
      </c>
      <c r="I377" s="72" t="s">
        <v>3123</v>
      </c>
      <c r="J377" s="72" t="s">
        <v>3124</v>
      </c>
      <c r="K377" s="72"/>
      <c r="L377" s="72"/>
      <c r="M377" s="72"/>
      <c r="N377" s="72"/>
      <c r="O377" s="72"/>
      <c r="P377" s="72"/>
      <c r="Q377" s="72"/>
      <c r="R377" s="72"/>
      <c r="S377" s="72"/>
    </row>
    <row r="378" spans="1:19" x14ac:dyDescent="0.25">
      <c r="A378" s="72" t="s">
        <v>1687</v>
      </c>
      <c r="B378" s="72" t="s">
        <v>781</v>
      </c>
      <c r="C378" s="72" t="s">
        <v>10</v>
      </c>
      <c r="D378" s="72"/>
      <c r="E378" s="72" t="s">
        <v>1687</v>
      </c>
      <c r="F378" s="72" t="s">
        <v>1688</v>
      </c>
      <c r="G378" s="72" t="s">
        <v>19</v>
      </c>
      <c r="H378" s="72" t="s">
        <v>983</v>
      </c>
      <c r="I378" s="72" t="s">
        <v>3123</v>
      </c>
      <c r="J378" s="72" t="s">
        <v>3124</v>
      </c>
      <c r="K378" s="72"/>
      <c r="L378" s="72"/>
      <c r="M378" s="72"/>
      <c r="N378" s="72"/>
      <c r="O378" s="72"/>
      <c r="P378" s="72"/>
      <c r="Q378" s="72"/>
      <c r="R378" s="72"/>
      <c r="S378" s="72"/>
    </row>
    <row r="379" spans="1:19" x14ac:dyDescent="0.25">
      <c r="A379" s="72" t="s">
        <v>494</v>
      </c>
      <c r="B379" s="72" t="s">
        <v>66</v>
      </c>
      <c r="C379" s="72" t="s">
        <v>10</v>
      </c>
      <c r="D379" s="72"/>
      <c r="E379" s="72" t="s">
        <v>494</v>
      </c>
      <c r="F379" s="72" t="s">
        <v>495</v>
      </c>
      <c r="G379" s="72"/>
      <c r="H379" s="72" t="s">
        <v>983</v>
      </c>
      <c r="I379" s="72"/>
      <c r="J379" s="72"/>
      <c r="K379" s="72"/>
      <c r="L379" s="72"/>
      <c r="M379" s="72"/>
      <c r="N379" s="72"/>
      <c r="O379" s="72" t="s">
        <v>1571</v>
      </c>
      <c r="P379" s="72"/>
      <c r="Q379" s="72"/>
      <c r="R379" s="72"/>
      <c r="S379" s="72"/>
    </row>
    <row r="380" spans="1:19" x14ac:dyDescent="0.25">
      <c r="A380" s="72" t="s">
        <v>333</v>
      </c>
      <c r="B380" s="72" t="s">
        <v>781</v>
      </c>
      <c r="C380" s="72" t="s">
        <v>10</v>
      </c>
      <c r="D380" s="72" t="s">
        <v>133</v>
      </c>
      <c r="E380" s="72" t="s">
        <v>333</v>
      </c>
      <c r="F380" s="72" t="s">
        <v>334</v>
      </c>
      <c r="G380" s="72" t="s">
        <v>37</v>
      </c>
      <c r="H380" s="72" t="s">
        <v>132</v>
      </c>
      <c r="I380" s="72"/>
      <c r="J380" s="72"/>
      <c r="K380" s="72"/>
      <c r="L380" s="72"/>
      <c r="M380" s="72"/>
      <c r="N380" s="72"/>
      <c r="O380" s="72" t="s">
        <v>1411</v>
      </c>
      <c r="P380" s="72" t="s">
        <v>3125</v>
      </c>
      <c r="Q380" s="72" t="s">
        <v>3126</v>
      </c>
      <c r="R380" s="72" t="s">
        <v>1391</v>
      </c>
      <c r="S380" s="72" t="s">
        <v>37</v>
      </c>
    </row>
    <row r="381" spans="1:19" x14ac:dyDescent="0.25">
      <c r="A381" s="72" t="s">
        <v>782</v>
      </c>
      <c r="B381" s="72" t="s">
        <v>781</v>
      </c>
      <c r="C381" s="72" t="s">
        <v>10</v>
      </c>
      <c r="D381" s="72" t="s">
        <v>136</v>
      </c>
      <c r="E381" s="72" t="s">
        <v>782</v>
      </c>
      <c r="F381" s="72" t="s">
        <v>783</v>
      </c>
      <c r="G381" s="72" t="s">
        <v>37</v>
      </c>
      <c r="H381" s="72" t="s">
        <v>136</v>
      </c>
      <c r="I381" s="72"/>
      <c r="J381" s="72"/>
      <c r="K381" s="72"/>
      <c r="L381" s="72"/>
      <c r="M381" s="72"/>
      <c r="N381" s="72"/>
      <c r="O381" s="72" t="s">
        <v>1413</v>
      </c>
      <c r="P381" s="72" t="s">
        <v>3127</v>
      </c>
      <c r="Q381" s="72" t="s">
        <v>3128</v>
      </c>
      <c r="R381" s="72" t="s">
        <v>3127</v>
      </c>
      <c r="S381" s="72" t="s">
        <v>37</v>
      </c>
    </row>
    <row r="382" spans="1:19" x14ac:dyDescent="0.25">
      <c r="A382" s="72" t="s">
        <v>17</v>
      </c>
      <c r="B382" s="72" t="s">
        <v>781</v>
      </c>
      <c r="C382" s="72" t="s">
        <v>10</v>
      </c>
      <c r="D382" s="72" t="s">
        <v>784</v>
      </c>
      <c r="E382" s="72" t="s">
        <v>17</v>
      </c>
      <c r="F382" s="72" t="s">
        <v>18</v>
      </c>
      <c r="G382" s="72" t="s">
        <v>19</v>
      </c>
      <c r="H382" s="72" t="s">
        <v>237</v>
      </c>
      <c r="I382" s="72"/>
      <c r="J382" s="72"/>
      <c r="K382" s="72"/>
      <c r="L382" s="72"/>
      <c r="M382" s="72"/>
      <c r="N382" s="72"/>
      <c r="O382" s="72" t="s">
        <v>1592</v>
      </c>
      <c r="P382" s="72" t="s">
        <v>3129</v>
      </c>
      <c r="Q382" s="72" t="s">
        <v>3130</v>
      </c>
      <c r="R382" s="72" t="s">
        <v>3131</v>
      </c>
      <c r="S382" s="72" t="s">
        <v>19</v>
      </c>
    </row>
    <row r="383" spans="1:19" x14ac:dyDescent="0.25">
      <c r="A383" s="72" t="s">
        <v>628</v>
      </c>
      <c r="B383" s="72" t="s">
        <v>781</v>
      </c>
      <c r="C383" s="72" t="s">
        <v>10</v>
      </c>
      <c r="D383" s="72" t="s">
        <v>785</v>
      </c>
      <c r="E383" s="72" t="s">
        <v>628</v>
      </c>
      <c r="F383" s="72" t="s">
        <v>629</v>
      </c>
      <c r="G383" s="72" t="s">
        <v>19</v>
      </c>
      <c r="H383" s="72" t="s">
        <v>79</v>
      </c>
      <c r="I383" s="72"/>
      <c r="J383" s="72"/>
      <c r="K383" s="72"/>
      <c r="L383" s="72"/>
      <c r="M383" s="72"/>
      <c r="N383" s="72"/>
      <c r="O383" s="72" t="s">
        <v>874</v>
      </c>
      <c r="P383" s="72" t="s">
        <v>3132</v>
      </c>
      <c r="Q383" s="72" t="s">
        <v>3133</v>
      </c>
      <c r="R383" s="72" t="s">
        <v>3134</v>
      </c>
      <c r="S383" s="72" t="s">
        <v>19</v>
      </c>
    </row>
    <row r="384" spans="1:19" x14ac:dyDescent="0.25">
      <c r="A384" s="72" t="s">
        <v>630</v>
      </c>
      <c r="B384" s="72" t="s">
        <v>781</v>
      </c>
      <c r="C384" s="72" t="s">
        <v>10</v>
      </c>
      <c r="D384" s="72" t="s">
        <v>786</v>
      </c>
      <c r="E384" s="72" t="s">
        <v>630</v>
      </c>
      <c r="F384" s="72" t="s">
        <v>631</v>
      </c>
      <c r="G384" s="72" t="s">
        <v>14</v>
      </c>
      <c r="H384" s="72" t="s">
        <v>1456</v>
      </c>
      <c r="I384" s="72"/>
      <c r="J384" s="72"/>
      <c r="K384" s="72"/>
      <c r="L384" s="72"/>
      <c r="M384" s="72"/>
      <c r="N384" s="72"/>
      <c r="O384" s="72" t="s">
        <v>1103</v>
      </c>
      <c r="P384" s="72" t="s">
        <v>3135</v>
      </c>
      <c r="Q384" s="72" t="s">
        <v>3136</v>
      </c>
      <c r="R384" s="72" t="s">
        <v>3137</v>
      </c>
      <c r="S384" s="72" t="s">
        <v>1523</v>
      </c>
    </row>
    <row r="385" spans="1:19" x14ac:dyDescent="0.25">
      <c r="A385" s="72" t="s">
        <v>640</v>
      </c>
      <c r="B385" s="72" t="s">
        <v>781</v>
      </c>
      <c r="C385" s="72" t="s">
        <v>10</v>
      </c>
      <c r="D385" s="72" t="s">
        <v>787</v>
      </c>
      <c r="E385" s="72" t="s">
        <v>640</v>
      </c>
      <c r="F385" s="72" t="s">
        <v>788</v>
      </c>
      <c r="G385" s="72" t="s">
        <v>14</v>
      </c>
      <c r="H385" s="72" t="s">
        <v>1457</v>
      </c>
      <c r="I385" s="72"/>
      <c r="J385" s="72"/>
      <c r="K385" s="72"/>
      <c r="L385" s="72"/>
      <c r="M385" s="72"/>
      <c r="N385" s="72"/>
      <c r="O385" s="72" t="s">
        <v>2849</v>
      </c>
      <c r="P385" s="72" t="s">
        <v>3138</v>
      </c>
      <c r="Q385" s="72" t="s">
        <v>3139</v>
      </c>
      <c r="R385" s="72" t="s">
        <v>3140</v>
      </c>
      <c r="S385" s="72" t="s">
        <v>1523</v>
      </c>
    </row>
    <row r="386" spans="1:19" x14ac:dyDescent="0.25">
      <c r="A386" s="72" t="s">
        <v>790</v>
      </c>
      <c r="B386" s="72" t="s">
        <v>781</v>
      </c>
      <c r="C386" s="72" t="s">
        <v>96</v>
      </c>
      <c r="D386" s="72" t="s">
        <v>789</v>
      </c>
      <c r="E386" s="72" t="s">
        <v>790</v>
      </c>
      <c r="F386" s="72" t="s">
        <v>791</v>
      </c>
      <c r="G386" s="72" t="s">
        <v>19</v>
      </c>
      <c r="H386" s="72" t="s">
        <v>792</v>
      </c>
      <c r="I386" s="72"/>
      <c r="J386" s="72"/>
      <c r="K386" s="72"/>
      <c r="L386" s="72"/>
      <c r="M386" s="72"/>
      <c r="N386" s="72"/>
      <c r="O386" s="72" t="s">
        <v>3141</v>
      </c>
      <c r="P386" s="72" t="s">
        <v>3142</v>
      </c>
      <c r="Q386" s="72" t="s">
        <v>3143</v>
      </c>
      <c r="R386" s="72" t="s">
        <v>3144</v>
      </c>
      <c r="S386" s="72" t="s">
        <v>19</v>
      </c>
    </row>
    <row r="387" spans="1:19" x14ac:dyDescent="0.25">
      <c r="A387" s="72" t="s">
        <v>166</v>
      </c>
      <c r="B387" s="72" t="s">
        <v>781</v>
      </c>
      <c r="C387" s="72" t="s">
        <v>10</v>
      </c>
      <c r="D387" s="72" t="s">
        <v>163</v>
      </c>
      <c r="E387" s="72" t="s">
        <v>166</v>
      </c>
      <c r="F387" s="72" t="s">
        <v>167</v>
      </c>
      <c r="G387" s="72" t="s">
        <v>37</v>
      </c>
      <c r="H387" s="72" t="s">
        <v>793</v>
      </c>
      <c r="I387" s="72"/>
      <c r="J387" s="72"/>
      <c r="K387" s="72"/>
      <c r="L387" s="72"/>
      <c r="M387" s="72"/>
      <c r="N387" s="72"/>
      <c r="O387" s="72" t="s">
        <v>1417</v>
      </c>
      <c r="P387" s="72" t="s">
        <v>3145</v>
      </c>
      <c r="Q387" s="72" t="s">
        <v>3146</v>
      </c>
      <c r="R387" s="72" t="s">
        <v>1392</v>
      </c>
      <c r="S387" s="72" t="s">
        <v>37</v>
      </c>
    </row>
    <row r="388" spans="1:19" x14ac:dyDescent="0.25">
      <c r="A388" s="72" t="s">
        <v>279</v>
      </c>
      <c r="B388" s="72" t="s">
        <v>781</v>
      </c>
      <c r="C388" s="72" t="s">
        <v>10</v>
      </c>
      <c r="D388" s="72" t="s">
        <v>129</v>
      </c>
      <c r="E388" s="72" t="s">
        <v>279</v>
      </c>
      <c r="F388" s="72" t="s">
        <v>280</v>
      </c>
      <c r="G388" s="72" t="s">
        <v>37</v>
      </c>
      <c r="H388" s="72" t="s">
        <v>42</v>
      </c>
      <c r="I388" s="72"/>
      <c r="J388" s="72"/>
      <c r="K388" s="72"/>
      <c r="L388" s="72"/>
      <c r="M388" s="72"/>
      <c r="N388" s="72"/>
      <c r="O388" s="72" t="s">
        <v>1550</v>
      </c>
      <c r="P388" s="72" t="s">
        <v>3147</v>
      </c>
      <c r="Q388" s="72" t="s">
        <v>3148</v>
      </c>
      <c r="R388" s="72" t="s">
        <v>1393</v>
      </c>
      <c r="S388" s="72" t="s">
        <v>37</v>
      </c>
    </row>
    <row r="389" spans="1:19" x14ac:dyDescent="0.25">
      <c r="A389" s="72" t="s">
        <v>795</v>
      </c>
      <c r="B389" s="72" t="s">
        <v>781</v>
      </c>
      <c r="C389" s="72" t="s">
        <v>10</v>
      </c>
      <c r="D389" s="72" t="s">
        <v>794</v>
      </c>
      <c r="E389" s="72" t="s">
        <v>795</v>
      </c>
      <c r="F389" s="72" t="s">
        <v>796</v>
      </c>
      <c r="G389" s="72" t="s">
        <v>14</v>
      </c>
      <c r="H389" s="72" t="s">
        <v>983</v>
      </c>
      <c r="I389" s="72"/>
      <c r="J389" s="72"/>
      <c r="K389" s="72"/>
      <c r="L389" s="72"/>
      <c r="M389" s="72"/>
      <c r="N389" s="72"/>
      <c r="O389" s="72" t="s">
        <v>1597</v>
      </c>
      <c r="P389" s="72" t="s">
        <v>3149</v>
      </c>
      <c r="Q389" s="72" t="s">
        <v>3150</v>
      </c>
      <c r="R389" s="72" t="s">
        <v>3151</v>
      </c>
      <c r="S389" s="72" t="s">
        <v>1523</v>
      </c>
    </row>
    <row r="390" spans="1:19" x14ac:dyDescent="0.25">
      <c r="A390" s="72" t="s">
        <v>798</v>
      </c>
      <c r="B390" s="72" t="s">
        <v>781</v>
      </c>
      <c r="C390" s="72" t="s">
        <v>10</v>
      </c>
      <c r="D390" s="72" t="s">
        <v>797</v>
      </c>
      <c r="E390" s="72" t="s">
        <v>798</v>
      </c>
      <c r="F390" s="72" t="s">
        <v>740</v>
      </c>
      <c r="G390" s="72" t="s">
        <v>19</v>
      </c>
      <c r="H390" s="72" t="s">
        <v>20</v>
      </c>
      <c r="I390" s="72"/>
      <c r="J390" s="72"/>
      <c r="K390" s="72"/>
      <c r="L390" s="72"/>
      <c r="M390" s="72"/>
      <c r="N390" s="72"/>
      <c r="O390" s="72" t="s">
        <v>2148</v>
      </c>
      <c r="P390" s="72" t="s">
        <v>3152</v>
      </c>
      <c r="Q390" s="72" t="s">
        <v>3153</v>
      </c>
      <c r="R390" s="72" t="s">
        <v>3154</v>
      </c>
      <c r="S390" s="72" t="s">
        <v>19</v>
      </c>
    </row>
    <row r="391" spans="1:19" x14ac:dyDescent="0.25">
      <c r="A391" s="72" t="s">
        <v>800</v>
      </c>
      <c r="B391" s="72" t="s">
        <v>781</v>
      </c>
      <c r="C391" s="72" t="s">
        <v>10</v>
      </c>
      <c r="D391" s="72" t="s">
        <v>3155</v>
      </c>
      <c r="E391" s="72" t="s">
        <v>800</v>
      </c>
      <c r="F391" s="72" t="s">
        <v>801</v>
      </c>
      <c r="G391" s="72" t="s">
        <v>19</v>
      </c>
      <c r="H391" s="72" t="s">
        <v>46</v>
      </c>
      <c r="I391" s="72"/>
      <c r="J391" s="72"/>
      <c r="K391" s="72"/>
      <c r="L391" s="72"/>
      <c r="M391" s="72"/>
      <c r="N391" s="72"/>
      <c r="O391" s="72" t="s">
        <v>3141</v>
      </c>
      <c r="P391" s="72" t="s">
        <v>3156</v>
      </c>
      <c r="Q391" s="72" t="s">
        <v>3157</v>
      </c>
      <c r="R391" s="72" t="s">
        <v>3158</v>
      </c>
      <c r="S391" s="72" t="s">
        <v>19</v>
      </c>
    </row>
    <row r="392" spans="1:19" x14ac:dyDescent="0.25">
      <c r="A392" s="72" t="s">
        <v>803</v>
      </c>
      <c r="B392" s="72" t="s">
        <v>781</v>
      </c>
      <c r="C392" s="72" t="s">
        <v>10</v>
      </c>
      <c r="D392" s="72" t="s">
        <v>802</v>
      </c>
      <c r="E392" s="72" t="s">
        <v>803</v>
      </c>
      <c r="F392" s="72" t="s">
        <v>804</v>
      </c>
      <c r="G392" s="72" t="s">
        <v>14</v>
      </c>
      <c r="H392" s="72" t="s">
        <v>1458</v>
      </c>
      <c r="I392" s="72"/>
      <c r="J392" s="72"/>
      <c r="K392" s="72"/>
      <c r="L392" s="72"/>
      <c r="M392" s="72"/>
      <c r="N392" s="72"/>
      <c r="O392" s="72" t="s">
        <v>3159</v>
      </c>
      <c r="P392" s="72" t="s">
        <v>3160</v>
      </c>
      <c r="Q392" s="72" t="s">
        <v>3161</v>
      </c>
      <c r="R392" s="72" t="s">
        <v>3162</v>
      </c>
      <c r="S392" s="72" t="s">
        <v>1523</v>
      </c>
    </row>
    <row r="393" spans="1:19" x14ac:dyDescent="0.25">
      <c r="A393" s="72" t="s">
        <v>806</v>
      </c>
      <c r="B393" s="72" t="s">
        <v>781</v>
      </c>
      <c r="C393" s="72" t="s">
        <v>10</v>
      </c>
      <c r="D393" s="72" t="s">
        <v>805</v>
      </c>
      <c r="E393" s="72" t="s">
        <v>806</v>
      </c>
      <c r="F393" s="72" t="s">
        <v>807</v>
      </c>
      <c r="G393" s="72" t="s">
        <v>14</v>
      </c>
      <c r="H393" s="72" t="s">
        <v>3163</v>
      </c>
      <c r="I393" s="72"/>
      <c r="J393" s="72"/>
      <c r="K393" s="72"/>
      <c r="L393" s="72"/>
      <c r="M393" s="72"/>
      <c r="N393" s="72"/>
      <c r="O393" s="72" t="s">
        <v>1825</v>
      </c>
      <c r="P393" s="72" t="s">
        <v>3164</v>
      </c>
      <c r="Q393" s="72" t="s">
        <v>3165</v>
      </c>
      <c r="R393" s="72" t="s">
        <v>3166</v>
      </c>
      <c r="S393" s="72" t="s">
        <v>1523</v>
      </c>
    </row>
    <row r="394" spans="1:19" x14ac:dyDescent="0.25">
      <c r="A394" s="72" t="s">
        <v>809</v>
      </c>
      <c r="B394" s="72" t="s">
        <v>781</v>
      </c>
      <c r="C394" s="72" t="s">
        <v>10</v>
      </c>
      <c r="D394" s="72" t="s">
        <v>808</v>
      </c>
      <c r="E394" s="72" t="s">
        <v>809</v>
      </c>
      <c r="F394" s="72" t="s">
        <v>810</v>
      </c>
      <c r="G394" s="72" t="s">
        <v>14</v>
      </c>
      <c r="H394" s="72" t="s">
        <v>1460</v>
      </c>
      <c r="I394" s="72"/>
      <c r="J394" s="72"/>
      <c r="K394" s="72"/>
      <c r="L394" s="72"/>
      <c r="M394" s="72"/>
      <c r="N394" s="72"/>
      <c r="O394" s="72" t="s">
        <v>3167</v>
      </c>
      <c r="P394" s="72" t="s">
        <v>3168</v>
      </c>
      <c r="Q394" s="72" t="s">
        <v>3169</v>
      </c>
      <c r="R394" s="72" t="s">
        <v>3170</v>
      </c>
      <c r="S394" s="72" t="s">
        <v>1523</v>
      </c>
    </row>
    <row r="395" spans="1:19" x14ac:dyDescent="0.25">
      <c r="A395" s="72" t="s">
        <v>222</v>
      </c>
      <c r="B395" s="72" t="s">
        <v>781</v>
      </c>
      <c r="C395" s="72" t="s">
        <v>10</v>
      </c>
      <c r="D395" s="72" t="s">
        <v>811</v>
      </c>
      <c r="E395" s="72" t="s">
        <v>222</v>
      </c>
      <c r="F395" s="72" t="s">
        <v>223</v>
      </c>
      <c r="G395" s="72" t="s">
        <v>19</v>
      </c>
      <c r="H395" s="72" t="s">
        <v>287</v>
      </c>
      <c r="I395" s="72"/>
      <c r="J395" s="72"/>
      <c r="K395" s="72"/>
      <c r="L395" s="72"/>
      <c r="M395" s="72"/>
      <c r="N395" s="72"/>
      <c r="O395" s="72" t="s">
        <v>1831</v>
      </c>
      <c r="P395" s="72" t="s">
        <v>3171</v>
      </c>
      <c r="Q395" s="72" t="s">
        <v>3172</v>
      </c>
      <c r="R395" s="72" t="s">
        <v>3173</v>
      </c>
      <c r="S395" s="72" t="s">
        <v>19</v>
      </c>
    </row>
    <row r="396" spans="1:19" x14ac:dyDescent="0.25">
      <c r="A396" s="72" t="s">
        <v>168</v>
      </c>
      <c r="B396" s="72" t="s">
        <v>781</v>
      </c>
      <c r="C396" s="72" t="s">
        <v>10</v>
      </c>
      <c r="D396" s="72" t="s">
        <v>34</v>
      </c>
      <c r="E396" s="72" t="s">
        <v>168</v>
      </c>
      <c r="F396" s="72" t="s">
        <v>169</v>
      </c>
      <c r="G396" s="72" t="s">
        <v>37</v>
      </c>
      <c r="H396" s="72" t="s">
        <v>38</v>
      </c>
      <c r="I396" s="72"/>
      <c r="J396" s="72"/>
      <c r="K396" s="72"/>
      <c r="L396" s="72"/>
      <c r="M396" s="72"/>
      <c r="N396" s="72"/>
      <c r="O396" s="72" t="s">
        <v>1576</v>
      </c>
      <c r="P396" s="72" t="s">
        <v>3174</v>
      </c>
      <c r="Q396" s="72" t="s">
        <v>3175</v>
      </c>
      <c r="R396" s="72" t="s">
        <v>1394</v>
      </c>
      <c r="S396" s="72" t="s">
        <v>37</v>
      </c>
    </row>
    <row r="397" spans="1:19" x14ac:dyDescent="0.25">
      <c r="A397" s="72" t="s">
        <v>824</v>
      </c>
      <c r="B397" s="72" t="s">
        <v>781</v>
      </c>
      <c r="C397" s="72" t="s">
        <v>10</v>
      </c>
      <c r="D397" s="72" t="s">
        <v>823</v>
      </c>
      <c r="E397" s="72" t="s">
        <v>824</v>
      </c>
      <c r="F397" s="72" t="s">
        <v>825</v>
      </c>
      <c r="G397" s="72" t="s">
        <v>37</v>
      </c>
      <c r="H397" s="72" t="s">
        <v>136</v>
      </c>
      <c r="I397" s="72"/>
      <c r="J397" s="72"/>
      <c r="K397" s="72"/>
      <c r="L397" s="72"/>
      <c r="M397" s="72"/>
      <c r="N397" s="72"/>
      <c r="O397" s="72" t="s">
        <v>1415</v>
      </c>
      <c r="P397" s="72" t="s">
        <v>3127</v>
      </c>
      <c r="Q397" s="72" t="s">
        <v>3176</v>
      </c>
      <c r="R397" s="72" t="s">
        <v>3177</v>
      </c>
      <c r="S397" s="72" t="s">
        <v>37</v>
      </c>
    </row>
    <row r="398" spans="1:19" x14ac:dyDescent="0.25">
      <c r="A398" s="72" t="s">
        <v>199</v>
      </c>
      <c r="B398" s="72" t="s">
        <v>781</v>
      </c>
      <c r="C398" s="72" t="s">
        <v>10</v>
      </c>
      <c r="D398" s="72" t="s">
        <v>160</v>
      </c>
      <c r="E398" s="72" t="s">
        <v>199</v>
      </c>
      <c r="F398" s="72" t="s">
        <v>200</v>
      </c>
      <c r="G398" s="72" t="s">
        <v>37</v>
      </c>
      <c r="H398" s="72" t="s">
        <v>308</v>
      </c>
      <c r="I398" s="72"/>
      <c r="J398" s="72"/>
      <c r="K398" s="72"/>
      <c r="L398" s="72"/>
      <c r="M398" s="72"/>
      <c r="N398" s="72"/>
      <c r="O398" s="72" t="s">
        <v>1584</v>
      </c>
      <c r="P398" s="72" t="s">
        <v>3178</v>
      </c>
      <c r="Q398" s="72" t="s">
        <v>3179</v>
      </c>
      <c r="R398" s="72" t="s">
        <v>1395</v>
      </c>
      <c r="S398" s="72" t="s">
        <v>37</v>
      </c>
    </row>
    <row r="399" spans="1:19" x14ac:dyDescent="0.25">
      <c r="A399" s="72" t="s">
        <v>173</v>
      </c>
      <c r="B399" s="72" t="s">
        <v>781</v>
      </c>
      <c r="C399" s="72" t="s">
        <v>10</v>
      </c>
      <c r="D399" s="72" t="s">
        <v>120</v>
      </c>
      <c r="E399" s="72" t="s">
        <v>173</v>
      </c>
      <c r="F399" s="72" t="s">
        <v>174</v>
      </c>
      <c r="G399" s="72" t="s">
        <v>37</v>
      </c>
      <c r="H399" s="72" t="s">
        <v>123</v>
      </c>
      <c r="I399" s="72"/>
      <c r="J399" s="72"/>
      <c r="K399" s="72"/>
      <c r="L399" s="72"/>
      <c r="M399" s="72"/>
      <c r="N399" s="72"/>
      <c r="O399" s="72" t="s">
        <v>1580</v>
      </c>
      <c r="P399" s="72" t="s">
        <v>3180</v>
      </c>
      <c r="Q399" s="72" t="s">
        <v>3181</v>
      </c>
      <c r="R399" s="72" t="s">
        <v>1396</v>
      </c>
      <c r="S399" s="72" t="s">
        <v>37</v>
      </c>
    </row>
    <row r="400" spans="1:19" x14ac:dyDescent="0.25">
      <c r="A400" s="72" t="s">
        <v>40</v>
      </c>
      <c r="B400" s="72" t="s">
        <v>781</v>
      </c>
      <c r="C400" s="72" t="s">
        <v>10</v>
      </c>
      <c r="D400" s="72" t="s">
        <v>39</v>
      </c>
      <c r="E400" s="72" t="s">
        <v>40</v>
      </c>
      <c r="F400" s="72" t="s">
        <v>41</v>
      </c>
      <c r="G400" s="72" t="s">
        <v>37</v>
      </c>
      <c r="H400" s="72" t="s">
        <v>38</v>
      </c>
      <c r="I400" s="72"/>
      <c r="J400" s="72"/>
      <c r="K400" s="72"/>
      <c r="L400" s="72"/>
      <c r="M400" s="72"/>
      <c r="N400" s="72"/>
      <c r="O400" s="72" t="s">
        <v>1582</v>
      </c>
      <c r="P400" s="72" t="s">
        <v>3174</v>
      </c>
      <c r="Q400" s="72" t="s">
        <v>3182</v>
      </c>
      <c r="R400" s="72" t="s">
        <v>1397</v>
      </c>
      <c r="S400" s="72" t="s">
        <v>37</v>
      </c>
    </row>
    <row r="401" spans="1:19" x14ac:dyDescent="0.25">
      <c r="A401" s="72" t="s">
        <v>297</v>
      </c>
      <c r="B401" s="72" t="s">
        <v>781</v>
      </c>
      <c r="C401" s="72" t="s">
        <v>10</v>
      </c>
      <c r="D401" s="72" t="s">
        <v>180</v>
      </c>
      <c r="E401" s="72" t="s">
        <v>297</v>
      </c>
      <c r="F401" s="72" t="s">
        <v>298</v>
      </c>
      <c r="G401" s="72" t="s">
        <v>37</v>
      </c>
      <c r="H401" s="72" t="s">
        <v>132</v>
      </c>
      <c r="I401" s="72"/>
      <c r="J401" s="72"/>
      <c r="K401" s="72"/>
      <c r="L401" s="72"/>
      <c r="M401" s="72"/>
      <c r="N401" s="72"/>
      <c r="O401" s="72" t="s">
        <v>1583</v>
      </c>
      <c r="P401" s="72" t="s">
        <v>3125</v>
      </c>
      <c r="Q401" s="72" t="s">
        <v>3183</v>
      </c>
      <c r="R401" s="72" t="s">
        <v>1398</v>
      </c>
      <c r="S401" s="72" t="s">
        <v>37</v>
      </c>
    </row>
    <row r="402" spans="1:19" x14ac:dyDescent="0.25">
      <c r="A402" s="72" t="s">
        <v>374</v>
      </c>
      <c r="B402" s="72" t="s">
        <v>781</v>
      </c>
      <c r="C402" s="72" t="s">
        <v>10</v>
      </c>
      <c r="D402" s="72" t="s">
        <v>826</v>
      </c>
      <c r="E402" s="72" t="s">
        <v>374</v>
      </c>
      <c r="F402" s="72" t="s">
        <v>375</v>
      </c>
      <c r="G402" s="72" t="s">
        <v>14</v>
      </c>
      <c r="H402" s="72" t="s">
        <v>1459</v>
      </c>
      <c r="I402" s="72"/>
      <c r="J402" s="72"/>
      <c r="K402" s="72"/>
      <c r="L402" s="72"/>
      <c r="M402" s="72"/>
      <c r="N402" s="72"/>
      <c r="O402" s="72" t="s">
        <v>1095</v>
      </c>
      <c r="P402" s="72" t="s">
        <v>3184</v>
      </c>
      <c r="Q402" s="72" t="s">
        <v>3185</v>
      </c>
      <c r="R402" s="72" t="s">
        <v>3186</v>
      </c>
      <c r="S402" s="72" t="s">
        <v>1523</v>
      </c>
    </row>
    <row r="403" spans="1:19" x14ac:dyDescent="0.25">
      <c r="A403" s="72" t="s">
        <v>828</v>
      </c>
      <c r="B403" s="72" t="s">
        <v>781</v>
      </c>
      <c r="C403" s="72" t="s">
        <v>10</v>
      </c>
      <c r="D403" s="72" t="s">
        <v>827</v>
      </c>
      <c r="E403" s="72" t="s">
        <v>828</v>
      </c>
      <c r="F403" s="72" t="s">
        <v>448</v>
      </c>
      <c r="G403" s="72" t="s">
        <v>19</v>
      </c>
      <c r="H403" s="72" t="s">
        <v>15</v>
      </c>
      <c r="I403" s="72"/>
      <c r="J403" s="72"/>
      <c r="K403" s="72"/>
      <c r="L403" s="72"/>
      <c r="M403" s="72"/>
      <c r="N403" s="72"/>
      <c r="O403" s="72" t="s">
        <v>1711</v>
      </c>
      <c r="P403" s="72" t="s">
        <v>3187</v>
      </c>
      <c r="Q403" s="72" t="s">
        <v>3188</v>
      </c>
      <c r="R403" s="72" t="s">
        <v>3189</v>
      </c>
      <c r="S403" s="72" t="s">
        <v>19</v>
      </c>
    </row>
    <row r="404" spans="1:19" x14ac:dyDescent="0.25">
      <c r="A404" s="72" t="s">
        <v>829</v>
      </c>
      <c r="B404" s="72" t="s">
        <v>781</v>
      </c>
      <c r="C404" s="72" t="s">
        <v>10</v>
      </c>
      <c r="D404" s="72" t="s">
        <v>136</v>
      </c>
      <c r="E404" s="72" t="s">
        <v>829</v>
      </c>
      <c r="F404" s="72" t="s">
        <v>830</v>
      </c>
      <c r="G404" s="72" t="s">
        <v>37</v>
      </c>
      <c r="H404" s="72" t="s">
        <v>136</v>
      </c>
      <c r="I404" s="72"/>
      <c r="J404" s="72"/>
      <c r="K404" s="72"/>
      <c r="L404" s="72"/>
      <c r="M404" s="72"/>
      <c r="N404" s="72"/>
      <c r="O404" s="72" t="s">
        <v>3190</v>
      </c>
      <c r="P404" s="72" t="s">
        <v>3127</v>
      </c>
      <c r="Q404" s="72" t="s">
        <v>3191</v>
      </c>
      <c r="R404" s="72" t="s">
        <v>3127</v>
      </c>
      <c r="S404" s="72" t="s">
        <v>37</v>
      </c>
    </row>
    <row r="405" spans="1:19" x14ac:dyDescent="0.25">
      <c r="A405" s="72" t="s">
        <v>832</v>
      </c>
      <c r="B405" s="72" t="s">
        <v>781</v>
      </c>
      <c r="C405" s="72" t="s">
        <v>47</v>
      </c>
      <c r="D405" s="72" t="s">
        <v>831</v>
      </c>
      <c r="E405" s="72" t="s">
        <v>832</v>
      </c>
      <c r="F405" s="72" t="s">
        <v>833</v>
      </c>
      <c r="G405" s="72" t="s">
        <v>19</v>
      </c>
      <c r="H405" s="72" t="s">
        <v>61</v>
      </c>
      <c r="I405" s="72"/>
      <c r="J405" s="72"/>
      <c r="K405" s="72"/>
      <c r="L405" s="72"/>
      <c r="M405" s="72"/>
      <c r="N405" s="72"/>
      <c r="O405" s="72" t="s">
        <v>1599</v>
      </c>
      <c r="P405" s="72" t="s">
        <v>3192</v>
      </c>
      <c r="Q405" s="72" t="s">
        <v>3193</v>
      </c>
      <c r="R405" s="72" t="s">
        <v>3194</v>
      </c>
      <c r="S405" s="72" t="s">
        <v>19</v>
      </c>
    </row>
    <row r="406" spans="1:19" x14ac:dyDescent="0.25">
      <c r="A406" s="72" t="s">
        <v>834</v>
      </c>
      <c r="B406" s="72" t="s">
        <v>781</v>
      </c>
      <c r="C406" s="72" t="s">
        <v>47</v>
      </c>
      <c r="D406" s="72" t="s">
        <v>789</v>
      </c>
      <c r="E406" s="72" t="s">
        <v>834</v>
      </c>
      <c r="F406" s="72" t="s">
        <v>835</v>
      </c>
      <c r="G406" s="72" t="s">
        <v>19</v>
      </c>
      <c r="H406" s="72" t="s">
        <v>792</v>
      </c>
      <c r="I406" s="72"/>
      <c r="J406" s="72"/>
      <c r="K406" s="72"/>
      <c r="L406" s="72"/>
      <c r="M406" s="72"/>
      <c r="N406" s="72"/>
      <c r="O406" s="72" t="s">
        <v>3195</v>
      </c>
      <c r="P406" s="72" t="s">
        <v>3196</v>
      </c>
      <c r="Q406" s="72" t="s">
        <v>3197</v>
      </c>
      <c r="R406" s="72" t="s">
        <v>3198</v>
      </c>
      <c r="S406" s="72" t="s">
        <v>19</v>
      </c>
    </row>
    <row r="407" spans="1:19" x14ac:dyDescent="0.25">
      <c r="A407" s="72" t="s">
        <v>836</v>
      </c>
      <c r="B407" s="72" t="s">
        <v>781</v>
      </c>
      <c r="C407" s="72" t="s">
        <v>47</v>
      </c>
      <c r="D407" s="72" t="s">
        <v>794</v>
      </c>
      <c r="E407" s="72" t="s">
        <v>836</v>
      </c>
      <c r="F407" s="72" t="s">
        <v>837</v>
      </c>
      <c r="G407" s="72" t="s">
        <v>14</v>
      </c>
      <c r="H407" s="72" t="s">
        <v>983</v>
      </c>
      <c r="I407" s="72"/>
      <c r="J407" s="72"/>
      <c r="K407" s="72"/>
      <c r="L407" s="72"/>
      <c r="M407" s="72"/>
      <c r="N407" s="72"/>
      <c r="O407" s="72" t="s">
        <v>1597</v>
      </c>
      <c r="P407" s="72" t="s">
        <v>3199</v>
      </c>
      <c r="Q407" s="72" t="s">
        <v>3200</v>
      </c>
      <c r="R407" s="72" t="s">
        <v>3201</v>
      </c>
      <c r="S407" s="72" t="s">
        <v>1523</v>
      </c>
    </row>
    <row r="408" spans="1:19" x14ac:dyDescent="0.25">
      <c r="A408" s="72" t="s">
        <v>645</v>
      </c>
      <c r="B408" s="72" t="s">
        <v>781</v>
      </c>
      <c r="C408" s="72" t="s">
        <v>47</v>
      </c>
      <c r="D408" s="72" t="s">
        <v>838</v>
      </c>
      <c r="E408" s="72" t="s">
        <v>645</v>
      </c>
      <c r="F408" s="72" t="s">
        <v>646</v>
      </c>
      <c r="G408" s="72" t="s">
        <v>14</v>
      </c>
      <c r="H408" s="72" t="s">
        <v>3202</v>
      </c>
      <c r="I408" s="72"/>
      <c r="J408" s="72"/>
      <c r="K408" s="72"/>
      <c r="L408" s="72"/>
      <c r="M408" s="72"/>
      <c r="N408" s="72"/>
      <c r="O408" s="72" t="s">
        <v>2707</v>
      </c>
      <c r="P408" s="72" t="s">
        <v>3203</v>
      </c>
      <c r="Q408" s="72" t="s">
        <v>3116</v>
      </c>
      <c r="R408" s="72" t="s">
        <v>3204</v>
      </c>
      <c r="S408" s="72" t="s">
        <v>19</v>
      </c>
    </row>
    <row r="409" spans="1:19" x14ac:dyDescent="0.25">
      <c r="A409" s="72" t="s">
        <v>840</v>
      </c>
      <c r="B409" s="72" t="s">
        <v>781</v>
      </c>
      <c r="C409" s="72" t="s">
        <v>47</v>
      </c>
      <c r="D409" s="72" t="s">
        <v>839</v>
      </c>
      <c r="E409" s="72" t="s">
        <v>840</v>
      </c>
      <c r="F409" s="72" t="s">
        <v>841</v>
      </c>
      <c r="G409" s="72" t="s">
        <v>28</v>
      </c>
      <c r="H409" s="72" t="s">
        <v>983</v>
      </c>
      <c r="I409" s="72"/>
      <c r="J409" s="72"/>
      <c r="K409" s="72"/>
      <c r="L409" s="72"/>
      <c r="M409" s="72"/>
      <c r="N409" s="72"/>
      <c r="O409" s="72" t="s">
        <v>2023</v>
      </c>
      <c r="P409" s="72" t="s">
        <v>3199</v>
      </c>
      <c r="Q409" s="72" t="s">
        <v>3205</v>
      </c>
      <c r="R409" s="72" t="s">
        <v>3206</v>
      </c>
      <c r="S409" s="72" t="s">
        <v>19</v>
      </c>
    </row>
    <row r="410" spans="1:19" x14ac:dyDescent="0.25">
      <c r="A410" s="72" t="s">
        <v>843</v>
      </c>
      <c r="B410" s="72" t="s">
        <v>781</v>
      </c>
      <c r="C410" s="72" t="s">
        <v>47</v>
      </c>
      <c r="D410" s="72" t="s">
        <v>842</v>
      </c>
      <c r="E410" s="72" t="s">
        <v>843</v>
      </c>
      <c r="F410" s="72" t="s">
        <v>844</v>
      </c>
      <c r="G410" s="72" t="s">
        <v>19</v>
      </c>
      <c r="H410" s="72" t="s">
        <v>267</v>
      </c>
      <c r="I410" s="72"/>
      <c r="J410" s="72"/>
      <c r="K410" s="72"/>
      <c r="L410" s="72"/>
      <c r="M410" s="72"/>
      <c r="N410" s="72"/>
      <c r="O410" s="72" t="s">
        <v>2816</v>
      </c>
      <c r="P410" s="72" t="s">
        <v>3207</v>
      </c>
      <c r="Q410" s="72" t="s">
        <v>3208</v>
      </c>
      <c r="R410" s="72" t="s">
        <v>3209</v>
      </c>
      <c r="S410" s="72" t="s">
        <v>19</v>
      </c>
    </row>
    <row r="411" spans="1:19" x14ac:dyDescent="0.25">
      <c r="A411" s="72" t="s">
        <v>192</v>
      </c>
      <c r="B411" s="72" t="s">
        <v>781</v>
      </c>
      <c r="C411" s="72" t="s">
        <v>47</v>
      </c>
      <c r="D411" s="72" t="s">
        <v>784</v>
      </c>
      <c r="E411" s="72" t="s">
        <v>192</v>
      </c>
      <c r="F411" s="72" t="s">
        <v>193</v>
      </c>
      <c r="G411" s="72" t="s">
        <v>19</v>
      </c>
      <c r="H411" s="72" t="s">
        <v>20</v>
      </c>
      <c r="I411" s="72"/>
      <c r="J411" s="72"/>
      <c r="K411" s="72"/>
      <c r="L411" s="72"/>
      <c r="M411" s="72"/>
      <c r="N411" s="72"/>
      <c r="O411" s="72" t="s">
        <v>1831</v>
      </c>
      <c r="P411" s="72" t="s">
        <v>3210</v>
      </c>
      <c r="Q411" s="72" t="s">
        <v>3211</v>
      </c>
      <c r="R411" s="72" t="s">
        <v>3212</v>
      </c>
      <c r="S411" s="72" t="s">
        <v>19</v>
      </c>
    </row>
    <row r="412" spans="1:19" x14ac:dyDescent="0.25">
      <c r="A412" s="72" t="s">
        <v>761</v>
      </c>
      <c r="B412" s="72" t="s">
        <v>781</v>
      </c>
      <c r="C412" s="72" t="s">
        <v>47</v>
      </c>
      <c r="D412" s="72" t="s">
        <v>808</v>
      </c>
      <c r="E412" s="72" t="s">
        <v>761</v>
      </c>
      <c r="F412" s="72" t="s">
        <v>762</v>
      </c>
      <c r="G412" s="72" t="s">
        <v>14</v>
      </c>
      <c r="H412" s="72" t="s">
        <v>1458</v>
      </c>
      <c r="I412" s="72"/>
      <c r="J412" s="72"/>
      <c r="K412" s="72"/>
      <c r="L412" s="72"/>
      <c r="M412" s="72"/>
      <c r="N412" s="72"/>
      <c r="O412" s="72" t="s">
        <v>2861</v>
      </c>
      <c r="P412" s="72" t="s">
        <v>3213</v>
      </c>
      <c r="Q412" s="72" t="s">
        <v>3214</v>
      </c>
      <c r="R412" s="72" t="s">
        <v>3215</v>
      </c>
      <c r="S412" s="72" t="s">
        <v>1523</v>
      </c>
    </row>
    <row r="413" spans="1:19" x14ac:dyDescent="0.25">
      <c r="A413" s="72" t="s">
        <v>848</v>
      </c>
      <c r="B413" s="72" t="s">
        <v>781</v>
      </c>
      <c r="C413" s="72" t="s">
        <v>96</v>
      </c>
      <c r="D413" s="72" t="s">
        <v>847</v>
      </c>
      <c r="E413" s="72" t="s">
        <v>848</v>
      </c>
      <c r="F413" s="72" t="s">
        <v>849</v>
      </c>
      <c r="G413" s="72" t="s">
        <v>19</v>
      </c>
      <c r="H413" s="72" t="s">
        <v>33</v>
      </c>
      <c r="I413" s="72"/>
      <c r="J413" s="72"/>
      <c r="K413" s="72"/>
      <c r="L413" s="72"/>
      <c r="M413" s="72"/>
      <c r="N413" s="72"/>
      <c r="O413" s="72" t="s">
        <v>2071</v>
      </c>
      <c r="P413" s="72" t="s">
        <v>3216</v>
      </c>
      <c r="Q413" s="72" t="s">
        <v>3217</v>
      </c>
      <c r="R413" s="72" t="s">
        <v>3218</v>
      </c>
      <c r="S413" s="72" t="s">
        <v>19</v>
      </c>
    </row>
    <row r="414" spans="1:19" x14ac:dyDescent="0.25">
      <c r="A414" s="72" t="s">
        <v>851</v>
      </c>
      <c r="B414" s="72" t="s">
        <v>781</v>
      </c>
      <c r="C414" s="72" t="s">
        <v>10</v>
      </c>
      <c r="D414" s="72" t="s">
        <v>850</v>
      </c>
      <c r="E414" s="72" t="s">
        <v>851</v>
      </c>
      <c r="F414" s="72" t="s">
        <v>852</v>
      </c>
      <c r="G414" s="72" t="s">
        <v>28</v>
      </c>
      <c r="H414" s="72" t="s">
        <v>983</v>
      </c>
      <c r="I414" s="72"/>
      <c r="J414" s="72"/>
      <c r="K414" s="72"/>
      <c r="L414" s="72"/>
      <c r="M414" s="72"/>
      <c r="N414" s="72"/>
      <c r="O414" s="72" t="s">
        <v>2707</v>
      </c>
      <c r="P414" s="72" t="s">
        <v>3149</v>
      </c>
      <c r="Q414" s="72" t="s">
        <v>3219</v>
      </c>
      <c r="R414" s="72" t="s">
        <v>3220</v>
      </c>
      <c r="S414" s="72" t="s">
        <v>19</v>
      </c>
    </row>
    <row r="415" spans="1:19" x14ac:dyDescent="0.25">
      <c r="A415" s="72" t="s">
        <v>856</v>
      </c>
      <c r="B415" s="72" t="s">
        <v>781</v>
      </c>
      <c r="C415" s="72" t="s">
        <v>47</v>
      </c>
      <c r="D415" s="72" t="s">
        <v>855</v>
      </c>
      <c r="E415" s="72" t="s">
        <v>856</v>
      </c>
      <c r="F415" s="72" t="s">
        <v>857</v>
      </c>
      <c r="G415" s="72" t="s">
        <v>28</v>
      </c>
      <c r="H415" s="72" t="s">
        <v>79</v>
      </c>
      <c r="I415" s="72"/>
      <c r="J415" s="72"/>
      <c r="K415" s="72"/>
      <c r="L415" s="72"/>
      <c r="M415" s="72"/>
      <c r="N415" s="72"/>
      <c r="O415" s="72" t="s">
        <v>1132</v>
      </c>
      <c r="P415" s="72" t="s">
        <v>3221</v>
      </c>
      <c r="Q415" s="72" t="s">
        <v>3222</v>
      </c>
      <c r="R415" s="72" t="s">
        <v>3223</v>
      </c>
      <c r="S415" s="72" t="s">
        <v>28</v>
      </c>
    </row>
    <row r="416" spans="1:19" x14ac:dyDescent="0.25">
      <c r="A416" s="72" t="s">
        <v>861</v>
      </c>
      <c r="B416" s="72" t="s">
        <v>781</v>
      </c>
      <c r="C416" s="72" t="s">
        <v>47</v>
      </c>
      <c r="D416" s="72" t="s">
        <v>847</v>
      </c>
      <c r="E416" s="72" t="s">
        <v>861</v>
      </c>
      <c r="F416" s="72" t="s">
        <v>862</v>
      </c>
      <c r="G416" s="72" t="s">
        <v>19</v>
      </c>
      <c r="H416" s="72" t="s">
        <v>91</v>
      </c>
      <c r="I416" s="72"/>
      <c r="J416" s="72"/>
      <c r="K416" s="72"/>
      <c r="L416" s="72"/>
      <c r="M416" s="72"/>
      <c r="N416" s="72"/>
      <c r="O416" s="72" t="s">
        <v>2325</v>
      </c>
      <c r="P416" s="72" t="s">
        <v>3224</v>
      </c>
      <c r="Q416" s="72" t="s">
        <v>3225</v>
      </c>
      <c r="R416" s="72" t="s">
        <v>3226</v>
      </c>
      <c r="S416" s="72" t="s">
        <v>19</v>
      </c>
    </row>
    <row r="417" spans="1:19" x14ac:dyDescent="0.25">
      <c r="A417" s="72" t="s">
        <v>864</v>
      </c>
      <c r="B417" s="72" t="s">
        <v>781</v>
      </c>
      <c r="C417" s="72" t="s">
        <v>47</v>
      </c>
      <c r="D417" s="72" t="s">
        <v>863</v>
      </c>
      <c r="E417" s="72" t="s">
        <v>864</v>
      </c>
      <c r="F417" s="72" t="s">
        <v>865</v>
      </c>
      <c r="G417" s="72" t="s">
        <v>14</v>
      </c>
      <c r="H417" s="72" t="s">
        <v>3227</v>
      </c>
      <c r="I417" s="72"/>
      <c r="J417" s="72"/>
      <c r="K417" s="72"/>
      <c r="L417" s="72"/>
      <c r="M417" s="72"/>
      <c r="N417" s="72"/>
      <c r="O417" s="72" t="s">
        <v>2581</v>
      </c>
      <c r="P417" s="72" t="s">
        <v>3228</v>
      </c>
      <c r="Q417" s="72" t="s">
        <v>3229</v>
      </c>
      <c r="R417" s="72" t="s">
        <v>3230</v>
      </c>
      <c r="S417" s="72" t="s">
        <v>19</v>
      </c>
    </row>
    <row r="418" spans="1:19" x14ac:dyDescent="0.25">
      <c r="A418" s="72" t="s">
        <v>866</v>
      </c>
      <c r="B418" s="72" t="s">
        <v>781</v>
      </c>
      <c r="C418" s="72" t="s">
        <v>47</v>
      </c>
      <c r="D418" s="72" t="s">
        <v>826</v>
      </c>
      <c r="E418" s="72" t="s">
        <v>866</v>
      </c>
      <c r="F418" s="72" t="s">
        <v>867</v>
      </c>
      <c r="G418" s="72" t="s">
        <v>14</v>
      </c>
      <c r="H418" s="72" t="s">
        <v>1459</v>
      </c>
      <c r="I418" s="72"/>
      <c r="J418" s="72"/>
      <c r="K418" s="72"/>
      <c r="L418" s="72"/>
      <c r="M418" s="72"/>
      <c r="N418" s="72"/>
      <c r="O418" s="72" t="s">
        <v>1095</v>
      </c>
      <c r="P418" s="72" t="s">
        <v>3231</v>
      </c>
      <c r="Q418" s="72" t="s">
        <v>3232</v>
      </c>
      <c r="R418" s="72" t="s">
        <v>3233</v>
      </c>
      <c r="S418" s="72" t="s">
        <v>1523</v>
      </c>
    </row>
    <row r="419" spans="1:19" x14ac:dyDescent="0.25">
      <c r="A419" s="72" t="s">
        <v>561</v>
      </c>
      <c r="B419" s="72" t="s">
        <v>781</v>
      </c>
      <c r="C419" s="72" t="s">
        <v>47</v>
      </c>
      <c r="D419" s="72" t="s">
        <v>786</v>
      </c>
      <c r="E419" s="72" t="s">
        <v>561</v>
      </c>
      <c r="F419" s="72" t="s">
        <v>562</v>
      </c>
      <c r="G419" s="72" t="s">
        <v>14</v>
      </c>
      <c r="H419" s="72" t="s">
        <v>1460</v>
      </c>
      <c r="I419" s="72"/>
      <c r="J419" s="72"/>
      <c r="K419" s="72"/>
      <c r="L419" s="72"/>
      <c r="M419" s="72"/>
      <c r="N419" s="72"/>
      <c r="O419" s="72" t="s">
        <v>2187</v>
      </c>
      <c r="P419" s="72" t="s">
        <v>3234</v>
      </c>
      <c r="Q419" s="72" t="s">
        <v>3235</v>
      </c>
      <c r="R419" s="72" t="s">
        <v>3236</v>
      </c>
      <c r="S419" s="72" t="s">
        <v>1523</v>
      </c>
    </row>
    <row r="420" spans="1:19" x14ac:dyDescent="0.25">
      <c r="A420" s="72" t="s">
        <v>869</v>
      </c>
      <c r="B420" s="72" t="s">
        <v>781</v>
      </c>
      <c r="C420" s="72" t="s">
        <v>47</v>
      </c>
      <c r="D420" s="72" t="s">
        <v>868</v>
      </c>
      <c r="E420" s="72" t="s">
        <v>869</v>
      </c>
      <c r="F420" s="72" t="s">
        <v>870</v>
      </c>
      <c r="G420" s="72" t="s">
        <v>19</v>
      </c>
      <c r="H420" s="72" t="s">
        <v>70</v>
      </c>
      <c r="I420" s="72"/>
      <c r="J420" s="72"/>
      <c r="K420" s="72"/>
      <c r="L420" s="72"/>
      <c r="M420" s="72"/>
      <c r="N420" s="72"/>
      <c r="O420" s="72" t="s">
        <v>2424</v>
      </c>
      <c r="P420" s="72" t="s">
        <v>3237</v>
      </c>
      <c r="Q420" s="72" t="s">
        <v>3238</v>
      </c>
      <c r="R420" s="72" t="s">
        <v>3239</v>
      </c>
      <c r="S420" s="72" t="s">
        <v>19</v>
      </c>
    </row>
    <row r="421" spans="1:19" x14ac:dyDescent="0.25">
      <c r="A421" s="72" t="s">
        <v>729</v>
      </c>
      <c r="B421" s="72" t="s">
        <v>781</v>
      </c>
      <c r="C421" s="72" t="s">
        <v>47</v>
      </c>
      <c r="D421" s="72" t="s">
        <v>811</v>
      </c>
      <c r="E421" s="72" t="s">
        <v>729</v>
      </c>
      <c r="F421" s="72" t="s">
        <v>730</v>
      </c>
      <c r="G421" s="72" t="s">
        <v>19</v>
      </c>
      <c r="H421" s="72" t="s">
        <v>237</v>
      </c>
      <c r="I421" s="72"/>
      <c r="J421" s="72"/>
      <c r="K421" s="72"/>
      <c r="L421" s="72"/>
      <c r="M421" s="72"/>
      <c r="N421" s="72"/>
      <c r="O421" s="72" t="s">
        <v>3027</v>
      </c>
      <c r="P421" s="72" t="s">
        <v>3240</v>
      </c>
      <c r="Q421" s="72" t="s">
        <v>3241</v>
      </c>
      <c r="R421" s="72" t="s">
        <v>3242</v>
      </c>
      <c r="S421" s="72" t="s">
        <v>19</v>
      </c>
    </row>
    <row r="422" spans="1:19" x14ac:dyDescent="0.25">
      <c r="A422" s="72" t="s">
        <v>739</v>
      </c>
      <c r="B422" s="72" t="s">
        <v>781</v>
      </c>
      <c r="C422" s="72" t="s">
        <v>47</v>
      </c>
      <c r="D422" s="72" t="s">
        <v>785</v>
      </c>
      <c r="E422" s="72" t="s">
        <v>739</v>
      </c>
      <c r="F422" s="72" t="s">
        <v>740</v>
      </c>
      <c r="G422" s="72" t="s">
        <v>19</v>
      </c>
      <c r="H422" s="72" t="s">
        <v>287</v>
      </c>
      <c r="I422" s="72"/>
      <c r="J422" s="72"/>
      <c r="K422" s="72"/>
      <c r="L422" s="72"/>
      <c r="M422" s="72"/>
      <c r="N422" s="72"/>
      <c r="O422" s="72" t="s">
        <v>2560</v>
      </c>
      <c r="P422" s="72" t="s">
        <v>3243</v>
      </c>
      <c r="Q422" s="72" t="s">
        <v>3244</v>
      </c>
      <c r="R422" s="72" t="s">
        <v>3245</v>
      </c>
      <c r="S422" s="72" t="s">
        <v>19</v>
      </c>
    </row>
    <row r="423" spans="1:19" x14ac:dyDescent="0.25">
      <c r="A423" s="72" t="s">
        <v>872</v>
      </c>
      <c r="B423" s="72" t="s">
        <v>781</v>
      </c>
      <c r="C423" s="72" t="s">
        <v>96</v>
      </c>
      <c r="D423" s="72" t="s">
        <v>871</v>
      </c>
      <c r="E423" s="72" t="s">
        <v>872</v>
      </c>
      <c r="F423" s="72" t="s">
        <v>873</v>
      </c>
      <c r="G423" s="72" t="s">
        <v>19</v>
      </c>
      <c r="H423" s="72" t="s">
        <v>70</v>
      </c>
      <c r="I423" s="72"/>
      <c r="J423" s="72"/>
      <c r="K423" s="72"/>
      <c r="L423" s="72"/>
      <c r="M423" s="72"/>
      <c r="N423" s="72"/>
      <c r="O423" s="72" t="s">
        <v>2587</v>
      </c>
      <c r="P423" s="72" t="s">
        <v>3246</v>
      </c>
      <c r="Q423" s="72" t="s">
        <v>3247</v>
      </c>
      <c r="R423" s="72" t="s">
        <v>3248</v>
      </c>
      <c r="S423" s="72" t="s">
        <v>19</v>
      </c>
    </row>
    <row r="424" spans="1:19" x14ac:dyDescent="0.25">
      <c r="A424" s="72" t="s">
        <v>661</v>
      </c>
      <c r="B424" s="72" t="s">
        <v>781</v>
      </c>
      <c r="C424" s="72" t="s">
        <v>47</v>
      </c>
      <c r="D424" s="72" t="s">
        <v>535</v>
      </c>
      <c r="E424" s="72" t="s">
        <v>661</v>
      </c>
      <c r="F424" s="72" t="s">
        <v>662</v>
      </c>
      <c r="G424" s="72" t="s">
        <v>19</v>
      </c>
      <c r="H424" s="72" t="s">
        <v>87</v>
      </c>
      <c r="I424" s="72"/>
      <c r="J424" s="72"/>
      <c r="K424" s="72"/>
      <c r="L424" s="72"/>
      <c r="M424" s="72"/>
      <c r="N424" s="72"/>
      <c r="O424" s="72" t="s">
        <v>874</v>
      </c>
      <c r="P424" s="72" t="s">
        <v>3249</v>
      </c>
      <c r="Q424" s="72" t="s">
        <v>3250</v>
      </c>
      <c r="R424" s="72" t="s">
        <v>3251</v>
      </c>
      <c r="S424" s="72" t="s">
        <v>19</v>
      </c>
    </row>
    <row r="425" spans="1:19" x14ac:dyDescent="0.25">
      <c r="A425" s="72" t="s">
        <v>876</v>
      </c>
      <c r="B425" s="72" t="s">
        <v>781</v>
      </c>
      <c r="C425" s="72" t="s">
        <v>96</v>
      </c>
      <c r="D425" s="72" t="s">
        <v>850</v>
      </c>
      <c r="E425" s="72" t="s">
        <v>876</v>
      </c>
      <c r="F425" s="72" t="s">
        <v>877</v>
      </c>
      <c r="G425" s="72" t="s">
        <v>28</v>
      </c>
      <c r="H425" s="72" t="s">
        <v>983</v>
      </c>
      <c r="I425" s="72"/>
      <c r="J425" s="72"/>
      <c r="K425" s="72"/>
      <c r="L425" s="72"/>
      <c r="M425" s="72"/>
      <c r="N425" s="72"/>
      <c r="O425" s="72" t="s">
        <v>1545</v>
      </c>
      <c r="P425" s="72" t="s">
        <v>3252</v>
      </c>
      <c r="Q425" s="72" t="s">
        <v>3253</v>
      </c>
      <c r="R425" s="72" t="s">
        <v>3254</v>
      </c>
      <c r="S425" s="72" t="s">
        <v>28</v>
      </c>
    </row>
    <row r="426" spans="1:19" x14ac:dyDescent="0.25">
      <c r="A426" s="72" t="s">
        <v>878</v>
      </c>
      <c r="B426" s="72" t="s">
        <v>781</v>
      </c>
      <c r="C426" s="72" t="s">
        <v>96</v>
      </c>
      <c r="D426" s="72" t="s">
        <v>794</v>
      </c>
      <c r="E426" s="72" t="s">
        <v>878</v>
      </c>
      <c r="F426" s="72" t="s">
        <v>879</v>
      </c>
      <c r="G426" s="72" t="s">
        <v>14</v>
      </c>
      <c r="H426" s="72" t="s">
        <v>1456</v>
      </c>
      <c r="I426" s="72"/>
      <c r="J426" s="72"/>
      <c r="K426" s="72"/>
      <c r="L426" s="72"/>
      <c r="M426" s="72"/>
      <c r="N426" s="72"/>
      <c r="O426" s="72" t="s">
        <v>1103</v>
      </c>
      <c r="P426" s="72" t="s">
        <v>3255</v>
      </c>
      <c r="Q426" s="72" t="s">
        <v>3256</v>
      </c>
      <c r="R426" s="72" t="s">
        <v>3257</v>
      </c>
      <c r="S426" s="72" t="s">
        <v>1523</v>
      </c>
    </row>
    <row r="427" spans="1:19" x14ac:dyDescent="0.25">
      <c r="A427" s="72" t="s">
        <v>881</v>
      </c>
      <c r="B427" s="72" t="s">
        <v>781</v>
      </c>
      <c r="C427" s="72" t="s">
        <v>96</v>
      </c>
      <c r="D427" s="72" t="s">
        <v>880</v>
      </c>
      <c r="E427" s="72" t="s">
        <v>881</v>
      </c>
      <c r="F427" s="72" t="s">
        <v>882</v>
      </c>
      <c r="G427" s="72" t="s">
        <v>14</v>
      </c>
      <c r="H427" s="72" t="s">
        <v>1459</v>
      </c>
      <c r="I427" s="72"/>
      <c r="J427" s="72"/>
      <c r="K427" s="72"/>
      <c r="L427" s="72"/>
      <c r="M427" s="72"/>
      <c r="N427" s="72"/>
      <c r="O427" s="72" t="s">
        <v>2849</v>
      </c>
      <c r="P427" s="72" t="s">
        <v>3258</v>
      </c>
      <c r="Q427" s="72" t="s">
        <v>3259</v>
      </c>
      <c r="R427" s="72" t="s">
        <v>3260</v>
      </c>
      <c r="S427" s="72" t="s">
        <v>1523</v>
      </c>
    </row>
    <row r="428" spans="1:19" x14ac:dyDescent="0.25">
      <c r="A428" s="72" t="s">
        <v>884</v>
      </c>
      <c r="B428" s="72" t="s">
        <v>781</v>
      </c>
      <c r="C428" s="72" t="s">
        <v>96</v>
      </c>
      <c r="D428" s="72" t="s">
        <v>883</v>
      </c>
      <c r="E428" s="72" t="s">
        <v>884</v>
      </c>
      <c r="F428" s="72" t="s">
        <v>885</v>
      </c>
      <c r="G428" s="72" t="s">
        <v>19</v>
      </c>
      <c r="H428" s="72" t="s">
        <v>46</v>
      </c>
      <c r="I428" s="72"/>
      <c r="J428" s="72"/>
      <c r="K428" s="72"/>
      <c r="L428" s="72"/>
      <c r="M428" s="72"/>
      <c r="N428" s="72"/>
      <c r="O428" s="72" t="s">
        <v>3195</v>
      </c>
      <c r="P428" s="72" t="s">
        <v>3261</v>
      </c>
      <c r="Q428" s="72" t="s">
        <v>3262</v>
      </c>
      <c r="R428" s="72" t="s">
        <v>3263</v>
      </c>
      <c r="S428" s="72" t="s">
        <v>19</v>
      </c>
    </row>
    <row r="429" spans="1:19" x14ac:dyDescent="0.25">
      <c r="A429" s="72" t="s">
        <v>891</v>
      </c>
      <c r="B429" s="72" t="s">
        <v>781</v>
      </c>
      <c r="C429" s="72" t="s">
        <v>96</v>
      </c>
      <c r="D429" s="72" t="s">
        <v>890</v>
      </c>
      <c r="E429" s="72" t="s">
        <v>891</v>
      </c>
      <c r="F429" s="72" t="s">
        <v>892</v>
      </c>
      <c r="G429" s="72" t="s">
        <v>14</v>
      </c>
      <c r="H429" s="72" t="s">
        <v>3163</v>
      </c>
      <c r="I429" s="72"/>
      <c r="J429" s="72"/>
      <c r="K429" s="72"/>
      <c r="L429" s="72"/>
      <c r="M429" s="72"/>
      <c r="N429" s="72"/>
      <c r="O429" s="72" t="s">
        <v>2861</v>
      </c>
      <c r="P429" s="72" t="s">
        <v>3264</v>
      </c>
      <c r="Q429" s="72" t="s">
        <v>3265</v>
      </c>
      <c r="R429" s="72" t="s">
        <v>3266</v>
      </c>
      <c r="S429" s="72" t="s">
        <v>1523</v>
      </c>
    </row>
    <row r="430" spans="1:19" x14ac:dyDescent="0.25">
      <c r="A430" s="72" t="s">
        <v>893</v>
      </c>
      <c r="B430" s="72" t="s">
        <v>781</v>
      </c>
      <c r="C430" s="72" t="s">
        <v>96</v>
      </c>
      <c r="D430" s="72" t="s">
        <v>786</v>
      </c>
      <c r="E430" s="72" t="s">
        <v>893</v>
      </c>
      <c r="F430" s="72" t="s">
        <v>894</v>
      </c>
      <c r="G430" s="72" t="s">
        <v>14</v>
      </c>
      <c r="H430" s="72" t="s">
        <v>1456</v>
      </c>
      <c r="I430" s="72"/>
      <c r="J430" s="72"/>
      <c r="K430" s="72"/>
      <c r="L430" s="72"/>
      <c r="M430" s="72"/>
      <c r="N430" s="72"/>
      <c r="O430" s="72" t="s">
        <v>3267</v>
      </c>
      <c r="P430" s="72" t="s">
        <v>3255</v>
      </c>
      <c r="Q430" s="72" t="s">
        <v>3268</v>
      </c>
      <c r="R430" s="72" t="s">
        <v>3269</v>
      </c>
      <c r="S430" s="72" t="s">
        <v>1523</v>
      </c>
    </row>
    <row r="431" spans="1:19" x14ac:dyDescent="0.25">
      <c r="A431" s="72" t="s">
        <v>895</v>
      </c>
      <c r="B431" s="72" t="s">
        <v>781</v>
      </c>
      <c r="C431" s="72" t="s">
        <v>96</v>
      </c>
      <c r="D431" s="72" t="s">
        <v>786</v>
      </c>
      <c r="E431" s="72" t="s">
        <v>895</v>
      </c>
      <c r="F431" s="72" t="s">
        <v>896</v>
      </c>
      <c r="G431" s="72" t="s">
        <v>14</v>
      </c>
      <c r="H431" s="72" t="s">
        <v>1457</v>
      </c>
      <c r="I431" s="72"/>
      <c r="J431" s="72"/>
      <c r="K431" s="72"/>
      <c r="L431" s="72"/>
      <c r="M431" s="72"/>
      <c r="N431" s="72"/>
      <c r="O431" s="72" t="s">
        <v>3167</v>
      </c>
      <c r="P431" s="72" t="s">
        <v>3270</v>
      </c>
      <c r="Q431" s="72" t="s">
        <v>3271</v>
      </c>
      <c r="R431" s="72" t="s">
        <v>3269</v>
      </c>
      <c r="S431" s="72" t="s">
        <v>1523</v>
      </c>
    </row>
    <row r="432" spans="1:19" x14ac:dyDescent="0.25">
      <c r="A432" s="72" t="s">
        <v>900</v>
      </c>
      <c r="B432" s="72" t="s">
        <v>781</v>
      </c>
      <c r="C432" s="72" t="s">
        <v>96</v>
      </c>
      <c r="D432" s="72" t="s">
        <v>899</v>
      </c>
      <c r="E432" s="72" t="s">
        <v>900</v>
      </c>
      <c r="F432" s="72" t="s">
        <v>901</v>
      </c>
      <c r="G432" s="72" t="s">
        <v>28</v>
      </c>
      <c r="H432" s="72" t="s">
        <v>287</v>
      </c>
      <c r="I432" s="72"/>
      <c r="J432" s="72"/>
      <c r="K432" s="72"/>
      <c r="L432" s="72"/>
      <c r="M432" s="72"/>
      <c r="N432" s="72"/>
      <c r="O432" s="72" t="s">
        <v>1132</v>
      </c>
      <c r="P432" s="72" t="s">
        <v>3272</v>
      </c>
      <c r="Q432" s="72" t="s">
        <v>3273</v>
      </c>
      <c r="R432" s="72" t="s">
        <v>3274</v>
      </c>
      <c r="S432" s="72" t="s">
        <v>28</v>
      </c>
    </row>
    <row r="433" spans="1:19" x14ac:dyDescent="0.25">
      <c r="A433" s="72" t="s">
        <v>902</v>
      </c>
      <c r="B433" s="72" t="s">
        <v>781</v>
      </c>
      <c r="C433" s="72" t="s">
        <v>47</v>
      </c>
      <c r="D433" s="72" t="s">
        <v>858</v>
      </c>
      <c r="E433" s="72" t="s">
        <v>902</v>
      </c>
      <c r="F433" s="72" t="s">
        <v>903</v>
      </c>
      <c r="G433" s="72" t="s">
        <v>28</v>
      </c>
      <c r="H433" s="72" t="s">
        <v>287</v>
      </c>
      <c r="I433" s="72"/>
      <c r="J433" s="72"/>
      <c r="K433" s="72"/>
      <c r="L433" s="72"/>
      <c r="M433" s="72"/>
      <c r="N433" s="72"/>
      <c r="O433" s="72" t="s">
        <v>1438</v>
      </c>
      <c r="P433" s="72" t="s">
        <v>3243</v>
      </c>
      <c r="Q433" s="72" t="s">
        <v>3275</v>
      </c>
      <c r="R433" s="72" t="s">
        <v>3276</v>
      </c>
      <c r="S433" s="72" t="s">
        <v>28</v>
      </c>
    </row>
    <row r="434" spans="1:19" x14ac:dyDescent="0.25">
      <c r="A434" s="72" t="s">
        <v>905</v>
      </c>
      <c r="B434" s="72" t="s">
        <v>781</v>
      </c>
      <c r="C434" s="72" t="s">
        <v>47</v>
      </c>
      <c r="D434" s="72" t="s">
        <v>904</v>
      </c>
      <c r="E434" s="72" t="s">
        <v>905</v>
      </c>
      <c r="F434" s="72" t="s">
        <v>726</v>
      </c>
      <c r="G434" s="72" t="s">
        <v>28</v>
      </c>
      <c r="H434" s="72" t="s">
        <v>287</v>
      </c>
      <c r="I434" s="72"/>
      <c r="J434" s="72"/>
      <c r="K434" s="72"/>
      <c r="L434" s="72"/>
      <c r="M434" s="72"/>
      <c r="N434" s="72"/>
      <c r="O434" s="72" t="s">
        <v>1578</v>
      </c>
      <c r="P434" s="72" t="s">
        <v>3243</v>
      </c>
      <c r="Q434" s="72" t="s">
        <v>3277</v>
      </c>
      <c r="R434" s="72" t="s">
        <v>3278</v>
      </c>
      <c r="S434" s="72" t="s">
        <v>28</v>
      </c>
    </row>
    <row r="435" spans="1:19" x14ac:dyDescent="0.25">
      <c r="A435" s="72" t="s">
        <v>909</v>
      </c>
      <c r="B435" s="72" t="s">
        <v>781</v>
      </c>
      <c r="C435" s="72" t="s">
        <v>47</v>
      </c>
      <c r="D435" s="72" t="s">
        <v>908</v>
      </c>
      <c r="E435" s="72" t="s">
        <v>909</v>
      </c>
      <c r="F435" s="72" t="s">
        <v>910</v>
      </c>
      <c r="G435" s="72" t="s">
        <v>28</v>
      </c>
      <c r="H435" s="72" t="s">
        <v>24</v>
      </c>
      <c r="I435" s="72"/>
      <c r="J435" s="72"/>
      <c r="K435" s="72"/>
      <c r="L435" s="72"/>
      <c r="M435" s="72"/>
      <c r="N435" s="72"/>
      <c r="O435" s="72" t="s">
        <v>1415</v>
      </c>
      <c r="P435" s="72" t="s">
        <v>3279</v>
      </c>
      <c r="Q435" s="72" t="s">
        <v>3280</v>
      </c>
      <c r="R435" s="72" t="s">
        <v>3281</v>
      </c>
      <c r="S435" s="72" t="s">
        <v>28</v>
      </c>
    </row>
    <row r="436" spans="1:19" x14ac:dyDescent="0.25">
      <c r="A436" s="72" t="s">
        <v>911</v>
      </c>
      <c r="B436" s="72" t="s">
        <v>781</v>
      </c>
      <c r="C436" s="72" t="s">
        <v>140</v>
      </c>
      <c r="D436" s="72" t="s">
        <v>808</v>
      </c>
      <c r="E436" s="72" t="s">
        <v>911</v>
      </c>
      <c r="F436" s="72" t="s">
        <v>912</v>
      </c>
      <c r="G436" s="72" t="s">
        <v>14</v>
      </c>
      <c r="H436" s="72" t="s">
        <v>1458</v>
      </c>
      <c r="I436" s="72"/>
      <c r="J436" s="72"/>
      <c r="K436" s="72"/>
      <c r="L436" s="72"/>
      <c r="M436" s="72"/>
      <c r="N436" s="72"/>
      <c r="O436" s="72" t="s">
        <v>3167</v>
      </c>
      <c r="P436" s="72" t="s">
        <v>3282</v>
      </c>
      <c r="Q436" s="72" t="s">
        <v>3283</v>
      </c>
      <c r="R436" s="72" t="s">
        <v>3284</v>
      </c>
      <c r="S436" s="72" t="s">
        <v>1523</v>
      </c>
    </row>
    <row r="437" spans="1:19" x14ac:dyDescent="0.25">
      <c r="A437" s="72" t="s">
        <v>206</v>
      </c>
      <c r="B437" s="72" t="s">
        <v>781</v>
      </c>
      <c r="C437" s="72" t="s">
        <v>96</v>
      </c>
      <c r="D437" s="72" t="s">
        <v>913</v>
      </c>
      <c r="E437" s="72" t="s">
        <v>206</v>
      </c>
      <c r="F437" s="72" t="s">
        <v>207</v>
      </c>
      <c r="G437" s="72" t="s">
        <v>28</v>
      </c>
      <c r="H437" s="72" t="s">
        <v>3285</v>
      </c>
      <c r="I437" s="72"/>
      <c r="J437" s="72"/>
      <c r="K437" s="72"/>
      <c r="L437" s="72"/>
      <c r="M437" s="72"/>
      <c r="N437" s="72"/>
      <c r="O437" s="72" t="s">
        <v>1588</v>
      </c>
      <c r="P437" s="72" t="s">
        <v>3286</v>
      </c>
      <c r="Q437" s="72" t="s">
        <v>3287</v>
      </c>
      <c r="R437" s="72" t="s">
        <v>3288</v>
      </c>
      <c r="S437" s="72" t="s">
        <v>28</v>
      </c>
    </row>
    <row r="438" spans="1:19" x14ac:dyDescent="0.25">
      <c r="A438" s="72" t="s">
        <v>917</v>
      </c>
      <c r="B438" s="72" t="s">
        <v>781</v>
      </c>
      <c r="C438" s="72" t="s">
        <v>96</v>
      </c>
      <c r="D438" s="72" t="s">
        <v>868</v>
      </c>
      <c r="E438" s="72" t="s">
        <v>917</v>
      </c>
      <c r="F438" s="72" t="s">
        <v>918</v>
      </c>
      <c r="G438" s="72" t="s">
        <v>19</v>
      </c>
      <c r="H438" s="72" t="s">
        <v>61</v>
      </c>
      <c r="I438" s="72"/>
      <c r="J438" s="72"/>
      <c r="K438" s="72"/>
      <c r="L438" s="72"/>
      <c r="M438" s="72"/>
      <c r="N438" s="72"/>
      <c r="O438" s="72" t="s">
        <v>1599</v>
      </c>
      <c r="P438" s="72" t="s">
        <v>3289</v>
      </c>
      <c r="Q438" s="72" t="s">
        <v>3290</v>
      </c>
      <c r="R438" s="72" t="s">
        <v>3291</v>
      </c>
      <c r="S438" s="72" t="s">
        <v>19</v>
      </c>
    </row>
    <row r="439" spans="1:19" x14ac:dyDescent="0.25">
      <c r="A439" s="72" t="s">
        <v>569</v>
      </c>
      <c r="B439" s="72" t="s">
        <v>781</v>
      </c>
      <c r="C439" s="72" t="s">
        <v>96</v>
      </c>
      <c r="D439" s="72" t="s">
        <v>919</v>
      </c>
      <c r="E439" s="72" t="s">
        <v>569</v>
      </c>
      <c r="F439" s="72" t="s">
        <v>570</v>
      </c>
      <c r="G439" s="72" t="s">
        <v>19</v>
      </c>
      <c r="H439" s="72" t="s">
        <v>83</v>
      </c>
      <c r="I439" s="72"/>
      <c r="J439" s="72"/>
      <c r="K439" s="72"/>
      <c r="L439" s="72"/>
      <c r="M439" s="72"/>
      <c r="N439" s="72"/>
      <c r="O439" s="72" t="s">
        <v>1592</v>
      </c>
      <c r="P439" s="72" t="s">
        <v>3292</v>
      </c>
      <c r="Q439" s="72" t="s">
        <v>3293</v>
      </c>
      <c r="R439" s="72" t="s">
        <v>3294</v>
      </c>
      <c r="S439" s="72" t="s">
        <v>19</v>
      </c>
    </row>
    <row r="440" spans="1:19" x14ac:dyDescent="0.25">
      <c r="A440" s="72" t="s">
        <v>921</v>
      </c>
      <c r="B440" s="72" t="s">
        <v>781</v>
      </c>
      <c r="C440" s="72" t="s">
        <v>96</v>
      </c>
      <c r="D440" s="72" t="s">
        <v>920</v>
      </c>
      <c r="E440" s="72" t="s">
        <v>921</v>
      </c>
      <c r="F440" s="72" t="s">
        <v>922</v>
      </c>
      <c r="G440" s="72" t="s">
        <v>19</v>
      </c>
      <c r="H440" s="72" t="s">
        <v>241</v>
      </c>
      <c r="I440" s="72"/>
      <c r="J440" s="72"/>
      <c r="K440" s="72"/>
      <c r="L440" s="72"/>
      <c r="M440" s="72"/>
      <c r="N440" s="72"/>
      <c r="O440" s="72" t="s">
        <v>1803</v>
      </c>
      <c r="P440" s="72" t="s">
        <v>3295</v>
      </c>
      <c r="Q440" s="72" t="s">
        <v>3296</v>
      </c>
      <c r="R440" s="72" t="s">
        <v>3297</v>
      </c>
      <c r="S440" s="72" t="s">
        <v>19</v>
      </c>
    </row>
    <row r="441" spans="1:19" x14ac:dyDescent="0.25">
      <c r="A441" s="72" t="s">
        <v>402</v>
      </c>
      <c r="B441" s="72" t="s">
        <v>781</v>
      </c>
      <c r="C441" s="72" t="s">
        <v>10</v>
      </c>
      <c r="D441" s="72" t="s">
        <v>401</v>
      </c>
      <c r="E441" s="72" t="s">
        <v>402</v>
      </c>
      <c r="F441" s="72" t="s">
        <v>403</v>
      </c>
      <c r="G441" s="72" t="s">
        <v>19</v>
      </c>
      <c r="H441" s="72" t="s">
        <v>87</v>
      </c>
      <c r="I441" s="72"/>
      <c r="J441" s="72"/>
      <c r="K441" s="72"/>
      <c r="L441" s="72"/>
      <c r="M441" s="72"/>
      <c r="N441" s="72"/>
      <c r="O441" s="72" t="s">
        <v>2017</v>
      </c>
      <c r="P441" s="72" t="s">
        <v>3298</v>
      </c>
      <c r="Q441" s="72" t="s">
        <v>3299</v>
      </c>
      <c r="R441" s="72" t="s">
        <v>3300</v>
      </c>
      <c r="S441" s="72" t="s">
        <v>19</v>
      </c>
    </row>
    <row r="442" spans="1:19" x14ac:dyDescent="0.25">
      <c r="A442" s="72" t="s">
        <v>121</v>
      </c>
      <c r="B442" s="72" t="s">
        <v>781</v>
      </c>
      <c r="C442" s="72" t="s">
        <v>119</v>
      </c>
      <c r="D442" s="72" t="s">
        <v>120</v>
      </c>
      <c r="E442" s="72" t="s">
        <v>121</v>
      </c>
      <c r="F442" s="72" t="s">
        <v>122</v>
      </c>
      <c r="G442" s="72" t="s">
        <v>37</v>
      </c>
      <c r="H442" s="72" t="s">
        <v>123</v>
      </c>
      <c r="I442" s="72"/>
      <c r="J442" s="72"/>
      <c r="K442" s="72"/>
      <c r="L442" s="72"/>
      <c r="M442" s="72"/>
      <c r="N442" s="72"/>
      <c r="O442" s="72" t="s">
        <v>1417</v>
      </c>
      <c r="P442" s="72" t="s">
        <v>3301</v>
      </c>
      <c r="Q442" s="72" t="s">
        <v>3302</v>
      </c>
      <c r="R442" s="72" t="s">
        <v>3303</v>
      </c>
      <c r="S442" s="72" t="s">
        <v>37</v>
      </c>
    </row>
    <row r="443" spans="1:19" x14ac:dyDescent="0.25">
      <c r="A443" s="72" t="s">
        <v>279</v>
      </c>
      <c r="B443" s="72" t="s">
        <v>781</v>
      </c>
      <c r="C443" s="72" t="s">
        <v>119</v>
      </c>
      <c r="D443" s="72" t="s">
        <v>129</v>
      </c>
      <c r="E443" s="72" t="s">
        <v>279</v>
      </c>
      <c r="F443" s="72" t="s">
        <v>280</v>
      </c>
      <c r="G443" s="72" t="s">
        <v>37</v>
      </c>
      <c r="H443" s="72" t="s">
        <v>42</v>
      </c>
      <c r="I443" s="72"/>
      <c r="J443" s="72"/>
      <c r="K443" s="72"/>
      <c r="L443" s="72"/>
      <c r="M443" s="72"/>
      <c r="N443" s="72"/>
      <c r="O443" s="72" t="s">
        <v>1550</v>
      </c>
      <c r="P443" s="72" t="s">
        <v>3304</v>
      </c>
      <c r="Q443" s="72" t="s">
        <v>3305</v>
      </c>
      <c r="R443" s="72" t="s">
        <v>3306</v>
      </c>
      <c r="S443" s="72" t="s">
        <v>37</v>
      </c>
    </row>
    <row r="444" spans="1:19" x14ac:dyDescent="0.25">
      <c r="A444" s="72" t="s">
        <v>924</v>
      </c>
      <c r="B444" s="72" t="s">
        <v>781</v>
      </c>
      <c r="C444" s="72" t="s">
        <v>119</v>
      </c>
      <c r="D444" s="72" t="s">
        <v>823</v>
      </c>
      <c r="E444" s="72" t="s">
        <v>924</v>
      </c>
      <c r="F444" s="72" t="s">
        <v>925</v>
      </c>
      <c r="G444" s="72" t="s">
        <v>37</v>
      </c>
      <c r="H444" s="72" t="s">
        <v>136</v>
      </c>
      <c r="I444" s="72"/>
      <c r="J444" s="72"/>
      <c r="K444" s="72"/>
      <c r="L444" s="72"/>
      <c r="M444" s="72"/>
      <c r="N444" s="72"/>
      <c r="O444" s="72" t="s">
        <v>1411</v>
      </c>
      <c r="P444" s="72" t="s">
        <v>3307</v>
      </c>
      <c r="Q444" s="72" t="s">
        <v>3308</v>
      </c>
      <c r="R444" s="72" t="s">
        <v>3309</v>
      </c>
      <c r="S444" s="72" t="s">
        <v>37</v>
      </c>
    </row>
    <row r="445" spans="1:19" x14ac:dyDescent="0.25">
      <c r="A445" s="72" t="s">
        <v>270</v>
      </c>
      <c r="B445" s="72" t="s">
        <v>781</v>
      </c>
      <c r="C445" s="72" t="s">
        <v>119</v>
      </c>
      <c r="D445" s="72" t="s">
        <v>163</v>
      </c>
      <c r="E445" s="72" t="s">
        <v>270</v>
      </c>
      <c r="F445" s="72" t="s">
        <v>271</v>
      </c>
      <c r="G445" s="72" t="s">
        <v>37</v>
      </c>
      <c r="H445" s="72" t="s">
        <v>793</v>
      </c>
      <c r="I445" s="72"/>
      <c r="J445" s="72"/>
      <c r="K445" s="72"/>
      <c r="L445" s="72"/>
      <c r="M445" s="72"/>
      <c r="N445" s="72"/>
      <c r="O445" s="72" t="s">
        <v>1418</v>
      </c>
      <c r="P445" s="72" t="s">
        <v>3310</v>
      </c>
      <c r="Q445" s="72" t="s">
        <v>3311</v>
      </c>
      <c r="R445" s="72" t="s">
        <v>3312</v>
      </c>
      <c r="S445" s="72" t="s">
        <v>37</v>
      </c>
    </row>
    <row r="446" spans="1:19" x14ac:dyDescent="0.25">
      <c r="A446" s="72" t="s">
        <v>126</v>
      </c>
      <c r="B446" s="72" t="s">
        <v>781</v>
      </c>
      <c r="C446" s="72" t="s">
        <v>119</v>
      </c>
      <c r="D446" s="72" t="s">
        <v>34</v>
      </c>
      <c r="E446" s="72" t="s">
        <v>126</v>
      </c>
      <c r="F446" s="72" t="s">
        <v>127</v>
      </c>
      <c r="G446" s="72" t="s">
        <v>37</v>
      </c>
      <c r="H446" s="72" t="s">
        <v>38</v>
      </c>
      <c r="I446" s="72"/>
      <c r="J446" s="72"/>
      <c r="K446" s="72"/>
      <c r="L446" s="72"/>
      <c r="M446" s="72"/>
      <c r="N446" s="72"/>
      <c r="O446" s="72" t="s">
        <v>1581</v>
      </c>
      <c r="P446" s="72" t="s">
        <v>3313</v>
      </c>
      <c r="Q446" s="72" t="s">
        <v>3314</v>
      </c>
      <c r="R446" s="72" t="s">
        <v>3315</v>
      </c>
      <c r="S446" s="72" t="s">
        <v>37</v>
      </c>
    </row>
    <row r="447" spans="1:19" x14ac:dyDescent="0.25">
      <c r="A447" s="72" t="s">
        <v>306</v>
      </c>
      <c r="B447" s="72" t="s">
        <v>781</v>
      </c>
      <c r="C447" s="72" t="s">
        <v>119</v>
      </c>
      <c r="D447" s="72" t="s">
        <v>39</v>
      </c>
      <c r="E447" s="72" t="s">
        <v>306</v>
      </c>
      <c r="F447" s="72" t="s">
        <v>307</v>
      </c>
      <c r="G447" s="72" t="s">
        <v>37</v>
      </c>
      <c r="H447" s="72" t="s">
        <v>38</v>
      </c>
      <c r="I447" s="72"/>
      <c r="J447" s="72"/>
      <c r="K447" s="72"/>
      <c r="L447" s="72"/>
      <c r="M447" s="72"/>
      <c r="N447" s="72"/>
      <c r="O447" s="72" t="s">
        <v>1582</v>
      </c>
      <c r="P447" s="72" t="s">
        <v>3313</v>
      </c>
      <c r="Q447" s="72" t="s">
        <v>3316</v>
      </c>
      <c r="R447" s="72" t="s">
        <v>3317</v>
      </c>
      <c r="S447" s="72" t="s">
        <v>37</v>
      </c>
    </row>
    <row r="448" spans="1:19" x14ac:dyDescent="0.25">
      <c r="A448" s="72" t="s">
        <v>274</v>
      </c>
      <c r="B448" s="72" t="s">
        <v>781</v>
      </c>
      <c r="C448" s="72" t="s">
        <v>119</v>
      </c>
      <c r="D448" s="72" t="s">
        <v>180</v>
      </c>
      <c r="E448" s="72" t="s">
        <v>274</v>
      </c>
      <c r="F448" s="72" t="s">
        <v>275</v>
      </c>
      <c r="G448" s="72" t="s">
        <v>37</v>
      </c>
      <c r="H448" s="72" t="s">
        <v>132</v>
      </c>
      <c r="I448" s="72"/>
      <c r="J448" s="72"/>
      <c r="K448" s="72"/>
      <c r="L448" s="72"/>
      <c r="M448" s="72"/>
      <c r="N448" s="72"/>
      <c r="O448" s="72" t="s">
        <v>1583</v>
      </c>
      <c r="P448" s="72" t="s">
        <v>3318</v>
      </c>
      <c r="Q448" s="72" t="s">
        <v>3319</v>
      </c>
      <c r="R448" s="72" t="s">
        <v>3320</v>
      </c>
      <c r="S448" s="72" t="s">
        <v>37</v>
      </c>
    </row>
    <row r="449" spans="1:19" x14ac:dyDescent="0.25">
      <c r="A449" s="72" t="s">
        <v>183</v>
      </c>
      <c r="B449" s="72" t="s">
        <v>781</v>
      </c>
      <c r="C449" s="72" t="s">
        <v>119</v>
      </c>
      <c r="D449" s="72" t="s">
        <v>160</v>
      </c>
      <c r="E449" s="72" t="s">
        <v>183</v>
      </c>
      <c r="F449" s="72" t="s">
        <v>184</v>
      </c>
      <c r="G449" s="72" t="s">
        <v>37</v>
      </c>
      <c r="H449" s="72" t="s">
        <v>308</v>
      </c>
      <c r="I449" s="72"/>
      <c r="J449" s="72"/>
      <c r="K449" s="72"/>
      <c r="L449" s="72"/>
      <c r="M449" s="72"/>
      <c r="N449" s="72"/>
      <c r="O449" s="72" t="s">
        <v>1862</v>
      </c>
      <c r="P449" s="72" t="s">
        <v>3321</v>
      </c>
      <c r="Q449" s="72" t="s">
        <v>3322</v>
      </c>
      <c r="R449" s="72" t="s">
        <v>3323</v>
      </c>
      <c r="S449" s="72" t="s">
        <v>37</v>
      </c>
    </row>
    <row r="450" spans="1:19" x14ac:dyDescent="0.25">
      <c r="A450" s="72" t="s">
        <v>926</v>
      </c>
      <c r="B450" s="72" t="s">
        <v>781</v>
      </c>
      <c r="C450" s="72" t="s">
        <v>140</v>
      </c>
      <c r="D450" s="72" t="s">
        <v>839</v>
      </c>
      <c r="E450" s="72" t="s">
        <v>926</v>
      </c>
      <c r="F450" s="72" t="s">
        <v>927</v>
      </c>
      <c r="G450" s="72" t="s">
        <v>28</v>
      </c>
      <c r="H450" s="72" t="s">
        <v>15</v>
      </c>
      <c r="I450" s="72"/>
      <c r="J450" s="72"/>
      <c r="K450" s="72"/>
      <c r="L450" s="72"/>
      <c r="M450" s="72"/>
      <c r="N450" s="72"/>
      <c r="O450" s="72" t="s">
        <v>2707</v>
      </c>
      <c r="P450" s="72" t="s">
        <v>3324</v>
      </c>
      <c r="Q450" s="72" t="s">
        <v>3325</v>
      </c>
      <c r="R450" s="72" t="s">
        <v>3326</v>
      </c>
      <c r="S450" s="72" t="s">
        <v>19</v>
      </c>
    </row>
    <row r="451" spans="1:19" x14ac:dyDescent="0.25">
      <c r="A451" s="72" t="s">
        <v>709</v>
      </c>
      <c r="B451" s="72" t="s">
        <v>781</v>
      </c>
      <c r="C451" s="72" t="s">
        <v>140</v>
      </c>
      <c r="D451" s="72" t="s">
        <v>805</v>
      </c>
      <c r="E451" s="72" t="s">
        <v>709</v>
      </c>
      <c r="F451" s="72" t="s">
        <v>928</v>
      </c>
      <c r="G451" s="72" t="s">
        <v>14</v>
      </c>
      <c r="H451" s="72" t="s">
        <v>1456</v>
      </c>
      <c r="I451" s="72"/>
      <c r="J451" s="72"/>
      <c r="K451" s="72"/>
      <c r="L451" s="72"/>
      <c r="M451" s="72"/>
      <c r="N451" s="72"/>
      <c r="O451" s="72" t="s">
        <v>1103</v>
      </c>
      <c r="P451" s="72" t="s">
        <v>3327</v>
      </c>
      <c r="Q451" s="72" t="s">
        <v>3328</v>
      </c>
      <c r="R451" s="72" t="s">
        <v>3329</v>
      </c>
      <c r="S451" s="72" t="s">
        <v>1523</v>
      </c>
    </row>
    <row r="452" spans="1:19" x14ac:dyDescent="0.25">
      <c r="A452" s="72" t="s">
        <v>750</v>
      </c>
      <c r="B452" s="72" t="s">
        <v>781</v>
      </c>
      <c r="C452" s="72" t="s">
        <v>140</v>
      </c>
      <c r="D452" s="72" t="s">
        <v>826</v>
      </c>
      <c r="E452" s="72" t="s">
        <v>750</v>
      </c>
      <c r="F452" s="72" t="s">
        <v>751</v>
      </c>
      <c r="G452" s="72" t="s">
        <v>14</v>
      </c>
      <c r="H452" s="72" t="s">
        <v>1460</v>
      </c>
      <c r="I452" s="72"/>
      <c r="J452" s="72"/>
      <c r="K452" s="72"/>
      <c r="L452" s="72"/>
      <c r="M452" s="72"/>
      <c r="N452" s="72"/>
      <c r="O452" s="72" t="s">
        <v>2849</v>
      </c>
      <c r="P452" s="72" t="s">
        <v>3330</v>
      </c>
      <c r="Q452" s="72" t="s">
        <v>3331</v>
      </c>
      <c r="R452" s="72" t="s">
        <v>3332</v>
      </c>
      <c r="S452" s="72" t="s">
        <v>1523</v>
      </c>
    </row>
    <row r="453" spans="1:19" x14ac:dyDescent="0.25">
      <c r="A453" s="72" t="s">
        <v>930</v>
      </c>
      <c r="B453" s="72" t="s">
        <v>781</v>
      </c>
      <c r="C453" s="72" t="s">
        <v>140</v>
      </c>
      <c r="D453" s="72" t="s">
        <v>3333</v>
      </c>
      <c r="E453" s="72" t="s">
        <v>930</v>
      </c>
      <c r="F453" s="72" t="s">
        <v>931</v>
      </c>
      <c r="G453" s="72" t="s">
        <v>19</v>
      </c>
      <c r="H453" s="72" t="s">
        <v>91</v>
      </c>
      <c r="I453" s="72"/>
      <c r="J453" s="72"/>
      <c r="K453" s="72"/>
      <c r="L453" s="72"/>
      <c r="M453" s="72"/>
      <c r="N453" s="72"/>
      <c r="O453" s="72" t="s">
        <v>3334</v>
      </c>
      <c r="P453" s="72" t="s">
        <v>3335</v>
      </c>
      <c r="Q453" s="72" t="s">
        <v>3336</v>
      </c>
      <c r="R453" s="72" t="s">
        <v>3337</v>
      </c>
      <c r="S453" s="72" t="s">
        <v>19</v>
      </c>
    </row>
    <row r="454" spans="1:19" x14ac:dyDescent="0.25">
      <c r="A454" s="72" t="s">
        <v>933</v>
      </c>
      <c r="B454" s="72" t="s">
        <v>781</v>
      </c>
      <c r="C454" s="72" t="s">
        <v>140</v>
      </c>
      <c r="D454" s="72" t="s">
        <v>932</v>
      </c>
      <c r="E454" s="72" t="s">
        <v>933</v>
      </c>
      <c r="F454" s="72" t="s">
        <v>934</v>
      </c>
      <c r="G454" s="72" t="s">
        <v>19</v>
      </c>
      <c r="H454" s="72" t="s">
        <v>267</v>
      </c>
      <c r="I454" s="72"/>
      <c r="J454" s="72"/>
      <c r="K454" s="72"/>
      <c r="L454" s="72"/>
      <c r="M454" s="72"/>
      <c r="N454" s="72"/>
      <c r="O454" s="72" t="s">
        <v>2424</v>
      </c>
      <c r="P454" s="72" t="s">
        <v>3338</v>
      </c>
      <c r="Q454" s="72" t="s">
        <v>3339</v>
      </c>
      <c r="R454" s="72" t="s">
        <v>3340</v>
      </c>
      <c r="S454" s="72" t="s">
        <v>19</v>
      </c>
    </row>
    <row r="455" spans="1:19" x14ac:dyDescent="0.25">
      <c r="A455" s="72" t="s">
        <v>935</v>
      </c>
      <c r="B455" s="72" t="s">
        <v>781</v>
      </c>
      <c r="C455" s="72" t="s">
        <v>140</v>
      </c>
      <c r="D455" s="72" t="s">
        <v>880</v>
      </c>
      <c r="E455" s="72" t="s">
        <v>935</v>
      </c>
      <c r="F455" s="72" t="s">
        <v>936</v>
      </c>
      <c r="G455" s="72" t="s">
        <v>14</v>
      </c>
      <c r="H455" s="72" t="s">
        <v>1662</v>
      </c>
      <c r="I455" s="72"/>
      <c r="J455" s="72"/>
      <c r="K455" s="72"/>
      <c r="L455" s="72"/>
      <c r="M455" s="72"/>
      <c r="N455" s="72"/>
      <c r="O455" s="72" t="s">
        <v>2861</v>
      </c>
      <c r="P455" s="72" t="s">
        <v>3341</v>
      </c>
      <c r="Q455" s="72" t="s">
        <v>3342</v>
      </c>
      <c r="R455" s="72" t="s">
        <v>3343</v>
      </c>
      <c r="S455" s="72" t="s">
        <v>1523</v>
      </c>
    </row>
    <row r="456" spans="1:19" x14ac:dyDescent="0.25">
      <c r="A456" s="72" t="s">
        <v>937</v>
      </c>
      <c r="B456" s="72" t="s">
        <v>781</v>
      </c>
      <c r="C456" s="72" t="s">
        <v>140</v>
      </c>
      <c r="D456" s="72" t="s">
        <v>813</v>
      </c>
      <c r="E456" s="72" t="s">
        <v>937</v>
      </c>
      <c r="F456" s="72" t="s">
        <v>938</v>
      </c>
      <c r="G456" s="72" t="s">
        <v>14</v>
      </c>
      <c r="H456" s="72" t="s">
        <v>983</v>
      </c>
      <c r="I456" s="72"/>
      <c r="J456" s="72"/>
      <c r="K456" s="72"/>
      <c r="L456" s="72"/>
      <c r="M456" s="72"/>
      <c r="N456" s="72"/>
      <c r="O456" s="72" t="s">
        <v>3141</v>
      </c>
      <c r="P456" s="72" t="s">
        <v>3344</v>
      </c>
      <c r="Q456" s="72" t="s">
        <v>3345</v>
      </c>
      <c r="R456" s="72" t="s">
        <v>3346</v>
      </c>
      <c r="S456" s="72" t="s">
        <v>19</v>
      </c>
    </row>
    <row r="457" spans="1:19" x14ac:dyDescent="0.25">
      <c r="A457" s="72" t="s">
        <v>939</v>
      </c>
      <c r="B457" s="72" t="s">
        <v>781</v>
      </c>
      <c r="C457" s="72" t="s">
        <v>96</v>
      </c>
      <c r="D457" s="72" t="s">
        <v>802</v>
      </c>
      <c r="E457" s="72" t="s">
        <v>939</v>
      </c>
      <c r="F457" s="72" t="s">
        <v>940</v>
      </c>
      <c r="G457" s="72" t="s">
        <v>14</v>
      </c>
      <c r="H457" s="72" t="s">
        <v>1459</v>
      </c>
      <c r="I457" s="72"/>
      <c r="J457" s="72"/>
      <c r="K457" s="72"/>
      <c r="L457" s="72"/>
      <c r="M457" s="72"/>
      <c r="N457" s="72"/>
      <c r="O457" s="72" t="s">
        <v>3159</v>
      </c>
      <c r="P457" s="72" t="s">
        <v>3258</v>
      </c>
      <c r="Q457" s="72" t="s">
        <v>3347</v>
      </c>
      <c r="R457" s="72" t="s">
        <v>3348</v>
      </c>
      <c r="S457" s="72" t="s">
        <v>1523</v>
      </c>
    </row>
    <row r="458" spans="1:19" x14ac:dyDescent="0.25">
      <c r="A458" s="72" t="s">
        <v>944</v>
      </c>
      <c r="B458" s="72" t="s">
        <v>781</v>
      </c>
      <c r="C458" s="72" t="s">
        <v>943</v>
      </c>
      <c r="D458" s="72" t="s">
        <v>831</v>
      </c>
      <c r="E458" s="72" t="s">
        <v>944</v>
      </c>
      <c r="F458" s="72" t="s">
        <v>945</v>
      </c>
      <c r="G458" s="72" t="s">
        <v>19</v>
      </c>
      <c r="H458" s="72" t="s">
        <v>983</v>
      </c>
      <c r="I458" s="72"/>
      <c r="J458" s="72"/>
      <c r="K458" s="72"/>
      <c r="L458" s="72"/>
      <c r="M458" s="72"/>
      <c r="N458" s="72"/>
      <c r="O458" s="72" t="s">
        <v>3195</v>
      </c>
      <c r="P458" s="72" t="s">
        <v>3349</v>
      </c>
      <c r="Q458" s="72" t="s">
        <v>3350</v>
      </c>
      <c r="R458" s="72" t="s">
        <v>3351</v>
      </c>
      <c r="S458" s="72" t="s">
        <v>19</v>
      </c>
    </row>
    <row r="459" spans="1:19" x14ac:dyDescent="0.25">
      <c r="A459" s="72" t="s">
        <v>950</v>
      </c>
      <c r="B459" s="72" t="s">
        <v>781</v>
      </c>
      <c r="C459" s="72" t="s">
        <v>140</v>
      </c>
      <c r="D459" s="72" t="s">
        <v>858</v>
      </c>
      <c r="E459" s="72" t="s">
        <v>950</v>
      </c>
      <c r="F459" s="72" t="s">
        <v>951</v>
      </c>
      <c r="G459" s="72" t="s">
        <v>28</v>
      </c>
      <c r="H459" s="72" t="s">
        <v>79</v>
      </c>
      <c r="I459" s="72"/>
      <c r="J459" s="72"/>
      <c r="K459" s="72"/>
      <c r="L459" s="72"/>
      <c r="M459" s="72"/>
      <c r="N459" s="72"/>
      <c r="O459" s="72" t="s">
        <v>1134</v>
      </c>
      <c r="P459" s="72" t="s">
        <v>3352</v>
      </c>
      <c r="Q459" s="72" t="s">
        <v>3353</v>
      </c>
      <c r="R459" s="72" t="s">
        <v>3354</v>
      </c>
      <c r="S459" s="72" t="s">
        <v>28</v>
      </c>
    </row>
    <row r="460" spans="1:19" x14ac:dyDescent="0.25">
      <c r="A460" s="72" t="s">
        <v>952</v>
      </c>
      <c r="B460" s="72" t="s">
        <v>781</v>
      </c>
      <c r="C460" s="72" t="s">
        <v>96</v>
      </c>
      <c r="D460" s="72" t="s">
        <v>855</v>
      </c>
      <c r="E460" s="72" t="s">
        <v>952</v>
      </c>
      <c r="F460" s="72" t="s">
        <v>953</v>
      </c>
      <c r="G460" s="72" t="s">
        <v>28</v>
      </c>
      <c r="H460" s="72" t="s">
        <v>79</v>
      </c>
      <c r="I460" s="72"/>
      <c r="J460" s="72"/>
      <c r="K460" s="72"/>
      <c r="L460" s="72"/>
      <c r="M460" s="72"/>
      <c r="N460" s="72"/>
      <c r="O460" s="72" t="s">
        <v>1415</v>
      </c>
      <c r="P460" s="72" t="s">
        <v>3355</v>
      </c>
      <c r="Q460" s="72" t="s">
        <v>3356</v>
      </c>
      <c r="R460" s="72" t="s">
        <v>3357</v>
      </c>
      <c r="S460" s="72" t="s">
        <v>28</v>
      </c>
    </row>
    <row r="461" spans="1:19" x14ac:dyDescent="0.25">
      <c r="A461" s="72" t="s">
        <v>1485</v>
      </c>
      <c r="B461" s="72" t="s">
        <v>781</v>
      </c>
      <c r="C461" s="72" t="s">
        <v>140</v>
      </c>
      <c r="D461" s="72" t="s">
        <v>811</v>
      </c>
      <c r="E461" s="72" t="s">
        <v>1485</v>
      </c>
      <c r="F461" s="72" t="s">
        <v>560</v>
      </c>
      <c r="G461" s="72" t="s">
        <v>19</v>
      </c>
      <c r="H461" s="72" t="s">
        <v>237</v>
      </c>
      <c r="I461" s="72"/>
      <c r="J461" s="72"/>
      <c r="K461" s="72"/>
      <c r="L461" s="72"/>
      <c r="M461" s="72"/>
      <c r="N461" s="72"/>
      <c r="O461" s="72" t="s">
        <v>2023</v>
      </c>
      <c r="P461" s="72" t="s">
        <v>3358</v>
      </c>
      <c r="Q461" s="72" t="s">
        <v>3359</v>
      </c>
      <c r="R461" s="72" t="s">
        <v>3360</v>
      </c>
      <c r="S461" s="72" t="s">
        <v>19</v>
      </c>
    </row>
    <row r="462" spans="1:19" x14ac:dyDescent="0.25">
      <c r="A462" s="72" t="s">
        <v>511</v>
      </c>
      <c r="B462" s="72" t="s">
        <v>781</v>
      </c>
      <c r="C462" s="72" t="s">
        <v>140</v>
      </c>
      <c r="D462" s="72" t="s">
        <v>919</v>
      </c>
      <c r="E462" s="72" t="s">
        <v>511</v>
      </c>
      <c r="F462" s="72" t="s">
        <v>512</v>
      </c>
      <c r="G462" s="72" t="s">
        <v>19</v>
      </c>
      <c r="H462" s="72" t="s">
        <v>83</v>
      </c>
      <c r="I462" s="72"/>
      <c r="J462" s="72"/>
      <c r="K462" s="72"/>
      <c r="L462" s="72"/>
      <c r="M462" s="72"/>
      <c r="N462" s="72"/>
      <c r="O462" s="72" t="s">
        <v>2587</v>
      </c>
      <c r="P462" s="72" t="s">
        <v>3361</v>
      </c>
      <c r="Q462" s="72" t="s">
        <v>3362</v>
      </c>
      <c r="R462" s="72" t="s">
        <v>3363</v>
      </c>
      <c r="S462" s="72" t="s">
        <v>19</v>
      </c>
    </row>
    <row r="463" spans="1:19" x14ac:dyDescent="0.25">
      <c r="A463" s="72" t="s">
        <v>956</v>
      </c>
      <c r="B463" s="72" t="s">
        <v>781</v>
      </c>
      <c r="C463" s="72" t="s">
        <v>140</v>
      </c>
      <c r="D463" s="72" t="s">
        <v>868</v>
      </c>
      <c r="E463" s="72" t="s">
        <v>956</v>
      </c>
      <c r="F463" s="72" t="s">
        <v>957</v>
      </c>
      <c r="G463" s="72" t="s">
        <v>19</v>
      </c>
      <c r="H463" s="72" t="s">
        <v>241</v>
      </c>
      <c r="I463" s="72"/>
      <c r="J463" s="72"/>
      <c r="K463" s="72"/>
      <c r="L463" s="72"/>
      <c r="M463" s="72"/>
      <c r="N463" s="72"/>
      <c r="O463" s="72" t="s">
        <v>1599</v>
      </c>
      <c r="P463" s="72" t="s">
        <v>3364</v>
      </c>
      <c r="Q463" s="72" t="s">
        <v>3365</v>
      </c>
      <c r="R463" s="72" t="s">
        <v>3366</v>
      </c>
      <c r="S463" s="72" t="s">
        <v>19</v>
      </c>
    </row>
    <row r="464" spans="1:19" x14ac:dyDescent="0.25">
      <c r="A464" s="72" t="s">
        <v>134</v>
      </c>
      <c r="B464" s="72" t="s">
        <v>781</v>
      </c>
      <c r="C464" s="72" t="s">
        <v>961</v>
      </c>
      <c r="D464" s="72" t="s">
        <v>133</v>
      </c>
      <c r="E464" s="72" t="s">
        <v>134</v>
      </c>
      <c r="F464" s="72" t="s">
        <v>135</v>
      </c>
      <c r="G464" s="72" t="s">
        <v>37</v>
      </c>
      <c r="H464" s="72" t="s">
        <v>132</v>
      </c>
      <c r="I464" s="72"/>
      <c r="J464" s="72"/>
      <c r="K464" s="72"/>
      <c r="L464" s="72"/>
      <c r="M464" s="72"/>
      <c r="N464" s="72"/>
      <c r="O464" s="72" t="s">
        <v>1584</v>
      </c>
      <c r="P464" s="72" t="s">
        <v>3367</v>
      </c>
      <c r="Q464" s="72" t="s">
        <v>3368</v>
      </c>
      <c r="R464" s="72" t="s">
        <v>3369</v>
      </c>
      <c r="S464" s="72" t="s">
        <v>37</v>
      </c>
    </row>
    <row r="465" spans="1:19" x14ac:dyDescent="0.25">
      <c r="A465" s="72" t="s">
        <v>963</v>
      </c>
      <c r="B465" s="72" t="s">
        <v>781</v>
      </c>
      <c r="C465" s="72" t="s">
        <v>962</v>
      </c>
      <c r="D465" s="72" t="s">
        <v>136</v>
      </c>
      <c r="E465" s="72" t="s">
        <v>963</v>
      </c>
      <c r="F465" s="72" t="s">
        <v>964</v>
      </c>
      <c r="G465" s="72" t="s">
        <v>37</v>
      </c>
      <c r="H465" s="72" t="s">
        <v>136</v>
      </c>
      <c r="I465" s="72"/>
      <c r="J465" s="72"/>
      <c r="K465" s="72"/>
      <c r="L465" s="72"/>
      <c r="M465" s="72"/>
      <c r="N465" s="72"/>
      <c r="O465" s="72" t="s">
        <v>3370</v>
      </c>
      <c r="P465" s="72" t="s">
        <v>3371</v>
      </c>
      <c r="Q465" s="72" t="s">
        <v>3372</v>
      </c>
      <c r="R465" s="72" t="s">
        <v>3371</v>
      </c>
      <c r="S465" s="72" t="s">
        <v>37</v>
      </c>
    </row>
    <row r="466" spans="1:19" x14ac:dyDescent="0.25">
      <c r="A466" s="72" t="s">
        <v>171</v>
      </c>
      <c r="B466" s="72" t="s">
        <v>781</v>
      </c>
      <c r="C466" s="72" t="s">
        <v>159</v>
      </c>
      <c r="D466" s="72" t="s">
        <v>129</v>
      </c>
      <c r="E466" s="72" t="s">
        <v>171</v>
      </c>
      <c r="F466" s="72" t="s">
        <v>172</v>
      </c>
      <c r="G466" s="72" t="s">
        <v>37</v>
      </c>
      <c r="H466" s="72" t="s">
        <v>42</v>
      </c>
      <c r="I466" s="72"/>
      <c r="J466" s="72"/>
      <c r="K466" s="72"/>
      <c r="L466" s="72"/>
      <c r="M466" s="72"/>
      <c r="N466" s="72"/>
      <c r="O466" s="72" t="s">
        <v>1576</v>
      </c>
      <c r="P466" s="72" t="s">
        <v>3373</v>
      </c>
      <c r="Q466" s="72" t="s">
        <v>3374</v>
      </c>
      <c r="R466" s="72" t="s">
        <v>3375</v>
      </c>
      <c r="S466" s="72" t="s">
        <v>37</v>
      </c>
    </row>
    <row r="467" spans="1:19" x14ac:dyDescent="0.25">
      <c r="A467" s="72" t="s">
        <v>181</v>
      </c>
      <c r="B467" s="72" t="s">
        <v>781</v>
      </c>
      <c r="C467" s="72" t="s">
        <v>177</v>
      </c>
      <c r="D467" s="72" t="s">
        <v>180</v>
      </c>
      <c r="E467" s="72" t="s">
        <v>181</v>
      </c>
      <c r="F467" s="72" t="s">
        <v>182</v>
      </c>
      <c r="G467" s="72" t="s">
        <v>37</v>
      </c>
      <c r="H467" s="72" t="s">
        <v>132</v>
      </c>
      <c r="I467" s="72"/>
      <c r="J467" s="72"/>
      <c r="K467" s="72"/>
      <c r="L467" s="72"/>
      <c r="M467" s="72"/>
      <c r="N467" s="72"/>
      <c r="O467" s="72" t="s">
        <v>1576</v>
      </c>
      <c r="P467" s="72" t="s">
        <v>3376</v>
      </c>
      <c r="Q467" s="72" t="s">
        <v>3377</v>
      </c>
      <c r="R467" s="72" t="s">
        <v>3378</v>
      </c>
      <c r="S467" s="72" t="s">
        <v>37</v>
      </c>
    </row>
    <row r="468" spans="1:19" x14ac:dyDescent="0.25">
      <c r="A468" s="72" t="s">
        <v>272</v>
      </c>
      <c r="B468" s="72" t="s">
        <v>781</v>
      </c>
      <c r="C468" s="72" t="s">
        <v>159</v>
      </c>
      <c r="D468" s="72" t="s">
        <v>34</v>
      </c>
      <c r="E468" s="72" t="s">
        <v>272</v>
      </c>
      <c r="F468" s="72" t="s">
        <v>273</v>
      </c>
      <c r="G468" s="72" t="s">
        <v>37</v>
      </c>
      <c r="H468" s="72" t="s">
        <v>38</v>
      </c>
      <c r="I468" s="72"/>
      <c r="J468" s="72"/>
      <c r="K468" s="72"/>
      <c r="L468" s="72"/>
      <c r="M468" s="72"/>
      <c r="N468" s="72"/>
      <c r="O468" s="72" t="s">
        <v>1862</v>
      </c>
      <c r="P468" s="72" t="s">
        <v>3379</v>
      </c>
      <c r="Q468" s="72" t="s">
        <v>3380</v>
      </c>
      <c r="R468" s="72" t="s">
        <v>3381</v>
      </c>
      <c r="S468" s="72" t="s">
        <v>37</v>
      </c>
    </row>
    <row r="469" spans="1:19" x14ac:dyDescent="0.25">
      <c r="A469" s="72" t="s">
        <v>164</v>
      </c>
      <c r="B469" s="72" t="s">
        <v>781</v>
      </c>
      <c r="C469" s="72" t="s">
        <v>159</v>
      </c>
      <c r="D469" s="72" t="s">
        <v>163</v>
      </c>
      <c r="E469" s="72" t="s">
        <v>164</v>
      </c>
      <c r="F469" s="72" t="s">
        <v>165</v>
      </c>
      <c r="G469" s="72" t="s">
        <v>37</v>
      </c>
      <c r="H469" s="72" t="s">
        <v>308</v>
      </c>
      <c r="I469" s="72"/>
      <c r="J469" s="72"/>
      <c r="K469" s="72"/>
      <c r="L469" s="72"/>
      <c r="M469" s="72"/>
      <c r="N469" s="72"/>
      <c r="O469" s="72" t="s">
        <v>1581</v>
      </c>
      <c r="P469" s="72" t="s">
        <v>3382</v>
      </c>
      <c r="Q469" s="72" t="s">
        <v>3383</v>
      </c>
      <c r="R469" s="72" t="s">
        <v>3384</v>
      </c>
      <c r="S469" s="72" t="s">
        <v>37</v>
      </c>
    </row>
    <row r="470" spans="1:19" x14ac:dyDescent="0.25">
      <c r="A470" s="72" t="s">
        <v>175</v>
      </c>
      <c r="B470" s="72" t="s">
        <v>781</v>
      </c>
      <c r="C470" s="72" t="s">
        <v>159</v>
      </c>
      <c r="D470" s="72" t="s">
        <v>39</v>
      </c>
      <c r="E470" s="72" t="s">
        <v>175</v>
      </c>
      <c r="F470" s="72" t="s">
        <v>176</v>
      </c>
      <c r="G470" s="72" t="s">
        <v>37</v>
      </c>
      <c r="H470" s="72" t="s">
        <v>38</v>
      </c>
      <c r="I470" s="72"/>
      <c r="J470" s="72"/>
      <c r="K470" s="72"/>
      <c r="L470" s="72"/>
      <c r="M470" s="72"/>
      <c r="N470" s="72"/>
      <c r="O470" s="72" t="s">
        <v>1584</v>
      </c>
      <c r="P470" s="72" t="s">
        <v>3379</v>
      </c>
      <c r="Q470" s="72" t="s">
        <v>3385</v>
      </c>
      <c r="R470" s="72" t="s">
        <v>3386</v>
      </c>
      <c r="S470" s="72" t="s">
        <v>37</v>
      </c>
    </row>
    <row r="471" spans="1:19" x14ac:dyDescent="0.25">
      <c r="A471" s="72" t="s">
        <v>623</v>
      </c>
      <c r="B471" s="72" t="s">
        <v>781</v>
      </c>
      <c r="C471" s="72" t="s">
        <v>159</v>
      </c>
      <c r="D471" s="72" t="s">
        <v>120</v>
      </c>
      <c r="E471" s="72" t="s">
        <v>623</v>
      </c>
      <c r="F471" s="72" t="s">
        <v>624</v>
      </c>
      <c r="G471" s="72" t="s">
        <v>37</v>
      </c>
      <c r="H471" s="72" t="s">
        <v>123</v>
      </c>
      <c r="I471" s="72"/>
      <c r="J471" s="72"/>
      <c r="K471" s="72"/>
      <c r="L471" s="72"/>
      <c r="M471" s="72"/>
      <c r="N471" s="72"/>
      <c r="O471" s="72" t="s">
        <v>2686</v>
      </c>
      <c r="P471" s="72" t="s">
        <v>3387</v>
      </c>
      <c r="Q471" s="72" t="s">
        <v>3388</v>
      </c>
      <c r="R471" s="72" t="s">
        <v>3389</v>
      </c>
      <c r="S471" s="72" t="s">
        <v>37</v>
      </c>
    </row>
    <row r="472" spans="1:19" x14ac:dyDescent="0.25">
      <c r="A472" s="72" t="s">
        <v>295</v>
      </c>
      <c r="B472" s="72" t="s">
        <v>781</v>
      </c>
      <c r="C472" s="72" t="s">
        <v>965</v>
      </c>
      <c r="D472" s="72" t="s">
        <v>133</v>
      </c>
      <c r="E472" s="72" t="s">
        <v>295</v>
      </c>
      <c r="F472" s="72" t="s">
        <v>296</v>
      </c>
      <c r="G472" s="72" t="s">
        <v>37</v>
      </c>
      <c r="H472" s="72" t="s">
        <v>132</v>
      </c>
      <c r="I472" s="72"/>
      <c r="J472" s="72"/>
      <c r="K472" s="72"/>
      <c r="L472" s="72"/>
      <c r="M472" s="72"/>
      <c r="N472" s="72"/>
      <c r="O472" s="72" t="s">
        <v>1849</v>
      </c>
      <c r="P472" s="72" t="s">
        <v>3390</v>
      </c>
      <c r="Q472" s="72" t="s">
        <v>3391</v>
      </c>
      <c r="R472" s="72" t="s">
        <v>1399</v>
      </c>
      <c r="S472" s="72" t="s">
        <v>37</v>
      </c>
    </row>
    <row r="473" spans="1:19" x14ac:dyDescent="0.25">
      <c r="A473" s="72" t="s">
        <v>966</v>
      </c>
      <c r="B473" s="72" t="s">
        <v>781</v>
      </c>
      <c r="C473" s="72" t="s">
        <v>128</v>
      </c>
      <c r="D473" s="72" t="s">
        <v>136</v>
      </c>
      <c r="E473" s="72" t="s">
        <v>966</v>
      </c>
      <c r="F473" s="72" t="s">
        <v>967</v>
      </c>
      <c r="G473" s="72" t="s">
        <v>37</v>
      </c>
      <c r="H473" s="72" t="s">
        <v>136</v>
      </c>
      <c r="I473" s="72"/>
      <c r="J473" s="72"/>
      <c r="K473" s="72"/>
      <c r="L473" s="72"/>
      <c r="M473" s="72"/>
      <c r="N473" s="72"/>
      <c r="O473" s="72" t="s">
        <v>3370</v>
      </c>
      <c r="P473" s="72" t="s">
        <v>3392</v>
      </c>
      <c r="Q473" s="72" t="s">
        <v>3393</v>
      </c>
      <c r="R473" s="72" t="s">
        <v>3392</v>
      </c>
      <c r="S473" s="72" t="s">
        <v>37</v>
      </c>
    </row>
    <row r="474" spans="1:19" x14ac:dyDescent="0.25">
      <c r="A474" s="72" t="s">
        <v>423</v>
      </c>
      <c r="B474" s="72" t="s">
        <v>781</v>
      </c>
      <c r="C474" s="72" t="s">
        <v>968</v>
      </c>
      <c r="D474" s="72" t="s">
        <v>133</v>
      </c>
      <c r="E474" s="72" t="s">
        <v>423</v>
      </c>
      <c r="F474" s="72" t="s">
        <v>424</v>
      </c>
      <c r="G474" s="72" t="s">
        <v>37</v>
      </c>
      <c r="H474" s="72" t="s">
        <v>132</v>
      </c>
      <c r="I474" s="72"/>
      <c r="J474" s="72"/>
      <c r="K474" s="72"/>
      <c r="L474" s="72"/>
      <c r="M474" s="72"/>
      <c r="N474" s="72"/>
      <c r="O474" s="72" t="s">
        <v>1548</v>
      </c>
      <c r="P474" s="72" t="s">
        <v>3394</v>
      </c>
      <c r="Q474" s="72" t="s">
        <v>3395</v>
      </c>
      <c r="R474" s="72" t="s">
        <v>1400</v>
      </c>
      <c r="S474" s="72" t="s">
        <v>37</v>
      </c>
    </row>
    <row r="475" spans="1:19" x14ac:dyDescent="0.25">
      <c r="A475" s="72" t="s">
        <v>969</v>
      </c>
      <c r="B475" s="72" t="s">
        <v>781</v>
      </c>
      <c r="C475" s="72" t="s">
        <v>968</v>
      </c>
      <c r="D475" s="72" t="s">
        <v>136</v>
      </c>
      <c r="E475" s="72" t="s">
        <v>969</v>
      </c>
      <c r="F475" s="72" t="s">
        <v>970</v>
      </c>
      <c r="G475" s="72" t="s">
        <v>37</v>
      </c>
      <c r="H475" s="72" t="s">
        <v>136</v>
      </c>
      <c r="I475" s="72"/>
      <c r="J475" s="72"/>
      <c r="K475" s="72"/>
      <c r="L475" s="72"/>
      <c r="M475" s="72"/>
      <c r="N475" s="72"/>
      <c r="O475" s="72"/>
      <c r="P475" s="72" t="s">
        <v>3396</v>
      </c>
      <c r="Q475" s="72"/>
      <c r="R475" s="72" t="s">
        <v>3396</v>
      </c>
      <c r="S475" s="72"/>
    </row>
    <row r="476" spans="1:19" x14ac:dyDescent="0.25">
      <c r="A476" s="72" t="s">
        <v>161</v>
      </c>
      <c r="B476" s="72" t="s">
        <v>781</v>
      </c>
      <c r="C476" s="72" t="s">
        <v>128</v>
      </c>
      <c r="D476" s="72" t="s">
        <v>160</v>
      </c>
      <c r="E476" s="72" t="s">
        <v>161</v>
      </c>
      <c r="F476" s="72" t="s">
        <v>162</v>
      </c>
      <c r="G476" s="72" t="s">
        <v>37</v>
      </c>
      <c r="H476" s="72" t="s">
        <v>308</v>
      </c>
      <c r="I476" s="72"/>
      <c r="J476" s="72"/>
      <c r="K476" s="72"/>
      <c r="L476" s="72"/>
      <c r="M476" s="72"/>
      <c r="N476" s="72"/>
      <c r="O476" s="72" t="s">
        <v>1548</v>
      </c>
      <c r="P476" s="72" t="s">
        <v>3397</v>
      </c>
      <c r="Q476" s="72" t="s">
        <v>3398</v>
      </c>
      <c r="R476" s="72" t="s">
        <v>3399</v>
      </c>
      <c r="S476" s="72" t="s">
        <v>37</v>
      </c>
    </row>
    <row r="477" spans="1:19" x14ac:dyDescent="0.25">
      <c r="A477" s="72" t="s">
        <v>1401</v>
      </c>
      <c r="B477" s="72" t="s">
        <v>781</v>
      </c>
      <c r="C477" s="72" t="s">
        <v>128</v>
      </c>
      <c r="D477" s="72" t="s">
        <v>129</v>
      </c>
      <c r="E477" s="72" t="s">
        <v>1401</v>
      </c>
      <c r="F477" s="72" t="s">
        <v>294</v>
      </c>
      <c r="G477" s="72" t="s">
        <v>37</v>
      </c>
      <c r="H477" s="72" t="s">
        <v>42</v>
      </c>
      <c r="I477" s="72"/>
      <c r="J477" s="72"/>
      <c r="K477" s="72"/>
      <c r="L477" s="72"/>
      <c r="M477" s="72"/>
      <c r="N477" s="72"/>
      <c r="O477" s="72" t="s">
        <v>1424</v>
      </c>
      <c r="P477" s="72" t="s">
        <v>3400</v>
      </c>
      <c r="Q477" s="72" t="s">
        <v>3401</v>
      </c>
      <c r="R477" s="72" t="s">
        <v>3402</v>
      </c>
      <c r="S477" s="72" t="s">
        <v>37</v>
      </c>
    </row>
    <row r="478" spans="1:19" x14ac:dyDescent="0.25">
      <c r="A478" s="72" t="s">
        <v>425</v>
      </c>
      <c r="B478" s="72" t="s">
        <v>781</v>
      </c>
      <c r="C478" s="72" t="s">
        <v>128</v>
      </c>
      <c r="D478" s="72" t="s">
        <v>180</v>
      </c>
      <c r="E478" s="72" t="s">
        <v>425</v>
      </c>
      <c r="F478" s="72" t="s">
        <v>426</v>
      </c>
      <c r="G478" s="72" t="s">
        <v>37</v>
      </c>
      <c r="H478" s="72" t="s">
        <v>132</v>
      </c>
      <c r="I478" s="72"/>
      <c r="J478" s="72"/>
      <c r="K478" s="72"/>
      <c r="L478" s="72"/>
      <c r="M478" s="72"/>
      <c r="N478" s="72"/>
      <c r="O478" s="72" t="s">
        <v>1411</v>
      </c>
      <c r="P478" s="72" t="s">
        <v>3403</v>
      </c>
      <c r="Q478" s="72" t="s">
        <v>3404</v>
      </c>
      <c r="R478" s="72" t="s">
        <v>3405</v>
      </c>
      <c r="S478" s="72" t="s">
        <v>37</v>
      </c>
    </row>
    <row r="479" spans="1:19" x14ac:dyDescent="0.25">
      <c r="A479" s="72" t="s">
        <v>35</v>
      </c>
      <c r="B479" s="72" t="s">
        <v>781</v>
      </c>
      <c r="C479" s="72" t="s">
        <v>128</v>
      </c>
      <c r="D479" s="72" t="s">
        <v>34</v>
      </c>
      <c r="E479" s="72" t="s">
        <v>35</v>
      </c>
      <c r="F479" s="72" t="s">
        <v>36</v>
      </c>
      <c r="G479" s="72" t="s">
        <v>37</v>
      </c>
      <c r="H479" s="72" t="s">
        <v>38</v>
      </c>
      <c r="I479" s="72"/>
      <c r="J479" s="72"/>
      <c r="K479" s="72"/>
      <c r="L479" s="72"/>
      <c r="M479" s="72"/>
      <c r="N479" s="72"/>
      <c r="O479" s="72" t="s">
        <v>1580</v>
      </c>
      <c r="P479" s="72" t="s">
        <v>3406</v>
      </c>
      <c r="Q479" s="72" t="s">
        <v>3407</v>
      </c>
      <c r="R479" s="72" t="s">
        <v>3408</v>
      </c>
      <c r="S479" s="72" t="s">
        <v>37</v>
      </c>
    </row>
    <row r="480" spans="1:19" x14ac:dyDescent="0.25">
      <c r="A480" s="72" t="s">
        <v>130</v>
      </c>
      <c r="B480" s="72" t="s">
        <v>781</v>
      </c>
      <c r="C480" s="72" t="s">
        <v>177</v>
      </c>
      <c r="D480" s="72" t="s">
        <v>129</v>
      </c>
      <c r="E480" s="72" t="s">
        <v>130</v>
      </c>
      <c r="F480" s="72" t="s">
        <v>131</v>
      </c>
      <c r="G480" s="72" t="s">
        <v>37</v>
      </c>
      <c r="H480" s="72" t="s">
        <v>42</v>
      </c>
      <c r="I480" s="72"/>
      <c r="J480" s="72"/>
      <c r="K480" s="72"/>
      <c r="L480" s="72"/>
      <c r="M480" s="72"/>
      <c r="N480" s="72"/>
      <c r="O480" s="72" t="s">
        <v>1581</v>
      </c>
      <c r="P480" s="72" t="s">
        <v>3409</v>
      </c>
      <c r="Q480" s="72" t="s">
        <v>3410</v>
      </c>
      <c r="R480" s="72" t="s">
        <v>3411</v>
      </c>
      <c r="S480" s="72" t="s">
        <v>37</v>
      </c>
    </row>
    <row r="481" spans="1:19" x14ac:dyDescent="0.25">
      <c r="A481" s="72" t="s">
        <v>175</v>
      </c>
      <c r="B481" s="72" t="s">
        <v>781</v>
      </c>
      <c r="C481" s="72" t="s">
        <v>128</v>
      </c>
      <c r="D481" s="72" t="s">
        <v>39</v>
      </c>
      <c r="E481" s="72" t="s">
        <v>175</v>
      </c>
      <c r="F481" s="72" t="s">
        <v>176</v>
      </c>
      <c r="G481" s="72" t="s">
        <v>37</v>
      </c>
      <c r="H481" s="72" t="s">
        <v>38</v>
      </c>
      <c r="I481" s="72"/>
      <c r="J481" s="72"/>
      <c r="K481" s="72"/>
      <c r="L481" s="72"/>
      <c r="M481" s="72"/>
      <c r="N481" s="72"/>
      <c r="O481" s="72" t="s">
        <v>1584</v>
      </c>
      <c r="P481" s="72" t="s">
        <v>3406</v>
      </c>
      <c r="Q481" s="72" t="s">
        <v>3412</v>
      </c>
      <c r="R481" s="72" t="s">
        <v>3413</v>
      </c>
      <c r="S481" s="72" t="s">
        <v>37</v>
      </c>
    </row>
    <row r="482" spans="1:19" x14ac:dyDescent="0.25">
      <c r="A482" s="72" t="s">
        <v>623</v>
      </c>
      <c r="B482" s="72" t="s">
        <v>781</v>
      </c>
      <c r="C482" s="72" t="s">
        <v>128</v>
      </c>
      <c r="D482" s="72" t="s">
        <v>120</v>
      </c>
      <c r="E482" s="72" t="s">
        <v>623</v>
      </c>
      <c r="F482" s="72" t="s">
        <v>624</v>
      </c>
      <c r="G482" s="72" t="s">
        <v>37</v>
      </c>
      <c r="H482" s="72" t="s">
        <v>123</v>
      </c>
      <c r="I482" s="72"/>
      <c r="J482" s="72"/>
      <c r="K482" s="72"/>
      <c r="L482" s="72"/>
      <c r="M482" s="72"/>
      <c r="N482" s="72"/>
      <c r="O482" s="72" t="s">
        <v>2686</v>
      </c>
      <c r="P482" s="72" t="s">
        <v>3414</v>
      </c>
      <c r="Q482" s="72" t="s">
        <v>3415</v>
      </c>
      <c r="R482" s="72" t="s">
        <v>3416</v>
      </c>
      <c r="S482" s="72" t="s">
        <v>37</v>
      </c>
    </row>
    <row r="483" spans="1:19" x14ac:dyDescent="0.25">
      <c r="A483" s="72" t="s">
        <v>430</v>
      </c>
      <c r="B483" s="72" t="s">
        <v>781</v>
      </c>
      <c r="C483" s="72" t="s">
        <v>971</v>
      </c>
      <c r="D483" s="72" t="s">
        <v>133</v>
      </c>
      <c r="E483" s="72" t="s">
        <v>430</v>
      </c>
      <c r="F483" s="72" t="s">
        <v>431</v>
      </c>
      <c r="G483" s="72" t="s">
        <v>37</v>
      </c>
      <c r="H483" s="72" t="s">
        <v>132</v>
      </c>
      <c r="I483" s="72"/>
      <c r="J483" s="72"/>
      <c r="K483" s="72"/>
      <c r="L483" s="72"/>
      <c r="M483" s="72"/>
      <c r="N483" s="72"/>
      <c r="O483" s="72" t="s">
        <v>1418</v>
      </c>
      <c r="P483" s="72" t="s">
        <v>3417</v>
      </c>
      <c r="Q483" s="72" t="s">
        <v>3418</v>
      </c>
      <c r="R483" s="72" t="s">
        <v>3419</v>
      </c>
      <c r="S483" s="72" t="s">
        <v>37</v>
      </c>
    </row>
    <row r="484" spans="1:19" x14ac:dyDescent="0.25">
      <c r="A484" s="72" t="s">
        <v>972</v>
      </c>
      <c r="B484" s="72" t="s">
        <v>781</v>
      </c>
      <c r="C484" s="72" t="s">
        <v>177</v>
      </c>
      <c r="D484" s="72" t="s">
        <v>823</v>
      </c>
      <c r="E484" s="72" t="s">
        <v>972</v>
      </c>
      <c r="F484" s="72" t="s">
        <v>973</v>
      </c>
      <c r="G484" s="72" t="s">
        <v>37</v>
      </c>
      <c r="H484" s="72" t="s">
        <v>136</v>
      </c>
      <c r="I484" s="72"/>
      <c r="J484" s="72"/>
      <c r="K484" s="72"/>
      <c r="L484" s="72"/>
      <c r="M484" s="72"/>
      <c r="N484" s="72"/>
      <c r="O484" s="72" t="s">
        <v>2686</v>
      </c>
      <c r="P484" s="72" t="s">
        <v>3420</v>
      </c>
      <c r="Q484" s="72" t="s">
        <v>3421</v>
      </c>
      <c r="R484" s="72" t="s">
        <v>3422</v>
      </c>
      <c r="S484" s="72" t="s">
        <v>37</v>
      </c>
    </row>
    <row r="485" spans="1:19" x14ac:dyDescent="0.25">
      <c r="A485" s="72" t="s">
        <v>974</v>
      </c>
      <c r="B485" s="72" t="s">
        <v>781</v>
      </c>
      <c r="C485" s="72" t="s">
        <v>177</v>
      </c>
      <c r="D485" s="72" t="s">
        <v>136</v>
      </c>
      <c r="E485" s="72" t="s">
        <v>974</v>
      </c>
      <c r="F485" s="72" t="s">
        <v>975</v>
      </c>
      <c r="G485" s="72" t="s">
        <v>37</v>
      </c>
      <c r="H485" s="72" t="s">
        <v>136</v>
      </c>
      <c r="I485" s="72"/>
      <c r="J485" s="72"/>
      <c r="K485" s="72"/>
      <c r="L485" s="72"/>
      <c r="M485" s="72"/>
      <c r="N485" s="72"/>
      <c r="O485" s="72" t="s">
        <v>1417</v>
      </c>
      <c r="P485" s="72" t="s">
        <v>3420</v>
      </c>
      <c r="Q485" s="72" t="s">
        <v>3423</v>
      </c>
      <c r="R485" s="72" t="s">
        <v>3420</v>
      </c>
      <c r="S485" s="72" t="s">
        <v>37</v>
      </c>
    </row>
    <row r="486" spans="1:19" x14ac:dyDescent="0.25">
      <c r="A486" s="72" t="s">
        <v>428</v>
      </c>
      <c r="B486" s="72" t="s">
        <v>781</v>
      </c>
      <c r="C486" s="72" t="s">
        <v>177</v>
      </c>
      <c r="D486" s="72" t="s">
        <v>120</v>
      </c>
      <c r="E486" s="72" t="s">
        <v>428</v>
      </c>
      <c r="F486" s="72" t="s">
        <v>429</v>
      </c>
      <c r="G486" s="72" t="s">
        <v>37</v>
      </c>
      <c r="H486" s="72" t="s">
        <v>123</v>
      </c>
      <c r="I486" s="72"/>
      <c r="J486" s="72"/>
      <c r="K486" s="72"/>
      <c r="L486" s="72"/>
      <c r="M486" s="72"/>
      <c r="N486" s="72"/>
      <c r="O486" s="72" t="s">
        <v>1548</v>
      </c>
      <c r="P486" s="72" t="s">
        <v>3424</v>
      </c>
      <c r="Q486" s="72" t="s">
        <v>3425</v>
      </c>
      <c r="R486" s="72" t="s">
        <v>3426</v>
      </c>
      <c r="S486" s="72" t="s">
        <v>37</v>
      </c>
    </row>
    <row r="487" spans="1:19" x14ac:dyDescent="0.25">
      <c r="A487" s="72" t="s">
        <v>976</v>
      </c>
      <c r="B487" s="72" t="s">
        <v>781</v>
      </c>
      <c r="C487" s="72" t="s">
        <v>177</v>
      </c>
      <c r="D487" s="72" t="s">
        <v>136</v>
      </c>
      <c r="E487" s="72" t="s">
        <v>976</v>
      </c>
      <c r="F487" s="72" t="s">
        <v>977</v>
      </c>
      <c r="G487" s="72" t="s">
        <v>37</v>
      </c>
      <c r="H487" s="72" t="s">
        <v>308</v>
      </c>
      <c r="I487" s="72"/>
      <c r="J487" s="72"/>
      <c r="K487" s="72"/>
      <c r="L487" s="72"/>
      <c r="M487" s="72"/>
      <c r="N487" s="72"/>
      <c r="O487" s="72" t="s">
        <v>1550</v>
      </c>
      <c r="P487" s="72" t="s">
        <v>3427</v>
      </c>
      <c r="Q487" s="72" t="s">
        <v>3428</v>
      </c>
      <c r="R487" s="72" t="s">
        <v>3420</v>
      </c>
      <c r="S487" s="72" t="s">
        <v>37</v>
      </c>
    </row>
    <row r="488" spans="1:19" x14ac:dyDescent="0.25">
      <c r="A488" s="72" t="s">
        <v>302</v>
      </c>
      <c r="B488" s="72" t="s">
        <v>781</v>
      </c>
      <c r="C488" s="72" t="s">
        <v>978</v>
      </c>
      <c r="D488" s="72" t="s">
        <v>180</v>
      </c>
      <c r="E488" s="72" t="s">
        <v>302</v>
      </c>
      <c r="F488" s="72" t="s">
        <v>303</v>
      </c>
      <c r="G488" s="72" t="s">
        <v>37</v>
      </c>
      <c r="H488" s="72" t="s">
        <v>308</v>
      </c>
      <c r="I488" s="72"/>
      <c r="J488" s="72"/>
      <c r="K488" s="72"/>
      <c r="L488" s="72"/>
      <c r="M488" s="72"/>
      <c r="N488" s="72"/>
      <c r="O488" s="72" t="s">
        <v>1862</v>
      </c>
      <c r="P488" s="72" t="s">
        <v>3429</v>
      </c>
      <c r="Q488" s="72" t="s">
        <v>3430</v>
      </c>
      <c r="R488" s="72" t="s">
        <v>3431</v>
      </c>
      <c r="S488" s="72" t="s">
        <v>37</v>
      </c>
    </row>
    <row r="489" spans="1:19" x14ac:dyDescent="0.25">
      <c r="A489" s="72" t="s">
        <v>980</v>
      </c>
      <c r="B489" s="72" t="s">
        <v>781</v>
      </c>
      <c r="C489" s="72" t="s">
        <v>177</v>
      </c>
      <c r="D489" s="72" t="s">
        <v>979</v>
      </c>
      <c r="E489" s="72" t="s">
        <v>980</v>
      </c>
      <c r="F489" s="72" t="s">
        <v>981</v>
      </c>
      <c r="G489" s="72" t="s">
        <v>37</v>
      </c>
      <c r="H489" s="72" t="s">
        <v>136</v>
      </c>
      <c r="I489" s="72"/>
      <c r="J489" s="72"/>
      <c r="K489" s="72"/>
      <c r="L489" s="72"/>
      <c r="M489" s="72"/>
      <c r="N489" s="72"/>
      <c r="O489" s="72" t="s">
        <v>1413</v>
      </c>
      <c r="P489" s="72" t="s">
        <v>3420</v>
      </c>
      <c r="Q489" s="72" t="s">
        <v>3432</v>
      </c>
      <c r="R489" s="72" t="s">
        <v>3433</v>
      </c>
      <c r="S489" s="72" t="s">
        <v>37</v>
      </c>
    </row>
    <row r="490" spans="1:19" x14ac:dyDescent="0.25">
      <c r="A490" s="72" t="s">
        <v>201</v>
      </c>
      <c r="B490" s="72" t="s">
        <v>781</v>
      </c>
      <c r="C490" s="72" t="s">
        <v>177</v>
      </c>
      <c r="D490" s="72" t="s">
        <v>163</v>
      </c>
      <c r="E490" s="72" t="s">
        <v>201</v>
      </c>
      <c r="F490" s="72" t="s">
        <v>202</v>
      </c>
      <c r="G490" s="72" t="s">
        <v>37</v>
      </c>
      <c r="H490" s="72" t="s">
        <v>793</v>
      </c>
      <c r="I490" s="72"/>
      <c r="J490" s="72"/>
      <c r="K490" s="72"/>
      <c r="L490" s="72"/>
      <c r="M490" s="72"/>
      <c r="N490" s="72"/>
      <c r="O490" s="72" t="s">
        <v>1580</v>
      </c>
      <c r="P490" s="72" t="s">
        <v>3434</v>
      </c>
      <c r="Q490" s="72" t="s">
        <v>3435</v>
      </c>
      <c r="R490" s="72" t="s">
        <v>3436</v>
      </c>
      <c r="S490" s="72" t="s">
        <v>37</v>
      </c>
    </row>
    <row r="491" spans="1:19" x14ac:dyDescent="0.25">
      <c r="A491" s="72" t="s">
        <v>164</v>
      </c>
      <c r="B491" s="72" t="s">
        <v>781</v>
      </c>
      <c r="C491" s="72" t="s">
        <v>128</v>
      </c>
      <c r="D491" s="72" t="s">
        <v>163</v>
      </c>
      <c r="E491" s="72" t="s">
        <v>164</v>
      </c>
      <c r="F491" s="72" t="s">
        <v>165</v>
      </c>
      <c r="G491" s="72" t="s">
        <v>37</v>
      </c>
      <c r="H491" s="72" t="s">
        <v>42</v>
      </c>
      <c r="I491" s="72"/>
      <c r="J491" s="72"/>
      <c r="K491" s="72"/>
      <c r="L491" s="72"/>
      <c r="M491" s="72"/>
      <c r="N491" s="72"/>
      <c r="O491" s="72" t="s">
        <v>1581</v>
      </c>
      <c r="P491" s="72" t="s">
        <v>3400</v>
      </c>
      <c r="Q491" s="72" t="s">
        <v>3437</v>
      </c>
      <c r="R491" s="72" t="s">
        <v>3438</v>
      </c>
      <c r="S491" s="72" t="s">
        <v>37</v>
      </c>
    </row>
    <row r="492" spans="1:19" x14ac:dyDescent="0.25">
      <c r="A492" s="72" t="s">
        <v>203</v>
      </c>
      <c r="B492" s="72" t="s">
        <v>781</v>
      </c>
      <c r="C492" s="72" t="s">
        <v>177</v>
      </c>
      <c r="D492" s="72" t="s">
        <v>34</v>
      </c>
      <c r="E492" s="72" t="s">
        <v>203</v>
      </c>
      <c r="F492" s="72" t="s">
        <v>204</v>
      </c>
      <c r="G492" s="72" t="s">
        <v>37</v>
      </c>
      <c r="H492" s="72" t="s">
        <v>38</v>
      </c>
      <c r="I492" s="72"/>
      <c r="J492" s="72"/>
      <c r="K492" s="72"/>
      <c r="L492" s="72"/>
      <c r="M492" s="72"/>
      <c r="N492" s="72"/>
      <c r="O492" s="72" t="s">
        <v>1582</v>
      </c>
      <c r="P492" s="72" t="s">
        <v>3439</v>
      </c>
      <c r="Q492" s="72" t="s">
        <v>3440</v>
      </c>
      <c r="R492" s="72" t="s">
        <v>3441</v>
      </c>
      <c r="S492" s="72" t="s">
        <v>37</v>
      </c>
    </row>
    <row r="493" spans="1:19" x14ac:dyDescent="0.25">
      <c r="A493" s="72" t="s">
        <v>185</v>
      </c>
      <c r="B493" s="72" t="s">
        <v>781</v>
      </c>
      <c r="C493" s="72" t="s">
        <v>177</v>
      </c>
      <c r="D493" s="72" t="s">
        <v>39</v>
      </c>
      <c r="E493" s="72" t="s">
        <v>185</v>
      </c>
      <c r="F493" s="72" t="s">
        <v>186</v>
      </c>
      <c r="G493" s="72" t="s">
        <v>37</v>
      </c>
      <c r="H493" s="72" t="s">
        <v>38</v>
      </c>
      <c r="I493" s="72"/>
      <c r="J493" s="72"/>
      <c r="K493" s="72"/>
      <c r="L493" s="72"/>
      <c r="M493" s="72"/>
      <c r="N493" s="72"/>
      <c r="O493" s="72" t="s">
        <v>1424</v>
      </c>
      <c r="P493" s="72" t="s">
        <v>3439</v>
      </c>
      <c r="Q493" s="72" t="s">
        <v>3442</v>
      </c>
      <c r="R493" s="72" t="s">
        <v>3443</v>
      </c>
      <c r="S493" s="72" t="s">
        <v>37</v>
      </c>
    </row>
    <row r="494" spans="1:19" x14ac:dyDescent="0.25">
      <c r="A494" s="72" t="s">
        <v>993</v>
      </c>
      <c r="B494" s="72" t="s">
        <v>781</v>
      </c>
      <c r="C494" s="72" t="s">
        <v>47</v>
      </c>
      <c r="D494" s="72" t="s">
        <v>880</v>
      </c>
      <c r="E494" s="72" t="s">
        <v>993</v>
      </c>
      <c r="F494" s="72" t="s">
        <v>994</v>
      </c>
      <c r="G494" s="72" t="s">
        <v>14</v>
      </c>
      <c r="H494" s="72" t="s">
        <v>1662</v>
      </c>
      <c r="I494" s="72"/>
      <c r="J494" s="72"/>
      <c r="K494" s="72"/>
      <c r="L494" s="72"/>
      <c r="M494" s="72"/>
      <c r="N494" s="72"/>
      <c r="O494" s="72" t="s">
        <v>3159</v>
      </c>
      <c r="P494" s="72" t="s">
        <v>3444</v>
      </c>
      <c r="Q494" s="72" t="s">
        <v>3445</v>
      </c>
      <c r="R494" s="72" t="s">
        <v>3446</v>
      </c>
      <c r="S494" s="72" t="s">
        <v>1523</v>
      </c>
    </row>
    <row r="495" spans="1:19" x14ac:dyDescent="0.25">
      <c r="A495" s="72" t="s">
        <v>995</v>
      </c>
      <c r="B495" s="72" t="s">
        <v>781</v>
      </c>
      <c r="C495" s="72" t="s">
        <v>10</v>
      </c>
      <c r="D495" s="72" t="s">
        <v>816</v>
      </c>
      <c r="E495" s="72" t="s">
        <v>995</v>
      </c>
      <c r="F495" s="72" t="s">
        <v>996</v>
      </c>
      <c r="G495" s="72" t="s">
        <v>28</v>
      </c>
      <c r="H495" s="72" t="s">
        <v>83</v>
      </c>
      <c r="I495" s="72"/>
      <c r="J495" s="72"/>
      <c r="K495" s="72"/>
      <c r="L495" s="72"/>
      <c r="M495" s="72"/>
      <c r="N495" s="72"/>
      <c r="O495" s="72" t="s">
        <v>2521</v>
      </c>
      <c r="P495" s="72" t="s">
        <v>3447</v>
      </c>
      <c r="Q495" s="72" t="s">
        <v>3448</v>
      </c>
      <c r="R495" s="72" t="s">
        <v>3449</v>
      </c>
      <c r="S495" s="72" t="s">
        <v>28</v>
      </c>
    </row>
    <row r="496" spans="1:19" x14ac:dyDescent="0.25">
      <c r="A496" s="72" t="s">
        <v>697</v>
      </c>
      <c r="B496" s="72" t="s">
        <v>781</v>
      </c>
      <c r="C496" s="72" t="s">
        <v>96</v>
      </c>
      <c r="D496" s="72" t="s">
        <v>811</v>
      </c>
      <c r="E496" s="72" t="s">
        <v>697</v>
      </c>
      <c r="F496" s="72" t="s">
        <v>698</v>
      </c>
      <c r="G496" s="72" t="s">
        <v>19</v>
      </c>
      <c r="H496" s="72" t="s">
        <v>20</v>
      </c>
      <c r="I496" s="72"/>
      <c r="J496" s="72"/>
      <c r="K496" s="72"/>
      <c r="L496" s="72"/>
      <c r="M496" s="72"/>
      <c r="N496" s="72"/>
      <c r="O496" s="72" t="s">
        <v>1564</v>
      </c>
      <c r="P496" s="72" t="s">
        <v>3450</v>
      </c>
      <c r="Q496" s="72" t="s">
        <v>3451</v>
      </c>
      <c r="R496" s="72" t="s">
        <v>3452</v>
      </c>
      <c r="S496" s="72" t="s">
        <v>19</v>
      </c>
    </row>
    <row r="497" spans="1:19" x14ac:dyDescent="0.25">
      <c r="A497" s="72" t="s">
        <v>1002</v>
      </c>
      <c r="B497" s="72" t="s">
        <v>781</v>
      </c>
      <c r="C497" s="72" t="s">
        <v>96</v>
      </c>
      <c r="D497" s="72" t="s">
        <v>1001</v>
      </c>
      <c r="E497" s="72" t="s">
        <v>1002</v>
      </c>
      <c r="F497" s="72" t="s">
        <v>381</v>
      </c>
      <c r="G497" s="72" t="s">
        <v>19</v>
      </c>
      <c r="H497" s="72" t="s">
        <v>20</v>
      </c>
      <c r="I497" s="72"/>
      <c r="J497" s="72"/>
      <c r="K497" s="72"/>
      <c r="L497" s="72"/>
      <c r="M497" s="72"/>
      <c r="N497" s="72"/>
      <c r="O497" s="72" t="s">
        <v>1831</v>
      </c>
      <c r="P497" s="72" t="s">
        <v>3450</v>
      </c>
      <c r="Q497" s="72" t="s">
        <v>3453</v>
      </c>
      <c r="R497" s="72" t="s">
        <v>3454</v>
      </c>
      <c r="S497" s="72" t="s">
        <v>19</v>
      </c>
    </row>
    <row r="498" spans="1:19" x14ac:dyDescent="0.25">
      <c r="A498" s="72" t="s">
        <v>669</v>
      </c>
      <c r="B498" s="72" t="s">
        <v>781</v>
      </c>
      <c r="C498" s="72" t="s">
        <v>47</v>
      </c>
      <c r="D498" s="72" t="s">
        <v>805</v>
      </c>
      <c r="E498" s="72" t="s">
        <v>669</v>
      </c>
      <c r="F498" s="72" t="s">
        <v>670</v>
      </c>
      <c r="G498" s="72" t="s">
        <v>14</v>
      </c>
      <c r="H498" s="72" t="s">
        <v>1456</v>
      </c>
      <c r="I498" s="72"/>
      <c r="J498" s="72"/>
      <c r="K498" s="72"/>
      <c r="L498" s="72"/>
      <c r="M498" s="72"/>
      <c r="N498" s="72"/>
      <c r="O498" s="72" t="s">
        <v>2849</v>
      </c>
      <c r="P498" s="72" t="s">
        <v>3455</v>
      </c>
      <c r="Q498" s="72" t="s">
        <v>3456</v>
      </c>
      <c r="R498" s="72" t="s">
        <v>3457</v>
      </c>
      <c r="S498" s="72" t="s">
        <v>1523</v>
      </c>
    </row>
    <row r="499" spans="1:19" x14ac:dyDescent="0.25">
      <c r="A499" s="72" t="s">
        <v>406</v>
      </c>
      <c r="B499" s="72" t="s">
        <v>781</v>
      </c>
      <c r="C499" s="72" t="s">
        <v>140</v>
      </c>
      <c r="D499" s="72" t="s">
        <v>802</v>
      </c>
      <c r="E499" s="72" t="s">
        <v>406</v>
      </c>
      <c r="F499" s="72" t="s">
        <v>1009</v>
      </c>
      <c r="G499" s="72" t="s">
        <v>14</v>
      </c>
      <c r="H499" s="72" t="s">
        <v>1457</v>
      </c>
      <c r="I499" s="72"/>
      <c r="J499" s="72"/>
      <c r="K499" s="72"/>
      <c r="L499" s="72"/>
      <c r="M499" s="72"/>
      <c r="N499" s="72"/>
      <c r="O499" s="72" t="s">
        <v>1825</v>
      </c>
      <c r="P499" s="72" t="s">
        <v>3458</v>
      </c>
      <c r="Q499" s="72" t="s">
        <v>3459</v>
      </c>
      <c r="R499" s="72" t="s">
        <v>3460</v>
      </c>
      <c r="S499" s="72" t="s">
        <v>1523</v>
      </c>
    </row>
    <row r="500" spans="1:19" x14ac:dyDescent="0.25">
      <c r="A500" s="72" t="s">
        <v>1010</v>
      </c>
      <c r="B500" s="72" t="s">
        <v>781</v>
      </c>
      <c r="C500" s="72" t="s">
        <v>47</v>
      </c>
      <c r="D500" s="72" t="s">
        <v>787</v>
      </c>
      <c r="E500" s="72" t="s">
        <v>1010</v>
      </c>
      <c r="F500" s="72" t="s">
        <v>1011</v>
      </c>
      <c r="G500" s="72" t="s">
        <v>14</v>
      </c>
      <c r="H500" s="72" t="s">
        <v>3163</v>
      </c>
      <c r="I500" s="72"/>
      <c r="J500" s="72"/>
      <c r="K500" s="72"/>
      <c r="L500" s="72"/>
      <c r="M500" s="72"/>
      <c r="N500" s="72"/>
      <c r="O500" s="72" t="s">
        <v>1825</v>
      </c>
      <c r="P500" s="72" t="s">
        <v>3461</v>
      </c>
      <c r="Q500" s="72" t="s">
        <v>3462</v>
      </c>
      <c r="R500" s="72" t="s">
        <v>3463</v>
      </c>
      <c r="S500" s="72" t="s">
        <v>1523</v>
      </c>
    </row>
    <row r="501" spans="1:19" x14ac:dyDescent="0.25">
      <c r="A501" s="72" t="s">
        <v>820</v>
      </c>
      <c r="B501" s="72" t="s">
        <v>781</v>
      </c>
      <c r="C501" s="72" t="s">
        <v>96</v>
      </c>
      <c r="D501" s="72" t="s">
        <v>1227</v>
      </c>
      <c r="E501" s="72" t="s">
        <v>820</v>
      </c>
      <c r="F501" s="72" t="s">
        <v>1228</v>
      </c>
      <c r="G501" s="72" t="s">
        <v>28</v>
      </c>
      <c r="H501" s="72" t="s">
        <v>83</v>
      </c>
      <c r="I501" s="72"/>
      <c r="J501" s="72"/>
      <c r="K501" s="72"/>
      <c r="L501" s="72"/>
      <c r="M501" s="72"/>
      <c r="N501" s="72"/>
      <c r="O501" s="72" t="s">
        <v>1438</v>
      </c>
      <c r="P501" s="72" t="s">
        <v>3292</v>
      </c>
      <c r="Q501" s="72" t="s">
        <v>3464</v>
      </c>
      <c r="R501" s="72" t="s">
        <v>3465</v>
      </c>
      <c r="S501" s="72" t="s">
        <v>28</v>
      </c>
    </row>
    <row r="502" spans="1:19" x14ac:dyDescent="0.25">
      <c r="A502" s="72" t="s">
        <v>1024</v>
      </c>
      <c r="B502" s="72" t="s">
        <v>781</v>
      </c>
      <c r="C502" s="72" t="s">
        <v>47</v>
      </c>
      <c r="D502" s="72" t="s">
        <v>1201</v>
      </c>
      <c r="E502" s="72" t="s">
        <v>1024</v>
      </c>
      <c r="F502" s="72" t="s">
        <v>1025</v>
      </c>
      <c r="G502" s="72" t="s">
        <v>19</v>
      </c>
      <c r="H502" s="72" t="s">
        <v>33</v>
      </c>
      <c r="I502" s="72"/>
      <c r="J502" s="72"/>
      <c r="K502" s="72"/>
      <c r="L502" s="72"/>
      <c r="M502" s="72"/>
      <c r="N502" s="72"/>
      <c r="O502" s="72" t="s">
        <v>1552</v>
      </c>
      <c r="P502" s="72" t="s">
        <v>3466</v>
      </c>
      <c r="Q502" s="72" t="s">
        <v>3467</v>
      </c>
      <c r="R502" s="72" t="s">
        <v>3468</v>
      </c>
      <c r="S502" s="72" t="s">
        <v>1523</v>
      </c>
    </row>
    <row r="503" spans="1:19" x14ac:dyDescent="0.25">
      <c r="A503" s="72" t="s">
        <v>1030</v>
      </c>
      <c r="B503" s="72" t="s">
        <v>781</v>
      </c>
      <c r="C503" s="72" t="s">
        <v>96</v>
      </c>
      <c r="D503" s="72" t="s">
        <v>826</v>
      </c>
      <c r="E503" s="72" t="s">
        <v>1030</v>
      </c>
      <c r="F503" s="72" t="s">
        <v>1031</v>
      </c>
      <c r="G503" s="72" t="s">
        <v>14</v>
      </c>
      <c r="H503" s="72" t="s">
        <v>1458</v>
      </c>
      <c r="I503" s="72"/>
      <c r="J503" s="72"/>
      <c r="K503" s="72"/>
      <c r="L503" s="72"/>
      <c r="M503" s="72"/>
      <c r="N503" s="72"/>
      <c r="O503" s="72" t="s">
        <v>1825</v>
      </c>
      <c r="P503" s="72" t="s">
        <v>3469</v>
      </c>
      <c r="Q503" s="72" t="s">
        <v>3470</v>
      </c>
      <c r="R503" s="72" t="s">
        <v>3471</v>
      </c>
      <c r="S503" s="72" t="s">
        <v>1523</v>
      </c>
    </row>
    <row r="504" spans="1:19" x14ac:dyDescent="0.25">
      <c r="A504" s="72" t="s">
        <v>1054</v>
      </c>
      <c r="B504" s="72" t="s">
        <v>781</v>
      </c>
      <c r="C504" s="72" t="s">
        <v>10</v>
      </c>
      <c r="D504" s="72" t="s">
        <v>831</v>
      </c>
      <c r="E504" s="72" t="s">
        <v>1054</v>
      </c>
      <c r="F504" s="72" t="s">
        <v>1055</v>
      </c>
      <c r="G504" s="72" t="s">
        <v>19</v>
      </c>
      <c r="H504" s="72" t="s">
        <v>983</v>
      </c>
      <c r="I504" s="72"/>
      <c r="J504" s="72"/>
      <c r="K504" s="72"/>
      <c r="L504" s="72"/>
      <c r="M504" s="72"/>
      <c r="N504" s="72"/>
      <c r="O504" s="72" t="s">
        <v>1555</v>
      </c>
      <c r="P504" s="72" t="s">
        <v>3149</v>
      </c>
      <c r="Q504" s="72" t="s">
        <v>3472</v>
      </c>
      <c r="R504" s="72" t="s">
        <v>3473</v>
      </c>
      <c r="S504" s="72" t="s">
        <v>19</v>
      </c>
    </row>
    <row r="505" spans="1:19" x14ac:dyDescent="0.25">
      <c r="A505" s="72" t="s">
        <v>1062</v>
      </c>
      <c r="B505" s="72" t="s">
        <v>781</v>
      </c>
      <c r="C505" s="72" t="s">
        <v>140</v>
      </c>
      <c r="D505" s="72" t="s">
        <v>816</v>
      </c>
      <c r="E505" s="72" t="s">
        <v>1062</v>
      </c>
      <c r="F505" s="72" t="s">
        <v>1063</v>
      </c>
      <c r="G505" s="72" t="s">
        <v>28</v>
      </c>
      <c r="H505" s="72" t="s">
        <v>87</v>
      </c>
      <c r="I505" s="72"/>
      <c r="J505" s="72"/>
      <c r="K505" s="72"/>
      <c r="L505" s="72"/>
      <c r="M505" s="72"/>
      <c r="N505" s="72"/>
      <c r="O505" s="72" t="s">
        <v>2095</v>
      </c>
      <c r="P505" s="72" t="s">
        <v>3474</v>
      </c>
      <c r="Q505" s="72" t="s">
        <v>3475</v>
      </c>
      <c r="R505" s="72" t="s">
        <v>3476</v>
      </c>
      <c r="S505" s="72" t="s">
        <v>28</v>
      </c>
    </row>
    <row r="506" spans="1:19" x14ac:dyDescent="0.25">
      <c r="A506" s="72" t="s">
        <v>1076</v>
      </c>
      <c r="B506" s="72" t="s">
        <v>781</v>
      </c>
      <c r="C506" s="72" t="s">
        <v>159</v>
      </c>
      <c r="D506" s="72" t="s">
        <v>136</v>
      </c>
      <c r="E506" s="72" t="s">
        <v>1076</v>
      </c>
      <c r="F506" s="72" t="s">
        <v>1077</v>
      </c>
      <c r="G506" s="72" t="s">
        <v>37</v>
      </c>
      <c r="H506" s="72" t="s">
        <v>793</v>
      </c>
      <c r="I506" s="72"/>
      <c r="J506" s="72"/>
      <c r="K506" s="72"/>
      <c r="L506" s="72"/>
      <c r="M506" s="72"/>
      <c r="N506" s="72"/>
      <c r="O506" s="72" t="s">
        <v>1412</v>
      </c>
      <c r="P506" s="72" t="s">
        <v>3477</v>
      </c>
      <c r="Q506" s="72" t="s">
        <v>3478</v>
      </c>
      <c r="R506" s="72" t="s">
        <v>3479</v>
      </c>
      <c r="S506" s="72" t="s">
        <v>37</v>
      </c>
    </row>
    <row r="507" spans="1:19" x14ac:dyDescent="0.25">
      <c r="A507" s="72" t="s">
        <v>1078</v>
      </c>
      <c r="B507" s="72" t="s">
        <v>781</v>
      </c>
      <c r="C507" s="72" t="s">
        <v>119</v>
      </c>
      <c r="D507" s="72" t="s">
        <v>136</v>
      </c>
      <c r="E507" s="72" t="s">
        <v>1078</v>
      </c>
      <c r="F507" s="72" t="s">
        <v>1079</v>
      </c>
      <c r="G507" s="72" t="s">
        <v>37</v>
      </c>
      <c r="H507" s="72" t="s">
        <v>793</v>
      </c>
      <c r="I507" s="72"/>
      <c r="J507" s="72"/>
      <c r="K507" s="72"/>
      <c r="L507" s="72"/>
      <c r="M507" s="72"/>
      <c r="N507" s="72"/>
      <c r="O507" s="72" t="s">
        <v>1412</v>
      </c>
      <c r="P507" s="72" t="s">
        <v>3310</v>
      </c>
      <c r="Q507" s="72" t="s">
        <v>3480</v>
      </c>
      <c r="R507" s="72" t="s">
        <v>3307</v>
      </c>
      <c r="S507" s="72" t="s">
        <v>37</v>
      </c>
    </row>
    <row r="508" spans="1:19" x14ac:dyDescent="0.25">
      <c r="A508" s="72" t="s">
        <v>1233</v>
      </c>
      <c r="B508" s="72" t="s">
        <v>781</v>
      </c>
      <c r="C508" s="72" t="s">
        <v>10</v>
      </c>
      <c r="D508" s="72" t="s">
        <v>1179</v>
      </c>
      <c r="E508" s="72" t="s">
        <v>1233</v>
      </c>
      <c r="F508" s="72" t="s">
        <v>1234</v>
      </c>
      <c r="G508" s="72" t="s">
        <v>1523</v>
      </c>
      <c r="H508" s="72" t="s">
        <v>983</v>
      </c>
      <c r="I508" s="72"/>
      <c r="J508" s="72"/>
      <c r="K508" s="72"/>
      <c r="L508" s="72"/>
      <c r="M508" s="72"/>
      <c r="N508" s="72"/>
      <c r="O508" s="72" t="s">
        <v>1587</v>
      </c>
      <c r="P508" s="72" t="s">
        <v>3149</v>
      </c>
      <c r="Q508" s="72" t="s">
        <v>3481</v>
      </c>
      <c r="R508" s="72" t="s">
        <v>3482</v>
      </c>
      <c r="S508" s="72" t="s">
        <v>1523</v>
      </c>
    </row>
    <row r="509" spans="1:19" x14ac:dyDescent="0.25">
      <c r="A509" s="72" t="s">
        <v>1225</v>
      </c>
      <c r="B509" s="72" t="s">
        <v>781</v>
      </c>
      <c r="C509" s="72" t="s">
        <v>96</v>
      </c>
      <c r="D509" s="72" t="s">
        <v>1179</v>
      </c>
      <c r="E509" s="72" t="s">
        <v>1225</v>
      </c>
      <c r="F509" s="72" t="s">
        <v>1226</v>
      </c>
      <c r="G509" s="72" t="s">
        <v>1523</v>
      </c>
      <c r="H509" s="72" t="s">
        <v>983</v>
      </c>
      <c r="I509" s="72"/>
      <c r="J509" s="72"/>
      <c r="K509" s="72"/>
      <c r="L509" s="72"/>
      <c r="M509" s="72"/>
      <c r="N509" s="72"/>
      <c r="O509" s="72" t="s">
        <v>1572</v>
      </c>
      <c r="P509" s="72" t="s">
        <v>3252</v>
      </c>
      <c r="Q509" s="72" t="s">
        <v>3483</v>
      </c>
      <c r="R509" s="72" t="s">
        <v>3484</v>
      </c>
      <c r="S509" s="72" t="s">
        <v>1523</v>
      </c>
    </row>
    <row r="510" spans="1:19" x14ac:dyDescent="0.25">
      <c r="A510" s="72" t="s">
        <v>1180</v>
      </c>
      <c r="B510" s="72" t="s">
        <v>781</v>
      </c>
      <c r="C510" s="72" t="s">
        <v>47</v>
      </c>
      <c r="D510" s="72" t="s">
        <v>1179</v>
      </c>
      <c r="E510" s="72" t="s">
        <v>1180</v>
      </c>
      <c r="F510" s="72" t="s">
        <v>1181</v>
      </c>
      <c r="G510" s="72" t="s">
        <v>1523</v>
      </c>
      <c r="H510" s="72" t="s">
        <v>983</v>
      </c>
      <c r="I510" s="72"/>
      <c r="J510" s="72"/>
      <c r="K510" s="72"/>
      <c r="L510" s="72"/>
      <c r="M510" s="72"/>
      <c r="N510" s="72"/>
      <c r="O510" s="72" t="s">
        <v>1537</v>
      </c>
      <c r="P510" s="72" t="s">
        <v>3199</v>
      </c>
      <c r="Q510" s="72" t="s">
        <v>3485</v>
      </c>
      <c r="R510" s="72" t="s">
        <v>3486</v>
      </c>
      <c r="S510" s="72" t="s">
        <v>1523</v>
      </c>
    </row>
    <row r="511" spans="1:19" x14ac:dyDescent="0.25">
      <c r="A511" s="72" t="s">
        <v>1183</v>
      </c>
      <c r="B511" s="72" t="s">
        <v>781</v>
      </c>
      <c r="C511" s="72" t="s">
        <v>96</v>
      </c>
      <c r="D511" s="72" t="s">
        <v>1182</v>
      </c>
      <c r="E511" s="72" t="s">
        <v>1183</v>
      </c>
      <c r="F511" s="72" t="s">
        <v>1184</v>
      </c>
      <c r="G511" s="72" t="s">
        <v>1523</v>
      </c>
      <c r="H511" s="72" t="s">
        <v>983</v>
      </c>
      <c r="I511" s="72"/>
      <c r="J511" s="72"/>
      <c r="K511" s="72"/>
      <c r="L511" s="72"/>
      <c r="M511" s="72"/>
      <c r="N511" s="72"/>
      <c r="O511" s="72" t="s">
        <v>1537</v>
      </c>
      <c r="P511" s="72" t="s">
        <v>3252</v>
      </c>
      <c r="Q511" s="72" t="s">
        <v>3487</v>
      </c>
      <c r="R511" s="72" t="s">
        <v>3488</v>
      </c>
      <c r="S511" s="72" t="s">
        <v>1523</v>
      </c>
    </row>
    <row r="512" spans="1:19" x14ac:dyDescent="0.25">
      <c r="A512" s="72" t="s">
        <v>1192</v>
      </c>
      <c r="B512" s="72" t="s">
        <v>781</v>
      </c>
      <c r="C512" s="72" t="s">
        <v>1191</v>
      </c>
      <c r="D512" s="72" t="s">
        <v>1182</v>
      </c>
      <c r="E512" s="72" t="s">
        <v>1192</v>
      </c>
      <c r="F512" s="72" t="s">
        <v>1193</v>
      </c>
      <c r="G512" s="72" t="s">
        <v>1523</v>
      </c>
      <c r="H512" s="72" t="s">
        <v>983</v>
      </c>
      <c r="I512" s="72"/>
      <c r="J512" s="72"/>
      <c r="K512" s="72"/>
      <c r="L512" s="72"/>
      <c r="M512" s="72"/>
      <c r="N512" s="72"/>
      <c r="O512" s="72" t="s">
        <v>1752</v>
      </c>
      <c r="P512" s="72" t="s">
        <v>3489</v>
      </c>
      <c r="Q512" s="72" t="s">
        <v>3490</v>
      </c>
      <c r="R512" s="72" t="s">
        <v>3491</v>
      </c>
      <c r="S512" s="72" t="s">
        <v>1523</v>
      </c>
    </row>
    <row r="513" spans="1:19" x14ac:dyDescent="0.25">
      <c r="A513" s="72" t="s">
        <v>1199</v>
      </c>
      <c r="B513" s="72" t="s">
        <v>781</v>
      </c>
      <c r="C513" s="72" t="s">
        <v>10</v>
      </c>
      <c r="D513" s="72" t="s">
        <v>1182</v>
      </c>
      <c r="E513" s="72" t="s">
        <v>1199</v>
      </c>
      <c r="F513" s="72" t="s">
        <v>1200</v>
      </c>
      <c r="G513" s="72" t="s">
        <v>1523</v>
      </c>
      <c r="H513" s="72" t="s">
        <v>983</v>
      </c>
      <c r="I513" s="72"/>
      <c r="J513" s="72"/>
      <c r="K513" s="72"/>
      <c r="L513" s="72"/>
      <c r="M513" s="72"/>
      <c r="N513" s="72"/>
      <c r="O513" s="72" t="s">
        <v>1552</v>
      </c>
      <c r="P513" s="72" t="s">
        <v>3149</v>
      </c>
      <c r="Q513" s="72" t="s">
        <v>3492</v>
      </c>
      <c r="R513" s="72" t="s">
        <v>3493</v>
      </c>
      <c r="S513" s="72" t="s">
        <v>1523</v>
      </c>
    </row>
    <row r="514" spans="1:19" x14ac:dyDescent="0.25">
      <c r="A514" s="72" t="s">
        <v>1230</v>
      </c>
      <c r="B514" s="72" t="s">
        <v>812</v>
      </c>
      <c r="C514" s="72" t="s">
        <v>140</v>
      </c>
      <c r="D514" s="72" t="s">
        <v>535</v>
      </c>
      <c r="E514" s="72" t="s">
        <v>1230</v>
      </c>
      <c r="F514" s="72" t="s">
        <v>1231</v>
      </c>
      <c r="G514" s="72" t="s">
        <v>19</v>
      </c>
      <c r="H514" s="72" t="s">
        <v>87</v>
      </c>
      <c r="I514" s="72"/>
      <c r="J514" s="72"/>
      <c r="K514" s="72"/>
      <c r="L514" s="72"/>
      <c r="M514" s="72"/>
      <c r="N514" s="72"/>
      <c r="O514" s="72" t="s">
        <v>2587</v>
      </c>
      <c r="P514" s="72" t="s">
        <v>3494</v>
      </c>
      <c r="Q514" s="72" t="s">
        <v>3495</v>
      </c>
      <c r="R514" s="72" t="s">
        <v>3496</v>
      </c>
      <c r="S514" s="72" t="s">
        <v>19</v>
      </c>
    </row>
    <row r="515" spans="1:19" x14ac:dyDescent="0.25">
      <c r="A515" s="72" t="s">
        <v>1464</v>
      </c>
      <c r="B515" s="72" t="s">
        <v>781</v>
      </c>
      <c r="C515" s="72" t="s">
        <v>140</v>
      </c>
      <c r="D515" s="72" t="s">
        <v>1524</v>
      </c>
      <c r="E515" s="72" t="s">
        <v>1464</v>
      </c>
      <c r="F515" s="72" t="s">
        <v>1465</v>
      </c>
      <c r="G515" s="72" t="s">
        <v>14</v>
      </c>
      <c r="H515" s="72" t="s">
        <v>983</v>
      </c>
      <c r="I515" s="72"/>
      <c r="J515" s="72"/>
      <c r="K515" s="72"/>
      <c r="L515" s="72"/>
      <c r="M515" s="72"/>
      <c r="N515" s="72"/>
      <c r="O515" s="72" t="s">
        <v>1567</v>
      </c>
      <c r="P515" s="72" t="s">
        <v>3344</v>
      </c>
      <c r="Q515" s="72" t="s">
        <v>3497</v>
      </c>
      <c r="R515" s="72" t="s">
        <v>3498</v>
      </c>
      <c r="S515" s="72" t="s">
        <v>1523</v>
      </c>
    </row>
    <row r="516" spans="1:19" x14ac:dyDescent="0.25">
      <c r="A516" s="72" t="s">
        <v>1463</v>
      </c>
      <c r="B516" s="72" t="s">
        <v>781</v>
      </c>
      <c r="C516" s="72" t="s">
        <v>47</v>
      </c>
      <c r="D516" s="72" t="s">
        <v>1524</v>
      </c>
      <c r="E516" s="72" t="s">
        <v>1463</v>
      </c>
      <c r="F516" s="72" t="s">
        <v>139</v>
      </c>
      <c r="G516" s="72" t="s">
        <v>14</v>
      </c>
      <c r="H516" s="72" t="s">
        <v>983</v>
      </c>
      <c r="I516" s="72"/>
      <c r="J516" s="72"/>
      <c r="K516" s="72"/>
      <c r="L516" s="72"/>
      <c r="M516" s="72"/>
      <c r="N516" s="72"/>
      <c r="O516" s="72" t="s">
        <v>1558</v>
      </c>
      <c r="P516" s="72" t="s">
        <v>3199</v>
      </c>
      <c r="Q516" s="72" t="s">
        <v>3499</v>
      </c>
      <c r="R516" s="72" t="s">
        <v>3500</v>
      </c>
      <c r="S516" s="72" t="s">
        <v>1523</v>
      </c>
    </row>
    <row r="517" spans="1:19" x14ac:dyDescent="0.25">
      <c r="A517" s="72" t="s">
        <v>1461</v>
      </c>
      <c r="B517" s="72" t="s">
        <v>781</v>
      </c>
      <c r="C517" s="72" t="s">
        <v>10</v>
      </c>
      <c r="D517" s="72" t="s">
        <v>1524</v>
      </c>
      <c r="E517" s="72" t="s">
        <v>1461</v>
      </c>
      <c r="F517" s="72" t="s">
        <v>1462</v>
      </c>
      <c r="G517" s="72" t="s">
        <v>1523</v>
      </c>
      <c r="H517" s="72" t="s">
        <v>983</v>
      </c>
      <c r="I517" s="72"/>
      <c r="J517" s="72"/>
      <c r="K517" s="72"/>
      <c r="L517" s="72"/>
      <c r="M517" s="72"/>
      <c r="N517" s="72"/>
      <c r="O517" s="72" t="s">
        <v>1603</v>
      </c>
      <c r="P517" s="72" t="s">
        <v>3149</v>
      </c>
      <c r="Q517" s="72" t="s">
        <v>3501</v>
      </c>
      <c r="R517" s="72" t="s">
        <v>3502</v>
      </c>
      <c r="S517" s="72" t="s">
        <v>1523</v>
      </c>
    </row>
    <row r="518" spans="1:19" x14ac:dyDescent="0.25">
      <c r="A518" s="72" t="s">
        <v>1466</v>
      </c>
      <c r="B518" s="72" t="s">
        <v>781</v>
      </c>
      <c r="C518" s="72" t="s">
        <v>96</v>
      </c>
      <c r="D518" s="72" t="s">
        <v>1524</v>
      </c>
      <c r="E518" s="72" t="s">
        <v>1466</v>
      </c>
      <c r="F518" s="72" t="s">
        <v>1467</v>
      </c>
      <c r="G518" s="72" t="s">
        <v>14</v>
      </c>
      <c r="H518" s="72" t="s">
        <v>983</v>
      </c>
      <c r="I518" s="72"/>
      <c r="J518" s="72"/>
      <c r="K518" s="72"/>
      <c r="L518" s="72"/>
      <c r="M518" s="72"/>
      <c r="N518" s="72"/>
      <c r="O518" s="72" t="s">
        <v>1752</v>
      </c>
      <c r="P518" s="72" t="s">
        <v>3252</v>
      </c>
      <c r="Q518" s="72" t="s">
        <v>3503</v>
      </c>
      <c r="R518" s="72" t="s">
        <v>3504</v>
      </c>
      <c r="S518" s="72" t="s">
        <v>1523</v>
      </c>
    </row>
    <row r="519" spans="1:19" x14ac:dyDescent="0.25">
      <c r="A519" s="72" t="s">
        <v>1419</v>
      </c>
      <c r="B519" s="72" t="s">
        <v>781</v>
      </c>
      <c r="C519" s="72" t="s">
        <v>119</v>
      </c>
      <c r="D519" s="72" t="s">
        <v>136</v>
      </c>
      <c r="E519" s="72" t="s">
        <v>1419</v>
      </c>
      <c r="F519" s="72" t="s">
        <v>1420</v>
      </c>
      <c r="G519" s="72" t="s">
        <v>37</v>
      </c>
      <c r="H519" s="72" t="s">
        <v>136</v>
      </c>
      <c r="I519" s="72"/>
      <c r="J519" s="72"/>
      <c r="K519" s="72"/>
      <c r="L519" s="72"/>
      <c r="M519" s="72"/>
      <c r="N519" s="72"/>
      <c r="O519" s="72" t="s">
        <v>3190</v>
      </c>
      <c r="P519" s="72" t="s">
        <v>3307</v>
      </c>
      <c r="Q519" s="72" t="s">
        <v>3505</v>
      </c>
      <c r="R519" s="72" t="s">
        <v>3307</v>
      </c>
      <c r="S519" s="72" t="s">
        <v>37</v>
      </c>
    </row>
    <row r="520" spans="1:19" x14ac:dyDescent="0.25">
      <c r="A520" s="72" t="s">
        <v>586</v>
      </c>
      <c r="B520" s="72" t="s">
        <v>781</v>
      </c>
      <c r="C520" s="72" t="s">
        <v>96</v>
      </c>
      <c r="D520" s="72" t="s">
        <v>284</v>
      </c>
      <c r="E520" s="72" t="s">
        <v>586</v>
      </c>
      <c r="F520" s="72" t="s">
        <v>587</v>
      </c>
      <c r="G520" s="72" t="s">
        <v>19</v>
      </c>
      <c r="H520" s="72" t="s">
        <v>237</v>
      </c>
      <c r="I520" s="72"/>
      <c r="J520" s="72"/>
      <c r="K520" s="72"/>
      <c r="L520" s="72"/>
      <c r="M520" s="72"/>
      <c r="N520" s="72"/>
      <c r="O520" s="72" t="s">
        <v>2017</v>
      </c>
      <c r="P520" s="72" t="s">
        <v>3506</v>
      </c>
      <c r="Q520" s="72" t="s">
        <v>3507</v>
      </c>
      <c r="R520" s="72" t="s">
        <v>3508</v>
      </c>
      <c r="S520" s="72" t="s">
        <v>19</v>
      </c>
    </row>
    <row r="521" spans="1:19" x14ac:dyDescent="0.25">
      <c r="A521" s="72" t="s">
        <v>720</v>
      </c>
      <c r="B521" s="72" t="s">
        <v>781</v>
      </c>
      <c r="C521" s="72" t="s">
        <v>47</v>
      </c>
      <c r="D521" s="72" t="s">
        <v>284</v>
      </c>
      <c r="E521" s="72" t="s">
        <v>720</v>
      </c>
      <c r="F521" s="72" t="s">
        <v>721</v>
      </c>
      <c r="G521" s="72" t="s">
        <v>19</v>
      </c>
      <c r="H521" s="72" t="s">
        <v>55</v>
      </c>
      <c r="I521" s="72"/>
      <c r="J521" s="72"/>
      <c r="K521" s="72"/>
      <c r="L521" s="72"/>
      <c r="M521" s="72"/>
      <c r="N521" s="72"/>
      <c r="O521" s="72" t="s">
        <v>2071</v>
      </c>
      <c r="P521" s="72" t="s">
        <v>3509</v>
      </c>
      <c r="Q521" s="72" t="s">
        <v>3510</v>
      </c>
      <c r="R521" s="72" t="s">
        <v>3511</v>
      </c>
      <c r="S521" s="72" t="s">
        <v>19</v>
      </c>
    </row>
    <row r="522" spans="1:19" x14ac:dyDescent="0.25">
      <c r="A522" s="72" t="s">
        <v>1484</v>
      </c>
      <c r="B522" s="72" t="s">
        <v>781</v>
      </c>
      <c r="C522" s="72" t="s">
        <v>10</v>
      </c>
      <c r="D522" s="72" t="s">
        <v>1483</v>
      </c>
      <c r="E522" s="72" t="s">
        <v>1484</v>
      </c>
      <c r="F522" s="72" t="s">
        <v>510</v>
      </c>
      <c r="G522" s="72" t="s">
        <v>19</v>
      </c>
      <c r="H522" s="72" t="s">
        <v>287</v>
      </c>
      <c r="I522" s="72"/>
      <c r="J522" s="72"/>
      <c r="K522" s="72"/>
      <c r="L522" s="72"/>
      <c r="M522" s="72"/>
      <c r="N522" s="72"/>
      <c r="O522" s="72" t="s">
        <v>2581</v>
      </c>
      <c r="P522" s="72" t="s">
        <v>3171</v>
      </c>
      <c r="Q522" s="72" t="s">
        <v>3512</v>
      </c>
      <c r="R522" s="72" t="s">
        <v>3513</v>
      </c>
      <c r="S522" s="72" t="s">
        <v>19</v>
      </c>
    </row>
    <row r="523" spans="1:19" x14ac:dyDescent="0.25">
      <c r="A523" s="72" t="s">
        <v>615</v>
      </c>
      <c r="B523" s="72" t="s">
        <v>781</v>
      </c>
      <c r="C523" s="72" t="s">
        <v>47</v>
      </c>
      <c r="D523" s="72" t="s">
        <v>229</v>
      </c>
      <c r="E523" s="72" t="s">
        <v>615</v>
      </c>
      <c r="F523" s="72" t="s">
        <v>616</v>
      </c>
      <c r="G523" s="72" t="s">
        <v>19</v>
      </c>
      <c r="H523" s="72" t="s">
        <v>83</v>
      </c>
      <c r="I523" s="72"/>
      <c r="J523" s="72"/>
      <c r="K523" s="72"/>
      <c r="L523" s="72"/>
      <c r="M523" s="72"/>
      <c r="N523" s="72"/>
      <c r="O523" s="72" t="s">
        <v>2816</v>
      </c>
      <c r="P523" s="72" t="s">
        <v>3514</v>
      </c>
      <c r="Q523" s="72" t="s">
        <v>3208</v>
      </c>
      <c r="R523" s="72" t="s">
        <v>3515</v>
      </c>
      <c r="S523" s="72" t="s">
        <v>19</v>
      </c>
    </row>
    <row r="524" spans="1:19" x14ac:dyDescent="0.25">
      <c r="A524" s="72" t="s">
        <v>691</v>
      </c>
      <c r="B524" s="72" t="s">
        <v>781</v>
      </c>
      <c r="C524" s="72" t="s">
        <v>10</v>
      </c>
      <c r="D524" s="72" t="s">
        <v>229</v>
      </c>
      <c r="E524" s="72" t="s">
        <v>691</v>
      </c>
      <c r="F524" s="72" t="s">
        <v>692</v>
      </c>
      <c r="G524" s="72" t="s">
        <v>19</v>
      </c>
      <c r="H524" s="72" t="s">
        <v>24</v>
      </c>
      <c r="I524" s="72"/>
      <c r="J524" s="72"/>
      <c r="K524" s="72"/>
      <c r="L524" s="72"/>
      <c r="M524" s="72"/>
      <c r="N524" s="72"/>
      <c r="O524" s="72" t="s">
        <v>1782</v>
      </c>
      <c r="P524" s="72" t="s">
        <v>3516</v>
      </c>
      <c r="Q524" s="72" t="s">
        <v>3517</v>
      </c>
      <c r="R524" s="72" t="s">
        <v>3518</v>
      </c>
      <c r="S524" s="72" t="s">
        <v>19</v>
      </c>
    </row>
    <row r="525" spans="1:19" x14ac:dyDescent="0.25">
      <c r="A525" s="72" t="s">
        <v>1261</v>
      </c>
      <c r="B525" s="72" t="s">
        <v>781</v>
      </c>
      <c r="C525" s="72" t="s">
        <v>96</v>
      </c>
      <c r="D525" s="72" t="s">
        <v>1260</v>
      </c>
      <c r="E525" s="72" t="s">
        <v>1261</v>
      </c>
      <c r="F525" s="72" t="s">
        <v>1525</v>
      </c>
      <c r="G525" s="72" t="s">
        <v>19</v>
      </c>
      <c r="H525" s="72" t="s">
        <v>79</v>
      </c>
      <c r="I525" s="72"/>
      <c r="J525" s="72"/>
      <c r="K525" s="72"/>
      <c r="L525" s="72"/>
      <c r="M525" s="72"/>
      <c r="N525" s="72"/>
      <c r="O525" s="72" t="s">
        <v>2424</v>
      </c>
      <c r="P525" s="72" t="s">
        <v>3355</v>
      </c>
      <c r="Q525" s="72" t="s">
        <v>3519</v>
      </c>
      <c r="R525" s="72" t="s">
        <v>3520</v>
      </c>
      <c r="S525" s="72" t="s">
        <v>19</v>
      </c>
    </row>
    <row r="526" spans="1:19" x14ac:dyDescent="0.25">
      <c r="A526" s="72" t="s">
        <v>485</v>
      </c>
      <c r="B526" s="72" t="s">
        <v>781</v>
      </c>
      <c r="C526" s="72" t="s">
        <v>47</v>
      </c>
      <c r="D526" s="72" t="s">
        <v>484</v>
      </c>
      <c r="E526" s="72" t="s">
        <v>485</v>
      </c>
      <c r="F526" s="72" t="s">
        <v>486</v>
      </c>
      <c r="G526" s="72" t="s">
        <v>19</v>
      </c>
      <c r="H526" s="72" t="s">
        <v>15</v>
      </c>
      <c r="I526" s="72"/>
      <c r="J526" s="72"/>
      <c r="K526" s="72"/>
      <c r="L526" s="72"/>
      <c r="M526" s="72"/>
      <c r="N526" s="72"/>
      <c r="O526" s="72" t="s">
        <v>1555</v>
      </c>
      <c r="P526" s="72" t="s">
        <v>3521</v>
      </c>
      <c r="Q526" s="72" t="s">
        <v>3522</v>
      </c>
      <c r="R526" s="72" t="s">
        <v>3523</v>
      </c>
      <c r="S526" s="72" t="s">
        <v>19</v>
      </c>
    </row>
    <row r="527" spans="1:19" x14ac:dyDescent="0.25">
      <c r="A527" s="72" t="s">
        <v>1172</v>
      </c>
      <c r="B527" s="72" t="s">
        <v>781</v>
      </c>
      <c r="C527" s="72" t="s">
        <v>140</v>
      </c>
      <c r="D527" s="72" t="s">
        <v>276</v>
      </c>
      <c r="E527" s="72" t="s">
        <v>1172</v>
      </c>
      <c r="F527" s="72" t="s">
        <v>1477</v>
      </c>
      <c r="G527" s="72" t="s">
        <v>19</v>
      </c>
      <c r="H527" s="72" t="s">
        <v>55</v>
      </c>
      <c r="I527" s="72"/>
      <c r="J527" s="72"/>
      <c r="K527" s="72"/>
      <c r="L527" s="72"/>
      <c r="M527" s="72"/>
      <c r="N527" s="72"/>
      <c r="O527" s="72" t="s">
        <v>1534</v>
      </c>
      <c r="P527" s="72" t="s">
        <v>3524</v>
      </c>
      <c r="Q527" s="72" t="s">
        <v>3525</v>
      </c>
      <c r="R527" s="72" t="s">
        <v>3526</v>
      </c>
      <c r="S527" s="72" t="s">
        <v>19</v>
      </c>
    </row>
    <row r="528" spans="1:19" x14ac:dyDescent="0.25">
      <c r="A528" s="72" t="s">
        <v>603</v>
      </c>
      <c r="B528" s="72" t="s">
        <v>781</v>
      </c>
      <c r="C528" s="72" t="s">
        <v>943</v>
      </c>
      <c r="D528" s="72" t="s">
        <v>1486</v>
      </c>
      <c r="E528" s="72" t="s">
        <v>603</v>
      </c>
      <c r="F528" s="72" t="s">
        <v>1526</v>
      </c>
      <c r="G528" s="72" t="s">
        <v>19</v>
      </c>
      <c r="H528" s="72" t="s">
        <v>87</v>
      </c>
      <c r="I528" s="72"/>
      <c r="J528" s="72"/>
      <c r="K528" s="72"/>
      <c r="L528" s="72"/>
      <c r="M528" s="72"/>
      <c r="N528" s="72"/>
      <c r="O528" s="72" t="s">
        <v>1592</v>
      </c>
      <c r="P528" s="72" t="s">
        <v>3527</v>
      </c>
      <c r="Q528" s="72" t="s">
        <v>3528</v>
      </c>
      <c r="R528" s="72"/>
      <c r="S528" s="72"/>
    </row>
    <row r="529" spans="1:19" x14ac:dyDescent="0.25">
      <c r="A529" s="72" t="s">
        <v>1248</v>
      </c>
      <c r="B529" s="72" t="s">
        <v>781</v>
      </c>
      <c r="C529" s="72" t="s">
        <v>140</v>
      </c>
      <c r="D529" s="72" t="s">
        <v>3529</v>
      </c>
      <c r="E529" s="72" t="s">
        <v>1248</v>
      </c>
      <c r="F529" s="72" t="s">
        <v>1249</v>
      </c>
      <c r="G529" s="72" t="s">
        <v>19</v>
      </c>
      <c r="H529" s="72" t="s">
        <v>983</v>
      </c>
      <c r="I529" s="72"/>
      <c r="J529" s="72"/>
      <c r="K529" s="72"/>
      <c r="L529" s="72"/>
      <c r="M529" s="72"/>
      <c r="N529" s="72"/>
      <c r="O529" s="72" t="s">
        <v>2560</v>
      </c>
      <c r="P529" s="72" t="s">
        <v>3344</v>
      </c>
      <c r="Q529" s="72" t="s">
        <v>3530</v>
      </c>
      <c r="R529" s="72"/>
      <c r="S529" s="72"/>
    </row>
    <row r="530" spans="1:19" x14ac:dyDescent="0.25">
      <c r="A530" s="72" t="s">
        <v>71</v>
      </c>
      <c r="B530" s="72" t="s">
        <v>781</v>
      </c>
      <c r="C530" s="72" t="s">
        <v>96</v>
      </c>
      <c r="D530" s="72" t="s">
        <v>3529</v>
      </c>
      <c r="E530" s="72" t="s">
        <v>71</v>
      </c>
      <c r="F530" s="72" t="s">
        <v>3531</v>
      </c>
      <c r="G530" s="72" t="s">
        <v>19</v>
      </c>
      <c r="H530" s="72" t="s">
        <v>24</v>
      </c>
      <c r="I530" s="72"/>
      <c r="J530" s="72"/>
      <c r="K530" s="72"/>
      <c r="L530" s="72"/>
      <c r="M530" s="72"/>
      <c r="N530" s="72"/>
      <c r="O530" s="72" t="s">
        <v>2560</v>
      </c>
      <c r="P530" s="72" t="s">
        <v>3532</v>
      </c>
      <c r="Q530" s="72" t="s">
        <v>3533</v>
      </c>
      <c r="R530" s="72"/>
      <c r="S530" s="72"/>
    </row>
    <row r="531" spans="1:19" x14ac:dyDescent="0.25">
      <c r="A531" s="72" t="s">
        <v>208</v>
      </c>
      <c r="B531" s="72" t="s">
        <v>781</v>
      </c>
      <c r="C531" s="72" t="s">
        <v>47</v>
      </c>
      <c r="D531" s="72" t="s">
        <v>3529</v>
      </c>
      <c r="E531" s="72" t="s">
        <v>208</v>
      </c>
      <c r="F531" s="72" t="s">
        <v>3534</v>
      </c>
      <c r="G531" s="72" t="s">
        <v>19</v>
      </c>
      <c r="H531" s="72" t="s">
        <v>983</v>
      </c>
      <c r="I531" s="72"/>
      <c r="J531" s="72"/>
      <c r="K531" s="72"/>
      <c r="L531" s="72"/>
      <c r="M531" s="72"/>
      <c r="N531" s="72"/>
      <c r="O531" s="72" t="s">
        <v>1782</v>
      </c>
      <c r="P531" s="72" t="s">
        <v>3199</v>
      </c>
      <c r="Q531" s="72" t="s">
        <v>3535</v>
      </c>
      <c r="R531" s="72"/>
      <c r="S531" s="72"/>
    </row>
    <row r="532" spans="1:19" x14ac:dyDescent="0.25">
      <c r="A532" s="72" t="s">
        <v>257</v>
      </c>
      <c r="B532" s="72" t="s">
        <v>781</v>
      </c>
      <c r="C532" s="72" t="s">
        <v>10</v>
      </c>
      <c r="D532" s="72" t="s">
        <v>52</v>
      </c>
      <c r="E532" s="72" t="s">
        <v>257</v>
      </c>
      <c r="F532" s="72" t="s">
        <v>258</v>
      </c>
      <c r="G532" s="72" t="s">
        <v>28</v>
      </c>
      <c r="H532" s="72" t="s">
        <v>55</v>
      </c>
      <c r="I532" s="72"/>
      <c r="J532" s="72"/>
      <c r="K532" s="72"/>
      <c r="L532" s="72"/>
      <c r="M532" s="72"/>
      <c r="N532" s="72"/>
      <c r="O532" s="72" t="s">
        <v>2023</v>
      </c>
      <c r="P532" s="72" t="s">
        <v>3536</v>
      </c>
      <c r="Q532" s="72" t="s">
        <v>3537</v>
      </c>
      <c r="R532" s="72"/>
      <c r="S532" s="72"/>
    </row>
    <row r="533" spans="1:19" x14ac:dyDescent="0.25">
      <c r="A533" s="72" t="s">
        <v>262</v>
      </c>
      <c r="B533" s="72" t="s">
        <v>781</v>
      </c>
      <c r="C533" s="72" t="s">
        <v>96</v>
      </c>
      <c r="D533" s="72" t="s">
        <v>52</v>
      </c>
      <c r="E533" s="72" t="s">
        <v>262</v>
      </c>
      <c r="F533" s="72" t="s">
        <v>1519</v>
      </c>
      <c r="G533" s="72" t="s">
        <v>28</v>
      </c>
      <c r="H533" s="72" t="s">
        <v>55</v>
      </c>
      <c r="I533" s="72"/>
      <c r="J533" s="72"/>
      <c r="K533" s="72"/>
      <c r="L533" s="72"/>
      <c r="M533" s="72"/>
      <c r="N533" s="72"/>
      <c r="O533" s="72" t="s">
        <v>3027</v>
      </c>
      <c r="P533" s="72" t="s">
        <v>3538</v>
      </c>
      <c r="Q533" s="72" t="s">
        <v>3539</v>
      </c>
      <c r="R533" s="72"/>
      <c r="S533" s="72"/>
    </row>
    <row r="534" spans="1:19" x14ac:dyDescent="0.25">
      <c r="A534" s="72" t="s">
        <v>1627</v>
      </c>
      <c r="B534" s="72" t="s">
        <v>781</v>
      </c>
      <c r="C534" s="72" t="s">
        <v>96</v>
      </c>
      <c r="D534" s="72" t="s">
        <v>3540</v>
      </c>
      <c r="E534" s="72" t="s">
        <v>1627</v>
      </c>
      <c r="F534" s="72" t="s">
        <v>1628</v>
      </c>
      <c r="G534" s="72" t="s">
        <v>14</v>
      </c>
      <c r="H534" s="72" t="s">
        <v>1460</v>
      </c>
      <c r="I534" s="72"/>
      <c r="J534" s="72"/>
      <c r="K534" s="72"/>
      <c r="L534" s="72"/>
      <c r="M534" s="72"/>
      <c r="N534" s="72"/>
      <c r="O534" s="72" t="s">
        <v>1588</v>
      </c>
      <c r="P534" s="72" t="s">
        <v>3541</v>
      </c>
      <c r="Q534" s="72" t="s">
        <v>3287</v>
      </c>
      <c r="R534" s="72"/>
      <c r="S534" s="72"/>
    </row>
    <row r="535" spans="1:19" x14ac:dyDescent="0.25">
      <c r="A535" s="72" t="s">
        <v>1633</v>
      </c>
      <c r="B535" s="72" t="s">
        <v>781</v>
      </c>
      <c r="C535" s="72" t="s">
        <v>47</v>
      </c>
      <c r="D535" s="72" t="s">
        <v>3540</v>
      </c>
      <c r="E535" s="72" t="s">
        <v>1633</v>
      </c>
      <c r="F535" s="72" t="s">
        <v>1634</v>
      </c>
      <c r="G535" s="72" t="s">
        <v>14</v>
      </c>
      <c r="H535" s="72" t="s">
        <v>241</v>
      </c>
      <c r="I535" s="72"/>
      <c r="J535" s="72"/>
      <c r="K535" s="72"/>
      <c r="L535" s="72"/>
      <c r="M535" s="72"/>
      <c r="N535" s="72"/>
      <c r="O535" s="72" t="s">
        <v>2498</v>
      </c>
      <c r="P535" s="72" t="s">
        <v>3542</v>
      </c>
      <c r="Q535" s="72" t="s">
        <v>3543</v>
      </c>
      <c r="R535" s="72"/>
      <c r="S535" s="72"/>
    </row>
    <row r="536" spans="1:19" x14ac:dyDescent="0.25">
      <c r="A536" s="72" t="s">
        <v>1623</v>
      </c>
      <c r="B536" s="72" t="s">
        <v>781</v>
      </c>
      <c r="C536" s="72" t="s">
        <v>10</v>
      </c>
      <c r="D536" s="72" t="s">
        <v>3540</v>
      </c>
      <c r="E536" s="72" t="s">
        <v>1623</v>
      </c>
      <c r="F536" s="72" t="s">
        <v>1624</v>
      </c>
      <c r="G536" s="72" t="s">
        <v>1523</v>
      </c>
      <c r="H536" s="72" t="s">
        <v>1456</v>
      </c>
      <c r="I536" s="72"/>
      <c r="J536" s="72"/>
      <c r="K536" s="72"/>
      <c r="L536" s="72"/>
      <c r="M536" s="72"/>
      <c r="N536" s="72"/>
      <c r="O536" s="72" t="s">
        <v>1098</v>
      </c>
      <c r="P536" s="72" t="s">
        <v>3135</v>
      </c>
      <c r="Q536" s="72" t="s">
        <v>3544</v>
      </c>
      <c r="R536" s="72"/>
      <c r="S536" s="72"/>
    </row>
    <row r="537" spans="1:19" x14ac:dyDescent="0.25">
      <c r="A537" s="72" t="s">
        <v>364</v>
      </c>
      <c r="B537" s="72" t="s">
        <v>781</v>
      </c>
      <c r="C537" s="72" t="s">
        <v>47</v>
      </c>
      <c r="D537" s="72" t="s">
        <v>187</v>
      </c>
      <c r="E537" s="72" t="s">
        <v>364</v>
      </c>
      <c r="F537" s="72" t="s">
        <v>3545</v>
      </c>
      <c r="G537" s="72" t="s">
        <v>19</v>
      </c>
      <c r="H537" s="72" t="s">
        <v>87</v>
      </c>
      <c r="I537" s="72"/>
      <c r="J537" s="72"/>
      <c r="K537" s="72"/>
      <c r="L537" s="72"/>
      <c r="M537" s="72"/>
      <c r="N537" s="72"/>
      <c r="O537" s="72" t="s">
        <v>1564</v>
      </c>
      <c r="P537" s="72" t="s">
        <v>3249</v>
      </c>
      <c r="Q537" s="72" t="s">
        <v>3546</v>
      </c>
      <c r="R537" s="72"/>
      <c r="S537" s="72"/>
    </row>
    <row r="538" spans="1:19" x14ac:dyDescent="0.25">
      <c r="A538" s="72" t="s">
        <v>1492</v>
      </c>
      <c r="B538" s="72" t="s">
        <v>781</v>
      </c>
      <c r="C538" s="72" t="s">
        <v>10</v>
      </c>
      <c r="D538" s="72" t="s">
        <v>187</v>
      </c>
      <c r="E538" s="72" t="s">
        <v>1492</v>
      </c>
      <c r="F538" s="72" t="s">
        <v>1493</v>
      </c>
      <c r="G538" s="72" t="s">
        <v>19</v>
      </c>
      <c r="H538" s="72" t="s">
        <v>87</v>
      </c>
      <c r="I538" s="72"/>
      <c r="J538" s="72"/>
      <c r="K538" s="72"/>
      <c r="L538" s="72"/>
      <c r="M538" s="72"/>
      <c r="N538" s="72"/>
      <c r="O538" s="72" t="s">
        <v>1599</v>
      </c>
      <c r="P538" s="72" t="s">
        <v>3298</v>
      </c>
      <c r="Q538" s="72" t="s">
        <v>3547</v>
      </c>
      <c r="R538" s="72"/>
      <c r="S538" s="72"/>
    </row>
    <row r="539" spans="1:19" x14ac:dyDescent="0.25">
      <c r="A539" s="72" t="s">
        <v>1216</v>
      </c>
      <c r="B539" s="72" t="s">
        <v>781</v>
      </c>
      <c r="C539" s="72" t="s">
        <v>140</v>
      </c>
      <c r="D539" s="72" t="s">
        <v>187</v>
      </c>
      <c r="E539" s="72" t="s">
        <v>1216</v>
      </c>
      <c r="F539" s="72" t="s">
        <v>1217</v>
      </c>
      <c r="G539" s="72" t="s">
        <v>19</v>
      </c>
      <c r="H539" s="72" t="s">
        <v>287</v>
      </c>
      <c r="I539" s="72"/>
      <c r="J539" s="72"/>
      <c r="K539" s="72"/>
      <c r="L539" s="72"/>
      <c r="M539" s="72"/>
      <c r="N539" s="72"/>
      <c r="O539" s="72" t="s">
        <v>1564</v>
      </c>
      <c r="P539" s="72" t="s">
        <v>3548</v>
      </c>
      <c r="Q539" s="72" t="s">
        <v>3549</v>
      </c>
      <c r="R539" s="72"/>
      <c r="S539" s="72"/>
    </row>
    <row r="540" spans="1:19" x14ac:dyDescent="0.25">
      <c r="A540" s="72" t="s">
        <v>1440</v>
      </c>
      <c r="B540" s="72" t="s">
        <v>781</v>
      </c>
      <c r="C540" s="72" t="s">
        <v>10</v>
      </c>
      <c r="D540" s="72" t="s">
        <v>3550</v>
      </c>
      <c r="E540" s="72" t="s">
        <v>1440</v>
      </c>
      <c r="F540" s="72" t="s">
        <v>1441</v>
      </c>
      <c r="G540" s="72" t="s">
        <v>19</v>
      </c>
      <c r="H540" s="72" t="s">
        <v>983</v>
      </c>
      <c r="I540" s="72"/>
      <c r="J540" s="72"/>
      <c r="K540" s="72"/>
      <c r="L540" s="72"/>
      <c r="M540" s="72"/>
      <c r="N540" s="72"/>
      <c r="O540" s="72" t="s">
        <v>3027</v>
      </c>
      <c r="P540" s="72" t="s">
        <v>3149</v>
      </c>
      <c r="Q540" s="72" t="s">
        <v>3551</v>
      </c>
      <c r="R540" s="72"/>
      <c r="S540" s="72"/>
    </row>
    <row r="541" spans="1:19" x14ac:dyDescent="0.25">
      <c r="A541" s="72" t="s">
        <v>1442</v>
      </c>
      <c r="B541" s="72" t="s">
        <v>781</v>
      </c>
      <c r="C541" s="72" t="s">
        <v>47</v>
      </c>
      <c r="D541" s="72" t="s">
        <v>3550</v>
      </c>
      <c r="E541" s="72" t="s">
        <v>1442</v>
      </c>
      <c r="F541" s="72" t="s">
        <v>1443</v>
      </c>
      <c r="G541" s="72" t="s">
        <v>19</v>
      </c>
      <c r="H541" s="72" t="s">
        <v>983</v>
      </c>
      <c r="I541" s="72"/>
      <c r="J541" s="72"/>
      <c r="K541" s="72"/>
      <c r="L541" s="72"/>
      <c r="M541" s="72"/>
      <c r="N541" s="72"/>
      <c r="O541" s="72" t="s">
        <v>1803</v>
      </c>
      <c r="P541" s="72" t="s">
        <v>3199</v>
      </c>
      <c r="Q541" s="72" t="s">
        <v>3552</v>
      </c>
      <c r="R541" s="72"/>
      <c r="S541" s="72"/>
    </row>
    <row r="542" spans="1:19" x14ac:dyDescent="0.25">
      <c r="A542" s="72" t="s">
        <v>1444</v>
      </c>
      <c r="B542" s="72" t="s">
        <v>781</v>
      </c>
      <c r="C542" s="72" t="s">
        <v>140</v>
      </c>
      <c r="D542" s="72" t="s">
        <v>3550</v>
      </c>
      <c r="E542" s="72" t="s">
        <v>1444</v>
      </c>
      <c r="F542" s="72" t="s">
        <v>1445</v>
      </c>
      <c r="G542" s="72" t="s">
        <v>19</v>
      </c>
      <c r="H542" s="72" t="s">
        <v>983</v>
      </c>
      <c r="I542" s="72"/>
      <c r="J542" s="72"/>
      <c r="K542" s="72"/>
      <c r="L542" s="72"/>
      <c r="M542" s="72"/>
      <c r="N542" s="72"/>
      <c r="O542" s="72" t="s">
        <v>3123</v>
      </c>
      <c r="P542" s="72" t="s">
        <v>3344</v>
      </c>
      <c r="Q542" s="72" t="s">
        <v>3553</v>
      </c>
      <c r="R542" s="72"/>
      <c r="S542" s="72"/>
    </row>
    <row r="543" spans="1:19" x14ac:dyDescent="0.25">
      <c r="A543" s="72" t="s">
        <v>1635</v>
      </c>
      <c r="B543" s="72" t="s">
        <v>781</v>
      </c>
      <c r="C543" s="72" t="s">
        <v>140</v>
      </c>
      <c r="D543" s="72" t="s">
        <v>3554</v>
      </c>
      <c r="E543" s="72" t="s">
        <v>1635</v>
      </c>
      <c r="F543" s="72" t="s">
        <v>1636</v>
      </c>
      <c r="G543" s="72" t="s">
        <v>14</v>
      </c>
      <c r="H543" s="72" t="s">
        <v>1662</v>
      </c>
      <c r="I543" s="72"/>
      <c r="J543" s="72"/>
      <c r="K543" s="72"/>
      <c r="L543" s="72"/>
      <c r="M543" s="72"/>
      <c r="N543" s="72"/>
      <c r="O543" s="72" t="s">
        <v>1825</v>
      </c>
      <c r="P543" s="72" t="s">
        <v>3341</v>
      </c>
      <c r="Q543" s="72" t="s">
        <v>3459</v>
      </c>
      <c r="R543" s="72"/>
      <c r="S543" s="72"/>
    </row>
    <row r="544" spans="1:19" x14ac:dyDescent="0.25">
      <c r="A544" s="72" t="s">
        <v>1638</v>
      </c>
      <c r="B544" s="72" t="s">
        <v>781</v>
      </c>
      <c r="C544" s="72" t="s">
        <v>3555</v>
      </c>
      <c r="D544" s="72" t="s">
        <v>3554</v>
      </c>
      <c r="E544" s="72" t="s">
        <v>1638</v>
      </c>
      <c r="F544" s="72" t="s">
        <v>1639</v>
      </c>
      <c r="G544" s="72" t="s">
        <v>14</v>
      </c>
      <c r="H544" s="72" t="s">
        <v>3556</v>
      </c>
      <c r="I544" s="72"/>
      <c r="J544" s="72"/>
      <c r="K544" s="72"/>
      <c r="L544" s="72"/>
      <c r="M544" s="72"/>
      <c r="N544" s="72"/>
      <c r="O544" s="72" t="s">
        <v>3267</v>
      </c>
      <c r="P544" s="72" t="s">
        <v>3557</v>
      </c>
      <c r="Q544" s="72" t="s">
        <v>3558</v>
      </c>
      <c r="R544" s="72"/>
      <c r="S544" s="72"/>
    </row>
    <row r="545" spans="1:19" x14ac:dyDescent="0.25">
      <c r="A545" s="72" t="s">
        <v>1641</v>
      </c>
      <c r="B545" s="72" t="s">
        <v>781</v>
      </c>
      <c r="C545" s="72" t="s">
        <v>47</v>
      </c>
      <c r="D545" s="72" t="s">
        <v>3554</v>
      </c>
      <c r="E545" s="72" t="s">
        <v>1641</v>
      </c>
      <c r="F545" s="72" t="s">
        <v>1642</v>
      </c>
      <c r="G545" s="72" t="s">
        <v>14</v>
      </c>
      <c r="H545" s="72" t="s">
        <v>3556</v>
      </c>
      <c r="I545" s="72"/>
      <c r="J545" s="72"/>
      <c r="K545" s="72"/>
      <c r="L545" s="72"/>
      <c r="M545" s="72"/>
      <c r="N545" s="72"/>
      <c r="O545" s="72" t="s">
        <v>3267</v>
      </c>
      <c r="P545" s="72" t="s">
        <v>3559</v>
      </c>
      <c r="Q545" s="72" t="s">
        <v>3560</v>
      </c>
      <c r="R545" s="72"/>
      <c r="S545" s="72"/>
    </row>
    <row r="546" spans="1:19" x14ac:dyDescent="0.25">
      <c r="A546" s="72" t="s">
        <v>192</v>
      </c>
      <c r="B546" s="72" t="s">
        <v>781</v>
      </c>
      <c r="C546" s="72" t="s">
        <v>47</v>
      </c>
      <c r="D546" s="72"/>
      <c r="E546" s="72" t="s">
        <v>192</v>
      </c>
      <c r="F546" s="72" t="s">
        <v>193</v>
      </c>
      <c r="G546" s="72"/>
      <c r="H546" s="72" t="s">
        <v>983</v>
      </c>
      <c r="I546" s="72"/>
      <c r="J546" s="72"/>
      <c r="K546" s="72"/>
      <c r="L546" s="72"/>
      <c r="M546" s="72"/>
      <c r="N546" s="72"/>
      <c r="O546" s="72" t="s">
        <v>1831</v>
      </c>
      <c r="P546" s="72"/>
      <c r="Q546" s="72"/>
      <c r="R546" s="72"/>
      <c r="S546" s="72"/>
    </row>
    <row r="547" spans="1:19" x14ac:dyDescent="0.25">
      <c r="A547" s="72" t="s">
        <v>206</v>
      </c>
      <c r="B547" s="72" t="s">
        <v>781</v>
      </c>
      <c r="C547" s="72" t="s">
        <v>96</v>
      </c>
      <c r="D547" s="72"/>
      <c r="E547" s="72" t="s">
        <v>206</v>
      </c>
      <c r="F547" s="72" t="s">
        <v>207</v>
      </c>
      <c r="G547" s="72"/>
      <c r="H547" s="72" t="s">
        <v>983</v>
      </c>
      <c r="I547" s="72"/>
      <c r="J547" s="72"/>
      <c r="K547" s="72"/>
      <c r="L547" s="72"/>
      <c r="M547" s="72"/>
      <c r="N547" s="72"/>
      <c r="O547" s="72" t="s">
        <v>1588</v>
      </c>
      <c r="P547" s="72"/>
      <c r="Q547" s="72"/>
      <c r="R547" s="72"/>
      <c r="S547" s="72"/>
    </row>
    <row r="548" spans="1:19" x14ac:dyDescent="0.25">
      <c r="A548" s="72" t="s">
        <v>225</v>
      </c>
      <c r="B548" s="72" t="s">
        <v>781</v>
      </c>
      <c r="C548" s="72" t="s">
        <v>140</v>
      </c>
      <c r="D548" s="72"/>
      <c r="E548" s="72" t="s">
        <v>225</v>
      </c>
      <c r="F548" s="72" t="s">
        <v>226</v>
      </c>
      <c r="G548" s="72"/>
      <c r="H548" s="72" t="s">
        <v>983</v>
      </c>
      <c r="I548" s="72"/>
      <c r="J548" s="72"/>
      <c r="K548" s="72"/>
      <c r="L548" s="72"/>
      <c r="M548" s="72"/>
      <c r="N548" s="72"/>
      <c r="O548" s="72" t="s">
        <v>1572</v>
      </c>
      <c r="P548" s="72"/>
      <c r="Q548" s="72"/>
      <c r="R548" s="72"/>
      <c r="S548" s="72"/>
    </row>
    <row r="549" spans="1:19" x14ac:dyDescent="0.25">
      <c r="A549" s="72" t="s">
        <v>1677</v>
      </c>
      <c r="B549" s="72" t="s">
        <v>781</v>
      </c>
      <c r="C549" s="72" t="s">
        <v>10</v>
      </c>
      <c r="D549" s="72"/>
      <c r="E549" s="72" t="s">
        <v>1677</v>
      </c>
      <c r="F549" s="72" t="s">
        <v>1678</v>
      </c>
      <c r="G549" s="72"/>
      <c r="H549" s="72" t="s">
        <v>983</v>
      </c>
      <c r="I549" s="72"/>
      <c r="J549" s="72"/>
      <c r="K549" s="72"/>
      <c r="L549" s="72"/>
      <c r="M549" s="72"/>
      <c r="N549" s="72"/>
      <c r="O549" s="72" t="s">
        <v>1539</v>
      </c>
      <c r="P549" s="72"/>
      <c r="Q549" s="72"/>
      <c r="R549" s="72"/>
      <c r="S549" s="72"/>
    </row>
    <row r="550" spans="1:19" x14ac:dyDescent="0.25">
      <c r="A550" s="72" t="s">
        <v>1621</v>
      </c>
      <c r="B550" s="72" t="s">
        <v>781</v>
      </c>
      <c r="C550" s="72" t="s">
        <v>47</v>
      </c>
      <c r="D550" s="72"/>
      <c r="E550" s="72" t="s">
        <v>1621</v>
      </c>
      <c r="F550" s="72" t="s">
        <v>639</v>
      </c>
      <c r="G550" s="72"/>
      <c r="H550" s="72" t="s">
        <v>983</v>
      </c>
      <c r="I550" s="72"/>
      <c r="J550" s="72"/>
      <c r="K550" s="72"/>
      <c r="L550" s="72"/>
      <c r="M550" s="72"/>
      <c r="N550" s="72"/>
      <c r="O550" s="72" t="s">
        <v>1956</v>
      </c>
      <c r="P550" s="72"/>
      <c r="Q550" s="72"/>
      <c r="R550" s="72"/>
      <c r="S550" s="72"/>
    </row>
    <row r="551" spans="1:19" x14ac:dyDescent="0.25">
      <c r="A551" s="72" t="s">
        <v>742</v>
      </c>
      <c r="B551" s="72" t="s">
        <v>781</v>
      </c>
      <c r="C551" s="72" t="s">
        <v>96</v>
      </c>
      <c r="D551" s="72"/>
      <c r="E551" s="72" t="s">
        <v>742</v>
      </c>
      <c r="F551" s="72" t="s">
        <v>743</v>
      </c>
      <c r="G551" s="72"/>
      <c r="H551" s="72" t="s">
        <v>983</v>
      </c>
      <c r="I551" s="72"/>
      <c r="J551" s="72"/>
      <c r="K551" s="72"/>
      <c r="L551" s="72"/>
      <c r="M551" s="72"/>
      <c r="N551" s="72"/>
      <c r="O551" s="72" t="s">
        <v>1603</v>
      </c>
      <c r="P551" s="72"/>
      <c r="Q551" s="72"/>
      <c r="R551" s="72"/>
      <c r="S551" s="72"/>
    </row>
    <row r="552" spans="1:19" x14ac:dyDescent="0.25">
      <c r="A552" s="72" t="s">
        <v>609</v>
      </c>
      <c r="B552" s="72" t="s">
        <v>781</v>
      </c>
      <c r="C552" s="72" t="s">
        <v>140</v>
      </c>
      <c r="D552" s="72"/>
      <c r="E552" s="72" t="s">
        <v>609</v>
      </c>
      <c r="F552" s="72" t="s">
        <v>1622</v>
      </c>
      <c r="G552" s="72"/>
      <c r="H552" s="72" t="s">
        <v>983</v>
      </c>
      <c r="I552" s="72"/>
      <c r="J552" s="72"/>
      <c r="K552" s="72"/>
      <c r="L552" s="72"/>
      <c r="M552" s="72"/>
      <c r="N552" s="72"/>
      <c r="O552" s="72" t="s">
        <v>2041</v>
      </c>
      <c r="P552" s="72"/>
      <c r="Q552" s="72"/>
      <c r="R552" s="72"/>
      <c r="S552" s="72"/>
    </row>
    <row r="553" spans="1:19" x14ac:dyDescent="0.25">
      <c r="A553" s="72" t="s">
        <v>744</v>
      </c>
      <c r="B553" s="72" t="s">
        <v>781</v>
      </c>
      <c r="C553" s="72" t="s">
        <v>140</v>
      </c>
      <c r="D553" s="72" t="s">
        <v>688</v>
      </c>
      <c r="E553" s="72" t="s">
        <v>744</v>
      </c>
      <c r="F553" s="72" t="s">
        <v>745</v>
      </c>
      <c r="G553" s="72"/>
      <c r="H553" s="72" t="s">
        <v>87</v>
      </c>
      <c r="I553" s="72"/>
      <c r="J553" s="72"/>
      <c r="K553" s="72"/>
      <c r="L553" s="72"/>
      <c r="M553" s="72"/>
      <c r="N553" s="72"/>
      <c r="O553" s="72" t="s">
        <v>874</v>
      </c>
      <c r="P553" s="72"/>
      <c r="Q553" s="72"/>
      <c r="R553" s="72"/>
      <c r="S553" s="72"/>
    </row>
    <row r="554" spans="1:19" x14ac:dyDescent="0.25">
      <c r="A554" s="72" t="s">
        <v>775</v>
      </c>
      <c r="B554" s="72" t="s">
        <v>781</v>
      </c>
      <c r="C554" s="72" t="s">
        <v>47</v>
      </c>
      <c r="D554" s="72" t="s">
        <v>688</v>
      </c>
      <c r="E554" s="72" t="s">
        <v>775</v>
      </c>
      <c r="F554" s="72" t="s">
        <v>776</v>
      </c>
      <c r="G554" s="72"/>
      <c r="H554" s="72" t="s">
        <v>15</v>
      </c>
      <c r="I554" s="72"/>
      <c r="J554" s="72"/>
      <c r="K554" s="72"/>
      <c r="L554" s="72"/>
      <c r="M554" s="72"/>
      <c r="N554" s="72"/>
      <c r="O554" s="72" t="s">
        <v>1711</v>
      </c>
      <c r="P554" s="72"/>
      <c r="Q554" s="72"/>
      <c r="R554" s="72"/>
      <c r="S554" s="72"/>
    </row>
    <row r="555" spans="1:19" x14ac:dyDescent="0.25">
      <c r="A555" s="72" t="s">
        <v>814</v>
      </c>
      <c r="B555" s="72" t="s">
        <v>812</v>
      </c>
      <c r="C555" s="72" t="s">
        <v>47</v>
      </c>
      <c r="D555" s="72" t="s">
        <v>813</v>
      </c>
      <c r="E555" s="72" t="s">
        <v>814</v>
      </c>
      <c r="F555" s="72" t="s">
        <v>815</v>
      </c>
      <c r="G555" s="72" t="s">
        <v>28</v>
      </c>
      <c r="H555" s="72" t="s">
        <v>983</v>
      </c>
      <c r="I555" s="72"/>
      <c r="J555" s="72"/>
      <c r="K555" s="72"/>
      <c r="L555" s="72"/>
      <c r="M555" s="72"/>
      <c r="N555" s="72"/>
      <c r="O555" s="72" t="s">
        <v>2707</v>
      </c>
      <c r="P555" s="72" t="s">
        <v>3561</v>
      </c>
      <c r="Q555" s="72" t="s">
        <v>3562</v>
      </c>
      <c r="R555" s="72" t="s">
        <v>3563</v>
      </c>
      <c r="S555" s="72" t="s">
        <v>19</v>
      </c>
    </row>
    <row r="556" spans="1:19" x14ac:dyDescent="0.25">
      <c r="A556" s="72" t="s">
        <v>533</v>
      </c>
      <c r="B556" s="72" t="s">
        <v>812</v>
      </c>
      <c r="C556" s="72" t="s">
        <v>47</v>
      </c>
      <c r="D556" s="72" t="s">
        <v>787</v>
      </c>
      <c r="E556" s="72" t="s">
        <v>533</v>
      </c>
      <c r="F556" s="72" t="s">
        <v>534</v>
      </c>
      <c r="G556" s="72" t="s">
        <v>14</v>
      </c>
      <c r="H556" s="72" t="s">
        <v>1458</v>
      </c>
      <c r="I556" s="72"/>
      <c r="J556" s="72"/>
      <c r="K556" s="72"/>
      <c r="L556" s="72"/>
      <c r="M556" s="72"/>
      <c r="N556" s="72"/>
      <c r="O556" s="72" t="s">
        <v>1103</v>
      </c>
      <c r="P556" s="72" t="s">
        <v>3564</v>
      </c>
      <c r="Q556" s="72" t="s">
        <v>3565</v>
      </c>
      <c r="R556" s="72" t="s">
        <v>3566</v>
      </c>
      <c r="S556" s="72" t="s">
        <v>1523</v>
      </c>
    </row>
    <row r="557" spans="1:19" x14ac:dyDescent="0.25">
      <c r="A557" s="72" t="s">
        <v>845</v>
      </c>
      <c r="B557" s="72" t="s">
        <v>812</v>
      </c>
      <c r="C557" s="72" t="s">
        <v>47</v>
      </c>
      <c r="D557" s="72" t="s">
        <v>805</v>
      </c>
      <c r="E557" s="72" t="s">
        <v>845</v>
      </c>
      <c r="F557" s="72" t="s">
        <v>846</v>
      </c>
      <c r="G557" s="72" t="s">
        <v>14</v>
      </c>
      <c r="H557" s="72" t="s">
        <v>1457</v>
      </c>
      <c r="I557" s="72"/>
      <c r="J557" s="72"/>
      <c r="K557" s="72"/>
      <c r="L557" s="72"/>
      <c r="M557" s="72"/>
      <c r="N557" s="72"/>
      <c r="O557" s="72" t="s">
        <v>3167</v>
      </c>
      <c r="P557" s="72" t="s">
        <v>3567</v>
      </c>
      <c r="Q557" s="72" t="s">
        <v>3568</v>
      </c>
      <c r="R557" s="72" t="s">
        <v>3569</v>
      </c>
      <c r="S557" s="72" t="s">
        <v>1523</v>
      </c>
    </row>
    <row r="558" spans="1:19" x14ac:dyDescent="0.25">
      <c r="A558" s="72" t="s">
        <v>853</v>
      </c>
      <c r="B558" s="72" t="s">
        <v>812</v>
      </c>
      <c r="C558" s="72" t="s">
        <v>10</v>
      </c>
      <c r="D558" s="72" t="s">
        <v>819</v>
      </c>
      <c r="E558" s="72" t="s">
        <v>853</v>
      </c>
      <c r="F558" s="72" t="s">
        <v>854</v>
      </c>
      <c r="G558" s="72" t="s">
        <v>28</v>
      </c>
      <c r="H558" s="72" t="s">
        <v>70</v>
      </c>
      <c r="I558" s="72"/>
      <c r="J558" s="72"/>
      <c r="K558" s="72"/>
      <c r="L558" s="72"/>
      <c r="M558" s="72"/>
      <c r="N558" s="72"/>
      <c r="O558" s="72" t="s">
        <v>3570</v>
      </c>
      <c r="P558" s="72" t="s">
        <v>3571</v>
      </c>
      <c r="Q558" s="72" t="s">
        <v>3572</v>
      </c>
      <c r="R558" s="72" t="s">
        <v>3573</v>
      </c>
      <c r="S558" s="72" t="s">
        <v>28</v>
      </c>
    </row>
    <row r="559" spans="1:19" x14ac:dyDescent="0.25">
      <c r="A559" s="72" t="s">
        <v>817</v>
      </c>
      <c r="B559" s="72" t="s">
        <v>812</v>
      </c>
      <c r="C559" s="72" t="s">
        <v>96</v>
      </c>
      <c r="D559" s="72" t="s">
        <v>1522</v>
      </c>
      <c r="E559" s="72" t="s">
        <v>817</v>
      </c>
      <c r="F559" s="72" t="s">
        <v>818</v>
      </c>
      <c r="G559" s="72" t="s">
        <v>28</v>
      </c>
      <c r="H559" s="72" t="s">
        <v>79</v>
      </c>
      <c r="I559" s="72"/>
      <c r="J559" s="72"/>
      <c r="K559" s="72"/>
      <c r="L559" s="72"/>
      <c r="M559" s="72"/>
      <c r="N559" s="72"/>
      <c r="O559" s="72" t="s">
        <v>1438</v>
      </c>
      <c r="P559" s="72" t="s">
        <v>3574</v>
      </c>
      <c r="Q559" s="72" t="s">
        <v>3575</v>
      </c>
      <c r="R559" s="72" t="s">
        <v>3576</v>
      </c>
      <c r="S559" s="72" t="s">
        <v>28</v>
      </c>
    </row>
    <row r="560" spans="1:19" x14ac:dyDescent="0.25">
      <c r="A560" s="72" t="s">
        <v>887</v>
      </c>
      <c r="B560" s="72" t="s">
        <v>812</v>
      </c>
      <c r="C560" s="72" t="s">
        <v>96</v>
      </c>
      <c r="D560" s="72" t="s">
        <v>886</v>
      </c>
      <c r="E560" s="72" t="s">
        <v>887</v>
      </c>
      <c r="F560" s="72" t="s">
        <v>888</v>
      </c>
      <c r="G560" s="72" t="s">
        <v>19</v>
      </c>
      <c r="H560" s="72" t="s">
        <v>61</v>
      </c>
      <c r="I560" s="72"/>
      <c r="J560" s="72"/>
      <c r="K560" s="72"/>
      <c r="L560" s="72"/>
      <c r="M560" s="72"/>
      <c r="N560" s="72"/>
      <c r="O560" s="72" t="s">
        <v>1555</v>
      </c>
      <c r="P560" s="72" t="s">
        <v>3577</v>
      </c>
      <c r="Q560" s="72" t="s">
        <v>3578</v>
      </c>
      <c r="R560" s="72" t="s">
        <v>3579</v>
      </c>
      <c r="S560" s="72" t="s">
        <v>19</v>
      </c>
    </row>
    <row r="561" spans="1:19" x14ac:dyDescent="0.25">
      <c r="A561" s="72" t="s">
        <v>889</v>
      </c>
      <c r="B561" s="72" t="s">
        <v>812</v>
      </c>
      <c r="C561" s="72" t="s">
        <v>10</v>
      </c>
      <c r="D561" s="72" t="s">
        <v>827</v>
      </c>
      <c r="E561" s="72" t="s">
        <v>889</v>
      </c>
      <c r="F561" s="72" t="s">
        <v>570</v>
      </c>
      <c r="G561" s="72" t="s">
        <v>19</v>
      </c>
      <c r="H561" s="72" t="s">
        <v>15</v>
      </c>
      <c r="I561" s="72"/>
      <c r="J561" s="72"/>
      <c r="K561" s="72"/>
      <c r="L561" s="72"/>
      <c r="M561" s="72"/>
      <c r="N561" s="72"/>
      <c r="O561" s="72" t="s">
        <v>1555</v>
      </c>
      <c r="P561" s="72" t="s">
        <v>3580</v>
      </c>
      <c r="Q561" s="72" t="s">
        <v>3581</v>
      </c>
      <c r="R561" s="72" t="s">
        <v>3582</v>
      </c>
      <c r="S561" s="72" t="s">
        <v>19</v>
      </c>
    </row>
    <row r="562" spans="1:19" x14ac:dyDescent="0.25">
      <c r="A562" s="72" t="s">
        <v>897</v>
      </c>
      <c r="B562" s="72" t="s">
        <v>812</v>
      </c>
      <c r="C562" s="72" t="s">
        <v>140</v>
      </c>
      <c r="D562" s="72" t="s">
        <v>819</v>
      </c>
      <c r="E562" s="72" t="s">
        <v>897</v>
      </c>
      <c r="F562" s="72" t="s">
        <v>898</v>
      </c>
      <c r="G562" s="72" t="s">
        <v>28</v>
      </c>
      <c r="H562" s="72" t="s">
        <v>79</v>
      </c>
      <c r="I562" s="72"/>
      <c r="J562" s="72"/>
      <c r="K562" s="72"/>
      <c r="L562" s="72"/>
      <c r="M562" s="72"/>
      <c r="N562" s="72"/>
      <c r="O562" s="72" t="s">
        <v>3570</v>
      </c>
      <c r="P562" s="72" t="s">
        <v>3583</v>
      </c>
      <c r="Q562" s="72" t="s">
        <v>3584</v>
      </c>
      <c r="R562" s="72" t="s">
        <v>3585</v>
      </c>
      <c r="S562" s="72" t="s">
        <v>28</v>
      </c>
    </row>
    <row r="563" spans="1:19" x14ac:dyDescent="0.25">
      <c r="A563" s="72" t="s">
        <v>906</v>
      </c>
      <c r="B563" s="72" t="s">
        <v>812</v>
      </c>
      <c r="C563" s="72" t="s">
        <v>96</v>
      </c>
      <c r="D563" s="72" t="s">
        <v>819</v>
      </c>
      <c r="E563" s="72" t="s">
        <v>906</v>
      </c>
      <c r="F563" s="72" t="s">
        <v>907</v>
      </c>
      <c r="G563" s="72" t="s">
        <v>28</v>
      </c>
      <c r="H563" s="72" t="s">
        <v>983</v>
      </c>
      <c r="I563" s="72"/>
      <c r="J563" s="72"/>
      <c r="K563" s="72"/>
      <c r="L563" s="72"/>
      <c r="M563" s="72"/>
      <c r="N563" s="72"/>
      <c r="O563" s="72" t="s">
        <v>3586</v>
      </c>
      <c r="P563" s="72" t="s">
        <v>3587</v>
      </c>
      <c r="Q563" s="72" t="s">
        <v>3588</v>
      </c>
      <c r="R563" s="72" t="s">
        <v>3589</v>
      </c>
      <c r="S563" s="72" t="s">
        <v>28</v>
      </c>
    </row>
    <row r="564" spans="1:19" x14ac:dyDescent="0.25">
      <c r="A564" s="72" t="s">
        <v>915</v>
      </c>
      <c r="B564" s="72" t="s">
        <v>812</v>
      </c>
      <c r="C564" s="72" t="s">
        <v>10</v>
      </c>
      <c r="D564" s="72" t="s">
        <v>914</v>
      </c>
      <c r="E564" s="72" t="s">
        <v>915</v>
      </c>
      <c r="F564" s="72" t="s">
        <v>916</v>
      </c>
      <c r="G564" s="72" t="s">
        <v>19</v>
      </c>
      <c r="H564" s="72" t="s">
        <v>792</v>
      </c>
      <c r="I564" s="72"/>
      <c r="J564" s="72"/>
      <c r="K564" s="72"/>
      <c r="L564" s="72"/>
      <c r="M564" s="72"/>
      <c r="N564" s="72"/>
      <c r="O564" s="72" t="s">
        <v>2325</v>
      </c>
      <c r="P564" s="72" t="s">
        <v>3590</v>
      </c>
      <c r="Q564" s="72" t="s">
        <v>3591</v>
      </c>
      <c r="R564" s="72" t="s">
        <v>3592</v>
      </c>
      <c r="S564" s="72" t="s">
        <v>19</v>
      </c>
    </row>
    <row r="565" spans="1:19" x14ac:dyDescent="0.25">
      <c r="A565" s="72" t="s">
        <v>529</v>
      </c>
      <c r="B565" s="72" t="s">
        <v>812</v>
      </c>
      <c r="C565" s="72" t="s">
        <v>140</v>
      </c>
      <c r="D565" s="72" t="s">
        <v>785</v>
      </c>
      <c r="E565" s="72" t="s">
        <v>529</v>
      </c>
      <c r="F565" s="72" t="s">
        <v>530</v>
      </c>
      <c r="G565" s="72" t="s">
        <v>19</v>
      </c>
      <c r="H565" s="72" t="s">
        <v>20</v>
      </c>
      <c r="I565" s="72"/>
      <c r="J565" s="72"/>
      <c r="K565" s="72"/>
      <c r="L565" s="72"/>
      <c r="M565" s="72"/>
      <c r="N565" s="72"/>
      <c r="O565" s="72" t="s">
        <v>2424</v>
      </c>
      <c r="P565" s="72" t="s">
        <v>3593</v>
      </c>
      <c r="Q565" s="72" t="s">
        <v>3594</v>
      </c>
      <c r="R565" s="72" t="s">
        <v>3595</v>
      </c>
      <c r="S565" s="72" t="s">
        <v>19</v>
      </c>
    </row>
    <row r="566" spans="1:19" x14ac:dyDescent="0.25">
      <c r="A566" s="72" t="s">
        <v>941</v>
      </c>
      <c r="B566" s="72" t="s">
        <v>812</v>
      </c>
      <c r="C566" s="72" t="s">
        <v>140</v>
      </c>
      <c r="D566" s="72" t="s">
        <v>787</v>
      </c>
      <c r="E566" s="72" t="s">
        <v>941</v>
      </c>
      <c r="F566" s="72" t="s">
        <v>942</v>
      </c>
      <c r="G566" s="72" t="s">
        <v>14</v>
      </c>
      <c r="H566" s="72" t="s">
        <v>1459</v>
      </c>
      <c r="I566" s="72"/>
      <c r="J566" s="72"/>
      <c r="K566" s="72"/>
      <c r="L566" s="72"/>
      <c r="M566" s="72"/>
      <c r="N566" s="72"/>
      <c r="O566" s="72" t="s">
        <v>3167</v>
      </c>
      <c r="P566" s="72" t="s">
        <v>3596</v>
      </c>
      <c r="Q566" s="72" t="s">
        <v>3597</v>
      </c>
      <c r="R566" s="72" t="s">
        <v>3598</v>
      </c>
      <c r="S566" s="72" t="s">
        <v>1523</v>
      </c>
    </row>
    <row r="567" spans="1:19" x14ac:dyDescent="0.25">
      <c r="A567" s="72" t="s">
        <v>946</v>
      </c>
      <c r="B567" s="72" t="s">
        <v>812</v>
      </c>
      <c r="C567" s="72" t="s">
        <v>140</v>
      </c>
      <c r="D567" s="72" t="s">
        <v>816</v>
      </c>
      <c r="E567" s="72" t="s">
        <v>946</v>
      </c>
      <c r="F567" s="72" t="s">
        <v>947</v>
      </c>
      <c r="G567" s="72" t="s">
        <v>28</v>
      </c>
      <c r="H567" s="72" t="s">
        <v>983</v>
      </c>
      <c r="I567" s="72"/>
      <c r="J567" s="72"/>
      <c r="K567" s="72"/>
      <c r="L567" s="72"/>
      <c r="M567" s="72"/>
      <c r="N567" s="72"/>
      <c r="O567" s="72" t="s">
        <v>3586</v>
      </c>
      <c r="P567" s="72" t="s">
        <v>3599</v>
      </c>
      <c r="Q567" s="72" t="s">
        <v>3600</v>
      </c>
      <c r="R567" s="72" t="s">
        <v>3601</v>
      </c>
      <c r="S567" s="72" t="s">
        <v>28</v>
      </c>
    </row>
    <row r="568" spans="1:19" x14ac:dyDescent="0.25">
      <c r="A568" s="72" t="s">
        <v>948</v>
      </c>
      <c r="B568" s="72" t="s">
        <v>812</v>
      </c>
      <c r="C568" s="72" t="s">
        <v>47</v>
      </c>
      <c r="D568" s="72" t="s">
        <v>904</v>
      </c>
      <c r="E568" s="72" t="s">
        <v>948</v>
      </c>
      <c r="F568" s="72" t="s">
        <v>949</v>
      </c>
      <c r="G568" s="72" t="s">
        <v>28</v>
      </c>
      <c r="H568" s="72" t="s">
        <v>983</v>
      </c>
      <c r="I568" s="72"/>
      <c r="J568" s="72"/>
      <c r="K568" s="72"/>
      <c r="L568" s="72"/>
      <c r="M568" s="72"/>
      <c r="N568" s="72"/>
      <c r="O568" s="72" t="s">
        <v>2521</v>
      </c>
      <c r="P568" s="72" t="s">
        <v>3561</v>
      </c>
      <c r="Q568" s="72" t="s">
        <v>3602</v>
      </c>
      <c r="R568" s="72" t="s">
        <v>3603</v>
      </c>
      <c r="S568" s="72" t="s">
        <v>28</v>
      </c>
    </row>
    <row r="569" spans="1:19" x14ac:dyDescent="0.25">
      <c r="A569" s="72" t="s">
        <v>954</v>
      </c>
      <c r="B569" s="72" t="s">
        <v>812</v>
      </c>
      <c r="C569" s="72" t="s">
        <v>140</v>
      </c>
      <c r="D569" s="72" t="s">
        <v>908</v>
      </c>
      <c r="E569" s="72" t="s">
        <v>954</v>
      </c>
      <c r="F569" s="72" t="s">
        <v>955</v>
      </c>
      <c r="G569" s="72" t="s">
        <v>28</v>
      </c>
      <c r="H569" s="72" t="s">
        <v>24</v>
      </c>
      <c r="I569" s="72"/>
      <c r="J569" s="72"/>
      <c r="K569" s="72"/>
      <c r="L569" s="72"/>
      <c r="M569" s="72"/>
      <c r="N569" s="72"/>
      <c r="O569" s="72" t="s">
        <v>1766</v>
      </c>
      <c r="P569" s="72" t="s">
        <v>3604</v>
      </c>
      <c r="Q569" s="72" t="s">
        <v>3605</v>
      </c>
      <c r="R569" s="72" t="s">
        <v>3606</v>
      </c>
      <c r="S569" s="72" t="s">
        <v>28</v>
      </c>
    </row>
    <row r="570" spans="1:19" x14ac:dyDescent="0.25">
      <c r="A570" s="72" t="s">
        <v>959</v>
      </c>
      <c r="B570" s="72" t="s">
        <v>812</v>
      </c>
      <c r="C570" s="72" t="s">
        <v>140</v>
      </c>
      <c r="D570" s="72" t="s">
        <v>958</v>
      </c>
      <c r="E570" s="72" t="s">
        <v>959</v>
      </c>
      <c r="F570" s="72" t="s">
        <v>960</v>
      </c>
      <c r="G570" s="72" t="s">
        <v>19</v>
      </c>
      <c r="H570" s="72" t="s">
        <v>46</v>
      </c>
      <c r="I570" s="72"/>
      <c r="J570" s="72"/>
      <c r="K570" s="72"/>
      <c r="L570" s="72"/>
      <c r="M570" s="72"/>
      <c r="N570" s="72"/>
      <c r="O570" s="72" t="s">
        <v>3027</v>
      </c>
      <c r="P570" s="72" t="s">
        <v>3607</v>
      </c>
      <c r="Q570" s="72" t="s">
        <v>3608</v>
      </c>
      <c r="R570" s="72" t="s">
        <v>3609</v>
      </c>
      <c r="S570" s="72" t="s">
        <v>19</v>
      </c>
    </row>
    <row r="571" spans="1:19" x14ac:dyDescent="0.25">
      <c r="A571" s="72" t="s">
        <v>309</v>
      </c>
      <c r="B571" s="72" t="s">
        <v>812</v>
      </c>
      <c r="C571" s="72" t="s">
        <v>128</v>
      </c>
      <c r="D571" s="72" t="s">
        <v>129</v>
      </c>
      <c r="E571" s="72" t="s">
        <v>309</v>
      </c>
      <c r="F571" s="72" t="s">
        <v>310</v>
      </c>
      <c r="G571" s="72" t="s">
        <v>37</v>
      </c>
      <c r="H571" s="72" t="s">
        <v>132</v>
      </c>
      <c r="I571" s="72"/>
      <c r="J571" s="72"/>
      <c r="K571" s="72"/>
      <c r="L571" s="72"/>
      <c r="M571" s="72"/>
      <c r="N571" s="72"/>
      <c r="O571" s="72" t="s">
        <v>1583</v>
      </c>
      <c r="P571" s="72" t="s">
        <v>3610</v>
      </c>
      <c r="Q571" s="72" t="s">
        <v>3611</v>
      </c>
      <c r="R571" s="72" t="s">
        <v>3612</v>
      </c>
      <c r="S571" s="72" t="s">
        <v>37</v>
      </c>
    </row>
    <row r="572" spans="1:19" x14ac:dyDescent="0.25">
      <c r="A572" s="72" t="s">
        <v>982</v>
      </c>
      <c r="B572" s="72" t="s">
        <v>812</v>
      </c>
      <c r="C572" s="72" t="s">
        <v>10</v>
      </c>
      <c r="D572" s="72" t="s">
        <v>890</v>
      </c>
      <c r="E572" s="72" t="s">
        <v>982</v>
      </c>
      <c r="F572" s="72" t="s">
        <v>670</v>
      </c>
      <c r="G572" s="72" t="s">
        <v>14</v>
      </c>
      <c r="H572" s="72" t="s">
        <v>983</v>
      </c>
      <c r="I572" s="72"/>
      <c r="J572" s="72"/>
      <c r="K572" s="72"/>
      <c r="L572" s="72"/>
      <c r="M572" s="72"/>
      <c r="N572" s="72"/>
      <c r="O572" s="72" t="s">
        <v>1530</v>
      </c>
      <c r="P572" s="72" t="s">
        <v>3613</v>
      </c>
      <c r="Q572" s="72" t="s">
        <v>3614</v>
      </c>
      <c r="R572" s="72" t="s">
        <v>3615</v>
      </c>
      <c r="S572" s="72" t="s">
        <v>1523</v>
      </c>
    </row>
    <row r="573" spans="1:19" x14ac:dyDescent="0.25">
      <c r="A573" s="72" t="s">
        <v>333</v>
      </c>
      <c r="B573" s="72" t="s">
        <v>812</v>
      </c>
      <c r="C573" s="72" t="s">
        <v>10</v>
      </c>
      <c r="D573" s="72" t="s">
        <v>133</v>
      </c>
      <c r="E573" s="72" t="s">
        <v>333</v>
      </c>
      <c r="F573" s="72" t="s">
        <v>334</v>
      </c>
      <c r="G573" s="72" t="s">
        <v>37</v>
      </c>
      <c r="H573" s="72" t="s">
        <v>132</v>
      </c>
      <c r="I573" s="72"/>
      <c r="J573" s="72"/>
      <c r="K573" s="72"/>
      <c r="L573" s="72"/>
      <c r="M573" s="72"/>
      <c r="N573" s="72"/>
      <c r="O573" s="72" t="s">
        <v>1411</v>
      </c>
      <c r="P573" s="72" t="s">
        <v>3616</v>
      </c>
      <c r="Q573" s="72" t="s">
        <v>3617</v>
      </c>
      <c r="R573" s="72" t="s">
        <v>1402</v>
      </c>
      <c r="S573" s="72" t="s">
        <v>37</v>
      </c>
    </row>
    <row r="574" spans="1:19" x14ac:dyDescent="0.25">
      <c r="A574" s="72" t="s">
        <v>984</v>
      </c>
      <c r="B574" s="72" t="s">
        <v>812</v>
      </c>
      <c r="C574" s="72" t="s">
        <v>47</v>
      </c>
      <c r="D574" s="72" t="s">
        <v>890</v>
      </c>
      <c r="E574" s="72" t="s">
        <v>984</v>
      </c>
      <c r="F574" s="72" t="s">
        <v>985</v>
      </c>
      <c r="G574" s="72" t="s">
        <v>14</v>
      </c>
      <c r="H574" s="72" t="s">
        <v>983</v>
      </c>
      <c r="I574" s="72"/>
      <c r="J574" s="72"/>
      <c r="K574" s="72"/>
      <c r="L574" s="72"/>
      <c r="M574" s="72"/>
      <c r="N574" s="72"/>
      <c r="O574" s="72" t="s">
        <v>1530</v>
      </c>
      <c r="P574" s="72" t="s">
        <v>3561</v>
      </c>
      <c r="Q574" s="72" t="s">
        <v>3618</v>
      </c>
      <c r="R574" s="72" t="s">
        <v>3619</v>
      </c>
      <c r="S574" s="72" t="s">
        <v>1523</v>
      </c>
    </row>
    <row r="575" spans="1:19" x14ac:dyDescent="0.25">
      <c r="A575" s="72" t="s">
        <v>316</v>
      </c>
      <c r="B575" s="72" t="s">
        <v>812</v>
      </c>
      <c r="C575" s="72" t="s">
        <v>47</v>
      </c>
      <c r="D575" s="72" t="s">
        <v>784</v>
      </c>
      <c r="E575" s="72" t="s">
        <v>316</v>
      </c>
      <c r="F575" s="72" t="s">
        <v>317</v>
      </c>
      <c r="G575" s="72" t="s">
        <v>19</v>
      </c>
      <c r="H575" s="72" t="s">
        <v>20</v>
      </c>
      <c r="I575" s="72"/>
      <c r="J575" s="72"/>
      <c r="K575" s="72"/>
      <c r="L575" s="72"/>
      <c r="M575" s="72"/>
      <c r="N575" s="72"/>
      <c r="O575" s="72" t="s">
        <v>2148</v>
      </c>
      <c r="P575" s="72" t="s">
        <v>3620</v>
      </c>
      <c r="Q575" s="72" t="s">
        <v>3621</v>
      </c>
      <c r="R575" s="72" t="s">
        <v>3622</v>
      </c>
      <c r="S575" s="72" t="s">
        <v>19</v>
      </c>
    </row>
    <row r="576" spans="1:19" x14ac:dyDescent="0.25">
      <c r="A576" s="72" t="s">
        <v>166</v>
      </c>
      <c r="B576" s="72" t="s">
        <v>812</v>
      </c>
      <c r="C576" s="72" t="s">
        <v>10</v>
      </c>
      <c r="D576" s="72" t="s">
        <v>163</v>
      </c>
      <c r="E576" s="72" t="s">
        <v>166</v>
      </c>
      <c r="F576" s="72" t="s">
        <v>167</v>
      </c>
      <c r="G576" s="72" t="s">
        <v>37</v>
      </c>
      <c r="H576" s="72" t="s">
        <v>793</v>
      </c>
      <c r="I576" s="72"/>
      <c r="J576" s="72"/>
      <c r="K576" s="72"/>
      <c r="L576" s="72"/>
      <c r="M576" s="72"/>
      <c r="N576" s="72"/>
      <c r="O576" s="72" t="s">
        <v>1417</v>
      </c>
      <c r="P576" s="72" t="s">
        <v>3623</v>
      </c>
      <c r="Q576" s="72" t="s">
        <v>3624</v>
      </c>
      <c r="R576" s="72" t="s">
        <v>1403</v>
      </c>
      <c r="S576" s="72" t="s">
        <v>37</v>
      </c>
    </row>
    <row r="577" spans="1:19" x14ac:dyDescent="0.25">
      <c r="A577" s="72" t="s">
        <v>428</v>
      </c>
      <c r="B577" s="72" t="s">
        <v>812</v>
      </c>
      <c r="C577" s="72" t="s">
        <v>10</v>
      </c>
      <c r="D577" s="72" t="s">
        <v>120</v>
      </c>
      <c r="E577" s="72" t="s">
        <v>428</v>
      </c>
      <c r="F577" s="72" t="s">
        <v>429</v>
      </c>
      <c r="G577" s="72" t="s">
        <v>37</v>
      </c>
      <c r="H577" s="72" t="s">
        <v>123</v>
      </c>
      <c r="I577" s="72"/>
      <c r="J577" s="72"/>
      <c r="K577" s="72"/>
      <c r="L577" s="72"/>
      <c r="M577" s="72"/>
      <c r="N577" s="72"/>
      <c r="O577" s="72" t="s">
        <v>1548</v>
      </c>
      <c r="P577" s="72" t="s">
        <v>3625</v>
      </c>
      <c r="Q577" s="72" t="s">
        <v>3626</v>
      </c>
      <c r="R577" s="72" t="s">
        <v>1404</v>
      </c>
      <c r="S577" s="72" t="s">
        <v>37</v>
      </c>
    </row>
    <row r="578" spans="1:19" x14ac:dyDescent="0.25">
      <c r="A578" s="72" t="s">
        <v>439</v>
      </c>
      <c r="B578" s="72" t="s">
        <v>812</v>
      </c>
      <c r="C578" s="72" t="s">
        <v>10</v>
      </c>
      <c r="D578" s="72" t="s">
        <v>785</v>
      </c>
      <c r="E578" s="72" t="s">
        <v>439</v>
      </c>
      <c r="F578" s="72" t="s">
        <v>440</v>
      </c>
      <c r="G578" s="72" t="s">
        <v>28</v>
      </c>
      <c r="H578" s="72" t="s">
        <v>20</v>
      </c>
      <c r="I578" s="72"/>
      <c r="J578" s="72"/>
      <c r="K578" s="72"/>
      <c r="L578" s="72"/>
      <c r="M578" s="72"/>
      <c r="N578" s="72"/>
      <c r="O578" s="72" t="s">
        <v>1782</v>
      </c>
      <c r="P578" s="72" t="s">
        <v>3627</v>
      </c>
      <c r="Q578" s="72" t="s">
        <v>3628</v>
      </c>
      <c r="R578" s="72" t="s">
        <v>3629</v>
      </c>
      <c r="S578" s="72" t="s">
        <v>19</v>
      </c>
    </row>
    <row r="579" spans="1:19" x14ac:dyDescent="0.25">
      <c r="A579" s="72" t="s">
        <v>987</v>
      </c>
      <c r="B579" s="72" t="s">
        <v>812</v>
      </c>
      <c r="C579" s="72" t="s">
        <v>47</v>
      </c>
      <c r="D579" s="72" t="s">
        <v>986</v>
      </c>
      <c r="E579" s="72" t="s">
        <v>987</v>
      </c>
      <c r="F579" s="72" t="s">
        <v>988</v>
      </c>
      <c r="G579" s="72" t="s">
        <v>19</v>
      </c>
      <c r="H579" s="72" t="s">
        <v>46</v>
      </c>
      <c r="I579" s="72"/>
      <c r="J579" s="72"/>
      <c r="K579" s="72"/>
      <c r="L579" s="72"/>
      <c r="M579" s="72"/>
      <c r="N579" s="72"/>
      <c r="O579" s="72" t="s">
        <v>1555</v>
      </c>
      <c r="P579" s="72" t="s">
        <v>3630</v>
      </c>
      <c r="Q579" s="72" t="s">
        <v>3631</v>
      </c>
      <c r="R579" s="72" t="s">
        <v>3632</v>
      </c>
      <c r="S579" s="72" t="s">
        <v>19</v>
      </c>
    </row>
    <row r="580" spans="1:19" x14ac:dyDescent="0.25">
      <c r="A580" s="72" t="s">
        <v>989</v>
      </c>
      <c r="B580" s="72" t="s">
        <v>812</v>
      </c>
      <c r="C580" s="72" t="s">
        <v>47</v>
      </c>
      <c r="D580" s="72" t="s">
        <v>819</v>
      </c>
      <c r="E580" s="72" t="s">
        <v>989</v>
      </c>
      <c r="F580" s="72" t="s">
        <v>990</v>
      </c>
      <c r="G580" s="72" t="s">
        <v>28</v>
      </c>
      <c r="H580" s="72" t="s">
        <v>822</v>
      </c>
      <c r="I580" s="72"/>
      <c r="J580" s="72"/>
      <c r="K580" s="72"/>
      <c r="L580" s="72"/>
      <c r="M580" s="72"/>
      <c r="N580" s="72"/>
      <c r="O580" s="72" t="s">
        <v>1556</v>
      </c>
      <c r="P580" s="72" t="s">
        <v>3633</v>
      </c>
      <c r="Q580" s="72" t="s">
        <v>3634</v>
      </c>
      <c r="R580" s="72" t="s">
        <v>3635</v>
      </c>
      <c r="S580" s="72" t="s">
        <v>28</v>
      </c>
    </row>
    <row r="581" spans="1:19" x14ac:dyDescent="0.25">
      <c r="A581" s="72" t="s">
        <v>991</v>
      </c>
      <c r="B581" s="72" t="s">
        <v>812</v>
      </c>
      <c r="C581" s="72" t="s">
        <v>10</v>
      </c>
      <c r="D581" s="72" t="s">
        <v>802</v>
      </c>
      <c r="E581" s="72" t="s">
        <v>991</v>
      </c>
      <c r="F581" s="72" t="s">
        <v>992</v>
      </c>
      <c r="G581" s="72" t="s">
        <v>14</v>
      </c>
      <c r="H581" s="72" t="s">
        <v>1459</v>
      </c>
      <c r="I581" s="72"/>
      <c r="J581" s="72"/>
      <c r="K581" s="72"/>
      <c r="L581" s="72"/>
      <c r="M581" s="72"/>
      <c r="N581" s="72"/>
      <c r="O581" s="72" t="s">
        <v>3159</v>
      </c>
      <c r="P581" s="72" t="s">
        <v>3636</v>
      </c>
      <c r="Q581" s="72" t="s">
        <v>3637</v>
      </c>
      <c r="R581" s="72" t="s">
        <v>3638</v>
      </c>
      <c r="S581" s="72" t="s">
        <v>1523</v>
      </c>
    </row>
    <row r="582" spans="1:19" x14ac:dyDescent="0.25">
      <c r="A582" s="72" t="s">
        <v>282</v>
      </c>
      <c r="B582" s="72" t="s">
        <v>812</v>
      </c>
      <c r="C582" s="72" t="s">
        <v>140</v>
      </c>
      <c r="D582" s="72" t="s">
        <v>808</v>
      </c>
      <c r="E582" s="72" t="s">
        <v>282</v>
      </c>
      <c r="F582" s="72" t="s">
        <v>283</v>
      </c>
      <c r="G582" s="72" t="s">
        <v>14</v>
      </c>
      <c r="H582" s="72" t="s">
        <v>3163</v>
      </c>
      <c r="I582" s="72"/>
      <c r="J582" s="72"/>
      <c r="K582" s="72"/>
      <c r="L582" s="72"/>
      <c r="M582" s="72"/>
      <c r="N582" s="72"/>
      <c r="O582" s="72" t="s">
        <v>1095</v>
      </c>
      <c r="P582" s="72" t="s">
        <v>3639</v>
      </c>
      <c r="Q582" s="72" t="s">
        <v>3640</v>
      </c>
      <c r="R582" s="72" t="s">
        <v>3641</v>
      </c>
      <c r="S582" s="72" t="s">
        <v>1523</v>
      </c>
    </row>
    <row r="583" spans="1:19" x14ac:dyDescent="0.25">
      <c r="A583" s="72" t="s">
        <v>124</v>
      </c>
      <c r="B583" s="72" t="s">
        <v>812</v>
      </c>
      <c r="C583" s="72" t="s">
        <v>10</v>
      </c>
      <c r="D583" s="72" t="s">
        <v>39</v>
      </c>
      <c r="E583" s="72" t="s">
        <v>124</v>
      </c>
      <c r="F583" s="72" t="s">
        <v>125</v>
      </c>
      <c r="G583" s="72" t="s">
        <v>37</v>
      </c>
      <c r="H583" s="72" t="s">
        <v>38</v>
      </c>
      <c r="I583" s="72"/>
      <c r="J583" s="72"/>
      <c r="K583" s="72"/>
      <c r="L583" s="72"/>
      <c r="M583" s="72"/>
      <c r="N583" s="72"/>
      <c r="O583" s="72" t="s">
        <v>1575</v>
      </c>
      <c r="P583" s="72" t="s">
        <v>3642</v>
      </c>
      <c r="Q583" s="72" t="s">
        <v>3643</v>
      </c>
      <c r="R583" s="72" t="s">
        <v>1405</v>
      </c>
      <c r="S583" s="72" t="s">
        <v>37</v>
      </c>
    </row>
    <row r="584" spans="1:19" x14ac:dyDescent="0.25">
      <c r="A584" s="72" t="s">
        <v>171</v>
      </c>
      <c r="B584" s="72" t="s">
        <v>812</v>
      </c>
      <c r="C584" s="72" t="s">
        <v>10</v>
      </c>
      <c r="D584" s="72" t="s">
        <v>129</v>
      </c>
      <c r="E584" s="72" t="s">
        <v>171</v>
      </c>
      <c r="F584" s="72" t="s">
        <v>172</v>
      </c>
      <c r="G584" s="72" t="s">
        <v>37</v>
      </c>
      <c r="H584" s="72" t="s">
        <v>42</v>
      </c>
      <c r="I584" s="72"/>
      <c r="J584" s="72"/>
      <c r="K584" s="72"/>
      <c r="L584" s="72"/>
      <c r="M584" s="72"/>
      <c r="N584" s="72"/>
      <c r="O584" s="72" t="s">
        <v>1576</v>
      </c>
      <c r="P584" s="72" t="s">
        <v>3644</v>
      </c>
      <c r="Q584" s="72" t="s">
        <v>3645</v>
      </c>
      <c r="R584" s="72" t="s">
        <v>1406</v>
      </c>
      <c r="S584" s="72" t="s">
        <v>37</v>
      </c>
    </row>
    <row r="585" spans="1:19" x14ac:dyDescent="0.25">
      <c r="A585" s="72" t="s">
        <v>997</v>
      </c>
      <c r="B585" s="72" t="s">
        <v>812</v>
      </c>
      <c r="C585" s="72" t="s">
        <v>10</v>
      </c>
      <c r="D585" s="72" t="s">
        <v>823</v>
      </c>
      <c r="E585" s="72" t="s">
        <v>997</v>
      </c>
      <c r="F585" s="72" t="s">
        <v>998</v>
      </c>
      <c r="G585" s="72" t="s">
        <v>37</v>
      </c>
      <c r="H585" s="72" t="s">
        <v>136</v>
      </c>
      <c r="I585" s="72"/>
      <c r="J585" s="72"/>
      <c r="K585" s="72"/>
      <c r="L585" s="72"/>
      <c r="M585" s="72"/>
      <c r="N585" s="72"/>
      <c r="O585" s="72" t="s">
        <v>1132</v>
      </c>
      <c r="P585" s="72" t="s">
        <v>3646</v>
      </c>
      <c r="Q585" s="72" t="s">
        <v>3647</v>
      </c>
      <c r="R585" s="72" t="s">
        <v>3648</v>
      </c>
      <c r="S585" s="72" t="s">
        <v>37</v>
      </c>
    </row>
    <row r="586" spans="1:19" x14ac:dyDescent="0.25">
      <c r="A586" s="72" t="s">
        <v>199</v>
      </c>
      <c r="B586" s="72" t="s">
        <v>812</v>
      </c>
      <c r="C586" s="72" t="s">
        <v>10</v>
      </c>
      <c r="D586" s="72" t="s">
        <v>160</v>
      </c>
      <c r="E586" s="72" t="s">
        <v>199</v>
      </c>
      <c r="F586" s="72" t="s">
        <v>200</v>
      </c>
      <c r="G586" s="72" t="s">
        <v>37</v>
      </c>
      <c r="H586" s="72" t="s">
        <v>308</v>
      </c>
      <c r="I586" s="72"/>
      <c r="J586" s="72"/>
      <c r="K586" s="72"/>
      <c r="L586" s="72"/>
      <c r="M586" s="72"/>
      <c r="N586" s="72"/>
      <c r="O586" s="72" t="s">
        <v>1584</v>
      </c>
      <c r="P586" s="72" t="s">
        <v>3649</v>
      </c>
      <c r="Q586" s="72" t="s">
        <v>3650</v>
      </c>
      <c r="R586" s="72" t="s">
        <v>1407</v>
      </c>
      <c r="S586" s="72" t="s">
        <v>37</v>
      </c>
    </row>
    <row r="587" spans="1:19" x14ac:dyDescent="0.25">
      <c r="A587" s="72" t="s">
        <v>999</v>
      </c>
      <c r="B587" s="72" t="s">
        <v>812</v>
      </c>
      <c r="C587" s="72" t="s">
        <v>10</v>
      </c>
      <c r="D587" s="72" t="s">
        <v>823</v>
      </c>
      <c r="E587" s="72" t="s">
        <v>999</v>
      </c>
      <c r="F587" s="72" t="s">
        <v>296</v>
      </c>
      <c r="G587" s="72" t="s">
        <v>37</v>
      </c>
      <c r="H587" s="72" t="s">
        <v>136</v>
      </c>
      <c r="I587" s="72"/>
      <c r="J587" s="72"/>
      <c r="K587" s="72"/>
      <c r="L587" s="72"/>
      <c r="M587" s="72"/>
      <c r="N587" s="72"/>
      <c r="O587" s="72" t="s">
        <v>1413</v>
      </c>
      <c r="P587" s="72" t="s">
        <v>3646</v>
      </c>
      <c r="Q587" s="72" t="s">
        <v>3651</v>
      </c>
      <c r="R587" s="72" t="s">
        <v>3648</v>
      </c>
      <c r="S587" s="72" t="s">
        <v>37</v>
      </c>
    </row>
    <row r="588" spans="1:19" x14ac:dyDescent="0.25">
      <c r="A588" s="72" t="s">
        <v>35</v>
      </c>
      <c r="B588" s="72" t="s">
        <v>812</v>
      </c>
      <c r="C588" s="72" t="s">
        <v>10</v>
      </c>
      <c r="D588" s="72" t="s">
        <v>34</v>
      </c>
      <c r="E588" s="72" t="s">
        <v>35</v>
      </c>
      <c r="F588" s="72" t="s">
        <v>36</v>
      </c>
      <c r="G588" s="72" t="s">
        <v>37</v>
      </c>
      <c r="H588" s="72" t="s">
        <v>38</v>
      </c>
      <c r="I588" s="72"/>
      <c r="J588" s="72"/>
      <c r="K588" s="72"/>
      <c r="L588" s="72"/>
      <c r="M588" s="72"/>
      <c r="N588" s="72"/>
      <c r="O588" s="72" t="s">
        <v>1580</v>
      </c>
      <c r="P588" s="72" t="s">
        <v>3642</v>
      </c>
      <c r="Q588" s="72" t="s">
        <v>3652</v>
      </c>
      <c r="R588" s="72" t="s">
        <v>1408</v>
      </c>
      <c r="S588" s="72" t="s">
        <v>37</v>
      </c>
    </row>
    <row r="589" spans="1:19" x14ac:dyDescent="0.25">
      <c r="A589" s="72" t="s">
        <v>297</v>
      </c>
      <c r="B589" s="72" t="s">
        <v>812</v>
      </c>
      <c r="C589" s="72" t="s">
        <v>10</v>
      </c>
      <c r="D589" s="72" t="s">
        <v>180</v>
      </c>
      <c r="E589" s="72" t="s">
        <v>297</v>
      </c>
      <c r="F589" s="72" t="s">
        <v>298</v>
      </c>
      <c r="G589" s="72" t="s">
        <v>37</v>
      </c>
      <c r="H589" s="72" t="s">
        <v>132</v>
      </c>
      <c r="I589" s="72"/>
      <c r="J589" s="72"/>
      <c r="K589" s="72"/>
      <c r="L589" s="72"/>
      <c r="M589" s="72"/>
      <c r="N589" s="72"/>
      <c r="O589" s="72" t="s">
        <v>1583</v>
      </c>
      <c r="P589" s="72" t="s">
        <v>3616</v>
      </c>
      <c r="Q589" s="72" t="s">
        <v>3653</v>
      </c>
      <c r="R589" s="72" t="s">
        <v>1409</v>
      </c>
      <c r="S589" s="72" t="s">
        <v>37</v>
      </c>
    </row>
    <row r="590" spans="1:19" x14ac:dyDescent="0.25">
      <c r="A590" s="72" t="s">
        <v>651</v>
      </c>
      <c r="B590" s="72" t="s">
        <v>812</v>
      </c>
      <c r="C590" s="72" t="s">
        <v>47</v>
      </c>
      <c r="D590" s="72" t="s">
        <v>535</v>
      </c>
      <c r="E590" s="72" t="s">
        <v>651</v>
      </c>
      <c r="F590" s="72" t="s">
        <v>652</v>
      </c>
      <c r="G590" s="72" t="s">
        <v>19</v>
      </c>
      <c r="H590" s="72" t="s">
        <v>83</v>
      </c>
      <c r="I590" s="72"/>
      <c r="J590" s="72"/>
      <c r="K590" s="72"/>
      <c r="L590" s="72"/>
      <c r="M590" s="72"/>
      <c r="N590" s="72"/>
      <c r="O590" s="72" t="s">
        <v>2325</v>
      </c>
      <c r="P590" s="72" t="s">
        <v>3654</v>
      </c>
      <c r="Q590" s="72" t="s">
        <v>3655</v>
      </c>
      <c r="R590" s="72" t="s">
        <v>3656</v>
      </c>
      <c r="S590" s="72" t="s">
        <v>19</v>
      </c>
    </row>
    <row r="591" spans="1:19" x14ac:dyDescent="0.25">
      <c r="A591" s="72" t="s">
        <v>1003</v>
      </c>
      <c r="B591" s="72" t="s">
        <v>812</v>
      </c>
      <c r="C591" s="72" t="s">
        <v>96</v>
      </c>
      <c r="D591" s="72" t="s">
        <v>794</v>
      </c>
      <c r="E591" s="72" t="s">
        <v>1003</v>
      </c>
      <c r="F591" s="72" t="s">
        <v>478</v>
      </c>
      <c r="G591" s="72" t="s">
        <v>14</v>
      </c>
      <c r="H591" s="72" t="s">
        <v>3163</v>
      </c>
      <c r="I591" s="72"/>
      <c r="J591" s="72"/>
      <c r="K591" s="72"/>
      <c r="L591" s="72"/>
      <c r="M591" s="72"/>
      <c r="N591" s="72"/>
      <c r="O591" s="72" t="s">
        <v>2861</v>
      </c>
      <c r="P591" s="72" t="s">
        <v>3657</v>
      </c>
      <c r="Q591" s="72" t="s">
        <v>3658</v>
      </c>
      <c r="R591" s="72" t="s">
        <v>3659</v>
      </c>
      <c r="S591" s="72" t="s">
        <v>1523</v>
      </c>
    </row>
    <row r="592" spans="1:19" x14ac:dyDescent="0.25">
      <c r="A592" s="72" t="s">
        <v>1005</v>
      </c>
      <c r="B592" s="72" t="s">
        <v>812</v>
      </c>
      <c r="C592" s="72" t="s">
        <v>47</v>
      </c>
      <c r="D592" s="72" t="s">
        <v>1004</v>
      </c>
      <c r="E592" s="72" t="s">
        <v>1005</v>
      </c>
      <c r="F592" s="72" t="s">
        <v>1006</v>
      </c>
      <c r="G592" s="72" t="s">
        <v>28</v>
      </c>
      <c r="H592" s="72" t="s">
        <v>287</v>
      </c>
      <c r="I592" s="72"/>
      <c r="J592" s="72"/>
      <c r="K592" s="72"/>
      <c r="L592" s="72"/>
      <c r="M592" s="72"/>
      <c r="N592" s="72"/>
      <c r="O592" s="72" t="s">
        <v>3570</v>
      </c>
      <c r="P592" s="72" t="s">
        <v>3660</v>
      </c>
      <c r="Q592" s="72" t="s">
        <v>3661</v>
      </c>
      <c r="R592" s="72" t="s">
        <v>3662</v>
      </c>
      <c r="S592" s="72" t="s">
        <v>28</v>
      </c>
    </row>
    <row r="593" spans="1:19" x14ac:dyDescent="0.25">
      <c r="A593" s="72" t="s">
        <v>1007</v>
      </c>
      <c r="B593" s="72" t="s">
        <v>812</v>
      </c>
      <c r="C593" s="72" t="s">
        <v>47</v>
      </c>
      <c r="D593" s="72" t="s">
        <v>850</v>
      </c>
      <c r="E593" s="72" t="s">
        <v>1007</v>
      </c>
      <c r="F593" s="72" t="s">
        <v>1008</v>
      </c>
      <c r="G593" s="72" t="s">
        <v>28</v>
      </c>
      <c r="H593" s="72" t="s">
        <v>983</v>
      </c>
      <c r="I593" s="72"/>
      <c r="J593" s="72"/>
      <c r="K593" s="72"/>
      <c r="L593" s="72"/>
      <c r="M593" s="72"/>
      <c r="N593" s="72"/>
      <c r="O593" s="72" t="s">
        <v>3141</v>
      </c>
      <c r="P593" s="72" t="s">
        <v>3561</v>
      </c>
      <c r="Q593" s="72" t="s">
        <v>3663</v>
      </c>
      <c r="R593" s="72" t="s">
        <v>3664</v>
      </c>
      <c r="S593" s="72" t="s">
        <v>19</v>
      </c>
    </row>
    <row r="594" spans="1:19" x14ac:dyDescent="0.25">
      <c r="A594" s="72" t="s">
        <v>647</v>
      </c>
      <c r="B594" s="72" t="s">
        <v>812</v>
      </c>
      <c r="C594" s="72" t="s">
        <v>47</v>
      </c>
      <c r="D594" s="72" t="s">
        <v>919</v>
      </c>
      <c r="E594" s="72" t="s">
        <v>647</v>
      </c>
      <c r="F594" s="72" t="s">
        <v>648</v>
      </c>
      <c r="G594" s="72" t="s">
        <v>19</v>
      </c>
      <c r="H594" s="72" t="s">
        <v>237</v>
      </c>
      <c r="I594" s="72"/>
      <c r="J594" s="72"/>
      <c r="K594" s="72"/>
      <c r="L594" s="72"/>
      <c r="M594" s="72"/>
      <c r="N594" s="72"/>
      <c r="O594" s="72" t="s">
        <v>2816</v>
      </c>
      <c r="P594" s="72" t="s">
        <v>3665</v>
      </c>
      <c r="Q594" s="72" t="s">
        <v>3666</v>
      </c>
      <c r="R594" s="72" t="s">
        <v>3667</v>
      </c>
      <c r="S594" s="72" t="s">
        <v>19</v>
      </c>
    </row>
    <row r="595" spans="1:19" x14ac:dyDescent="0.25">
      <c r="A595" s="72" t="s">
        <v>447</v>
      </c>
      <c r="B595" s="72" t="s">
        <v>812</v>
      </c>
      <c r="C595" s="72" t="s">
        <v>140</v>
      </c>
      <c r="D595" s="72" t="s">
        <v>784</v>
      </c>
      <c r="E595" s="72" t="s">
        <v>447</v>
      </c>
      <c r="F595" s="72" t="s">
        <v>448</v>
      </c>
      <c r="G595" s="72" t="s">
        <v>19</v>
      </c>
      <c r="H595" s="72" t="s">
        <v>20</v>
      </c>
      <c r="I595" s="72"/>
      <c r="J595" s="72"/>
      <c r="K595" s="72"/>
      <c r="L595" s="72"/>
      <c r="M595" s="72"/>
      <c r="N595" s="72"/>
      <c r="O595" s="72" t="s">
        <v>1711</v>
      </c>
      <c r="P595" s="72" t="s">
        <v>3593</v>
      </c>
      <c r="Q595" s="72" t="s">
        <v>3668</v>
      </c>
      <c r="R595" s="72" t="s">
        <v>3669</v>
      </c>
      <c r="S595" s="72" t="s">
        <v>19</v>
      </c>
    </row>
    <row r="596" spans="1:19" x14ac:dyDescent="0.25">
      <c r="A596" s="72" t="s">
        <v>1012</v>
      </c>
      <c r="B596" s="72" t="s">
        <v>812</v>
      </c>
      <c r="C596" s="72" t="s">
        <v>47</v>
      </c>
      <c r="D596" s="72" t="s">
        <v>808</v>
      </c>
      <c r="E596" s="72" t="s">
        <v>1012</v>
      </c>
      <c r="F596" s="72" t="s">
        <v>1013</v>
      </c>
      <c r="G596" s="72" t="s">
        <v>14</v>
      </c>
      <c r="H596" s="72" t="s">
        <v>1460</v>
      </c>
      <c r="I596" s="72"/>
      <c r="J596" s="72"/>
      <c r="K596" s="72"/>
      <c r="L596" s="72"/>
      <c r="M596" s="72"/>
      <c r="N596" s="72"/>
      <c r="O596" s="72" t="s">
        <v>1095</v>
      </c>
      <c r="P596" s="72" t="s">
        <v>3670</v>
      </c>
      <c r="Q596" s="72" t="s">
        <v>3671</v>
      </c>
      <c r="R596" s="72" t="s">
        <v>3672</v>
      </c>
      <c r="S596" s="72" t="s">
        <v>1523</v>
      </c>
    </row>
    <row r="597" spans="1:19" x14ac:dyDescent="0.25">
      <c r="A597" s="72" t="s">
        <v>1245</v>
      </c>
      <c r="B597" s="72" t="s">
        <v>812</v>
      </c>
      <c r="C597" s="72" t="s">
        <v>47</v>
      </c>
      <c r="D597" s="72" t="s">
        <v>1014</v>
      </c>
      <c r="E597" s="72" t="s">
        <v>1245</v>
      </c>
      <c r="F597" s="72" t="s">
        <v>1016</v>
      </c>
      <c r="G597" s="72" t="s">
        <v>19</v>
      </c>
      <c r="H597" s="72" t="s">
        <v>983</v>
      </c>
      <c r="I597" s="72"/>
      <c r="J597" s="72"/>
      <c r="K597" s="72"/>
      <c r="L597" s="72"/>
      <c r="M597" s="72"/>
      <c r="N597" s="72"/>
      <c r="O597" s="72" t="s">
        <v>1590</v>
      </c>
      <c r="P597" s="72" t="s">
        <v>3561</v>
      </c>
      <c r="Q597" s="72" t="s">
        <v>3673</v>
      </c>
      <c r="R597" s="72" t="s">
        <v>3674</v>
      </c>
      <c r="S597" s="72" t="s">
        <v>19</v>
      </c>
    </row>
    <row r="598" spans="1:19" x14ac:dyDescent="0.25">
      <c r="A598" s="72" t="s">
        <v>1017</v>
      </c>
      <c r="B598" s="72" t="s">
        <v>812</v>
      </c>
      <c r="C598" s="72" t="s">
        <v>47</v>
      </c>
      <c r="D598" s="72" t="s">
        <v>920</v>
      </c>
      <c r="E598" s="72" t="s">
        <v>1017</v>
      </c>
      <c r="F598" s="72" t="s">
        <v>1018</v>
      </c>
      <c r="G598" s="72" t="s">
        <v>19</v>
      </c>
      <c r="H598" s="72" t="s">
        <v>51</v>
      </c>
      <c r="I598" s="72"/>
      <c r="J598" s="72"/>
      <c r="K598" s="72"/>
      <c r="L598" s="72"/>
      <c r="M598" s="72"/>
      <c r="N598" s="72"/>
      <c r="O598" s="72" t="s">
        <v>1782</v>
      </c>
      <c r="P598" s="72" t="s">
        <v>3675</v>
      </c>
      <c r="Q598" s="72" t="s">
        <v>3676</v>
      </c>
      <c r="R598" s="72" t="s">
        <v>3677</v>
      </c>
      <c r="S598" s="72" t="s">
        <v>19</v>
      </c>
    </row>
    <row r="599" spans="1:19" x14ac:dyDescent="0.25">
      <c r="A599" s="72" t="s">
        <v>580</v>
      </c>
      <c r="B599" s="72" t="s">
        <v>812</v>
      </c>
      <c r="C599" s="72" t="s">
        <v>10</v>
      </c>
      <c r="D599" s="72" t="s">
        <v>357</v>
      </c>
      <c r="E599" s="72" t="s">
        <v>580</v>
      </c>
      <c r="F599" s="72" t="s">
        <v>581</v>
      </c>
      <c r="G599" s="72" t="s">
        <v>19</v>
      </c>
      <c r="H599" s="72" t="s">
        <v>55</v>
      </c>
      <c r="I599" s="72"/>
      <c r="J599" s="72"/>
      <c r="K599" s="72"/>
      <c r="L599" s="72"/>
      <c r="M599" s="72"/>
      <c r="N599" s="72"/>
      <c r="O599" s="72" t="s">
        <v>2581</v>
      </c>
      <c r="P599" s="72" t="s">
        <v>3678</v>
      </c>
      <c r="Q599" s="72" t="s">
        <v>3679</v>
      </c>
      <c r="R599" s="72" t="s">
        <v>3680</v>
      </c>
      <c r="S599" s="72" t="s">
        <v>19</v>
      </c>
    </row>
    <row r="600" spans="1:19" x14ac:dyDescent="0.25">
      <c r="A600" s="72" t="s">
        <v>1022</v>
      </c>
      <c r="B600" s="72" t="s">
        <v>812</v>
      </c>
      <c r="C600" s="72" t="s">
        <v>47</v>
      </c>
      <c r="D600" s="72" t="s">
        <v>880</v>
      </c>
      <c r="E600" s="72" t="s">
        <v>1022</v>
      </c>
      <c r="F600" s="72" t="s">
        <v>1023</v>
      </c>
      <c r="G600" s="72" t="s">
        <v>14</v>
      </c>
      <c r="H600" s="72" t="s">
        <v>1457</v>
      </c>
      <c r="I600" s="72"/>
      <c r="J600" s="72"/>
      <c r="K600" s="72"/>
      <c r="L600" s="72"/>
      <c r="M600" s="72"/>
      <c r="N600" s="72"/>
      <c r="O600" s="72" t="s">
        <v>3159</v>
      </c>
      <c r="P600" s="72" t="s">
        <v>3567</v>
      </c>
      <c r="Q600" s="72" t="s">
        <v>3681</v>
      </c>
      <c r="R600" s="72" t="s">
        <v>3682</v>
      </c>
      <c r="S600" s="72" t="s">
        <v>1523</v>
      </c>
    </row>
    <row r="601" spans="1:19" x14ac:dyDescent="0.25">
      <c r="A601" s="72" t="s">
        <v>1026</v>
      </c>
      <c r="B601" s="72" t="s">
        <v>812</v>
      </c>
      <c r="C601" s="72" t="s">
        <v>96</v>
      </c>
      <c r="D601" s="72" t="s">
        <v>805</v>
      </c>
      <c r="E601" s="72" t="s">
        <v>1026</v>
      </c>
      <c r="F601" s="72" t="s">
        <v>1027</v>
      </c>
      <c r="G601" s="72" t="s">
        <v>14</v>
      </c>
      <c r="H601" s="72" t="s">
        <v>1458</v>
      </c>
      <c r="I601" s="72"/>
      <c r="J601" s="72"/>
      <c r="K601" s="72"/>
      <c r="L601" s="72"/>
      <c r="M601" s="72"/>
      <c r="N601" s="72"/>
      <c r="O601" s="72" t="s">
        <v>3159</v>
      </c>
      <c r="P601" s="72" t="s">
        <v>3683</v>
      </c>
      <c r="Q601" s="72" t="s">
        <v>3684</v>
      </c>
      <c r="R601" s="72" t="s">
        <v>3685</v>
      </c>
      <c r="S601" s="72" t="s">
        <v>1523</v>
      </c>
    </row>
    <row r="602" spans="1:19" x14ac:dyDescent="0.25">
      <c r="A602" s="72" t="s">
        <v>1028</v>
      </c>
      <c r="B602" s="72" t="s">
        <v>812</v>
      </c>
      <c r="C602" s="72" t="s">
        <v>96</v>
      </c>
      <c r="D602" s="72" t="s">
        <v>808</v>
      </c>
      <c r="E602" s="72" t="s">
        <v>1028</v>
      </c>
      <c r="F602" s="72" t="s">
        <v>1029</v>
      </c>
      <c r="G602" s="72" t="s">
        <v>14</v>
      </c>
      <c r="H602" s="72" t="s">
        <v>3163</v>
      </c>
      <c r="I602" s="72"/>
      <c r="J602" s="72"/>
      <c r="K602" s="72"/>
      <c r="L602" s="72"/>
      <c r="M602" s="72"/>
      <c r="N602" s="72"/>
      <c r="O602" s="72" t="s">
        <v>1825</v>
      </c>
      <c r="P602" s="72" t="s">
        <v>3657</v>
      </c>
      <c r="Q602" s="72" t="s">
        <v>3686</v>
      </c>
      <c r="R602" s="72" t="s">
        <v>3687</v>
      </c>
      <c r="S602" s="72" t="s">
        <v>1523</v>
      </c>
    </row>
    <row r="603" spans="1:19" x14ac:dyDescent="0.25">
      <c r="A603" s="72" t="s">
        <v>1481</v>
      </c>
      <c r="B603" s="72" t="s">
        <v>812</v>
      </c>
      <c r="C603" s="72" t="s">
        <v>96</v>
      </c>
      <c r="D603" s="72" t="s">
        <v>785</v>
      </c>
      <c r="E603" s="72" t="s">
        <v>1481</v>
      </c>
      <c r="F603" s="72" t="s">
        <v>547</v>
      </c>
      <c r="G603" s="72" t="s">
        <v>19</v>
      </c>
      <c r="H603" s="72" t="s">
        <v>287</v>
      </c>
      <c r="I603" s="72"/>
      <c r="J603" s="72"/>
      <c r="K603" s="72"/>
      <c r="L603" s="72"/>
      <c r="M603" s="72"/>
      <c r="N603" s="72"/>
      <c r="O603" s="72" t="s">
        <v>2581</v>
      </c>
      <c r="P603" s="72" t="s">
        <v>3688</v>
      </c>
      <c r="Q603" s="72" t="s">
        <v>3689</v>
      </c>
      <c r="R603" s="72" t="s">
        <v>3690</v>
      </c>
      <c r="S603" s="72" t="s">
        <v>19</v>
      </c>
    </row>
    <row r="604" spans="1:19" x14ac:dyDescent="0.25">
      <c r="A604" s="72" t="s">
        <v>1032</v>
      </c>
      <c r="B604" s="72" t="s">
        <v>812</v>
      </c>
      <c r="C604" s="72" t="s">
        <v>96</v>
      </c>
      <c r="D604" s="72" t="s">
        <v>847</v>
      </c>
      <c r="E604" s="72" t="s">
        <v>1032</v>
      </c>
      <c r="F604" s="72" t="s">
        <v>1033</v>
      </c>
      <c r="G604" s="72" t="s">
        <v>19</v>
      </c>
      <c r="H604" s="72" t="s">
        <v>61</v>
      </c>
      <c r="I604" s="72"/>
      <c r="J604" s="72"/>
      <c r="K604" s="72"/>
      <c r="L604" s="72"/>
      <c r="M604" s="72"/>
      <c r="N604" s="72"/>
      <c r="O604" s="72" t="s">
        <v>2071</v>
      </c>
      <c r="P604" s="72" t="s">
        <v>3577</v>
      </c>
      <c r="Q604" s="72" t="s">
        <v>3691</v>
      </c>
      <c r="R604" s="72" t="s">
        <v>3692</v>
      </c>
      <c r="S604" s="72" t="s">
        <v>19</v>
      </c>
    </row>
    <row r="605" spans="1:19" x14ac:dyDescent="0.25">
      <c r="A605" s="72" t="s">
        <v>1034</v>
      </c>
      <c r="B605" s="72" t="s">
        <v>812</v>
      </c>
      <c r="C605" s="72" t="s">
        <v>96</v>
      </c>
      <c r="D605" s="72" t="s">
        <v>904</v>
      </c>
      <c r="E605" s="72" t="s">
        <v>1034</v>
      </c>
      <c r="F605" s="72" t="s">
        <v>1035</v>
      </c>
      <c r="G605" s="72" t="s">
        <v>28</v>
      </c>
      <c r="H605" s="72" t="s">
        <v>55</v>
      </c>
      <c r="I605" s="72"/>
      <c r="J605" s="72"/>
      <c r="K605" s="72"/>
      <c r="L605" s="72"/>
      <c r="M605" s="72"/>
      <c r="N605" s="72"/>
      <c r="O605" s="72" t="s">
        <v>1766</v>
      </c>
      <c r="P605" s="72" t="s">
        <v>3693</v>
      </c>
      <c r="Q605" s="72" t="s">
        <v>3694</v>
      </c>
      <c r="R605" s="72" t="s">
        <v>3695</v>
      </c>
      <c r="S605" s="72" t="s">
        <v>28</v>
      </c>
    </row>
    <row r="606" spans="1:19" x14ac:dyDescent="0.25">
      <c r="A606" s="72" t="s">
        <v>1036</v>
      </c>
      <c r="B606" s="72" t="s">
        <v>812</v>
      </c>
      <c r="C606" s="72" t="s">
        <v>96</v>
      </c>
      <c r="D606" s="72" t="s">
        <v>1004</v>
      </c>
      <c r="E606" s="72" t="s">
        <v>1036</v>
      </c>
      <c r="F606" s="72" t="s">
        <v>1037</v>
      </c>
      <c r="G606" s="72" t="s">
        <v>28</v>
      </c>
      <c r="H606" s="72" t="s">
        <v>24</v>
      </c>
      <c r="I606" s="72"/>
      <c r="J606" s="72"/>
      <c r="K606" s="72"/>
      <c r="L606" s="72"/>
      <c r="M606" s="72"/>
      <c r="N606" s="72"/>
      <c r="O606" s="72" t="s">
        <v>3570</v>
      </c>
      <c r="P606" s="72" t="s">
        <v>3696</v>
      </c>
      <c r="Q606" s="72" t="s">
        <v>3697</v>
      </c>
      <c r="R606" s="72" t="s">
        <v>3698</v>
      </c>
      <c r="S606" s="72" t="s">
        <v>28</v>
      </c>
    </row>
    <row r="607" spans="1:19" x14ac:dyDescent="0.25">
      <c r="A607" s="72" t="s">
        <v>1039</v>
      </c>
      <c r="B607" s="72" t="s">
        <v>812</v>
      </c>
      <c r="C607" s="72" t="s">
        <v>10</v>
      </c>
      <c r="D607" s="72" t="s">
        <v>1038</v>
      </c>
      <c r="E607" s="72" t="s">
        <v>1039</v>
      </c>
      <c r="F607" s="72" t="s">
        <v>1040</v>
      </c>
      <c r="G607" s="72" t="s">
        <v>28</v>
      </c>
      <c r="H607" s="72" t="s">
        <v>3699</v>
      </c>
      <c r="I607" s="72"/>
      <c r="J607" s="72"/>
      <c r="K607" s="72"/>
      <c r="L607" s="72"/>
      <c r="M607" s="72"/>
      <c r="N607" s="72"/>
      <c r="O607" s="72" t="s">
        <v>3586</v>
      </c>
      <c r="P607" s="72" t="s">
        <v>3700</v>
      </c>
      <c r="Q607" s="72" t="s">
        <v>3701</v>
      </c>
      <c r="R607" s="72" t="s">
        <v>3702</v>
      </c>
      <c r="S607" s="72" t="s">
        <v>28</v>
      </c>
    </row>
    <row r="608" spans="1:19" x14ac:dyDescent="0.25">
      <c r="A608" s="72" t="s">
        <v>1041</v>
      </c>
      <c r="B608" s="72" t="s">
        <v>812</v>
      </c>
      <c r="C608" s="72" t="s">
        <v>96</v>
      </c>
      <c r="D608" s="72" t="s">
        <v>786</v>
      </c>
      <c r="E608" s="72" t="s">
        <v>1041</v>
      </c>
      <c r="F608" s="72" t="s">
        <v>1042</v>
      </c>
      <c r="G608" s="72" t="s">
        <v>14</v>
      </c>
      <c r="H608" s="72" t="s">
        <v>1459</v>
      </c>
      <c r="I608" s="72"/>
      <c r="J608" s="72"/>
      <c r="K608" s="72"/>
      <c r="L608" s="72"/>
      <c r="M608" s="72"/>
      <c r="N608" s="72"/>
      <c r="O608" s="72" t="s">
        <v>1095</v>
      </c>
      <c r="P608" s="72" t="s">
        <v>3703</v>
      </c>
      <c r="Q608" s="72" t="s">
        <v>3704</v>
      </c>
      <c r="R608" s="72" t="s">
        <v>3705</v>
      </c>
      <c r="S608" s="72" t="s">
        <v>1523</v>
      </c>
    </row>
    <row r="609" spans="1:19" x14ac:dyDescent="0.25">
      <c r="A609" s="72" t="s">
        <v>454</v>
      </c>
      <c r="B609" s="72" t="s">
        <v>812</v>
      </c>
      <c r="C609" s="72" t="s">
        <v>96</v>
      </c>
      <c r="D609" s="72" t="s">
        <v>811</v>
      </c>
      <c r="E609" s="72" t="s">
        <v>454</v>
      </c>
      <c r="F609" s="72" t="s">
        <v>455</v>
      </c>
      <c r="G609" s="72" t="s">
        <v>19</v>
      </c>
      <c r="H609" s="72" t="s">
        <v>237</v>
      </c>
      <c r="I609" s="72"/>
      <c r="J609" s="72"/>
      <c r="K609" s="72"/>
      <c r="L609" s="72"/>
      <c r="M609" s="72"/>
      <c r="N609" s="72"/>
      <c r="O609" s="72" t="s">
        <v>1590</v>
      </c>
      <c r="P609" s="72" t="s">
        <v>3706</v>
      </c>
      <c r="Q609" s="72" t="s">
        <v>3707</v>
      </c>
      <c r="R609" s="72" t="s">
        <v>3708</v>
      </c>
      <c r="S609" s="72" t="s">
        <v>19</v>
      </c>
    </row>
    <row r="610" spans="1:19" x14ac:dyDescent="0.25">
      <c r="A610" s="72" t="s">
        <v>232</v>
      </c>
      <c r="B610" s="72" t="s">
        <v>812</v>
      </c>
      <c r="C610" s="72" t="s">
        <v>96</v>
      </c>
      <c r="D610" s="72" t="s">
        <v>913</v>
      </c>
      <c r="E610" s="72" t="s">
        <v>232</v>
      </c>
      <c r="F610" s="72" t="s">
        <v>233</v>
      </c>
      <c r="G610" s="72" t="s">
        <v>14</v>
      </c>
      <c r="H610" s="72" t="s">
        <v>1662</v>
      </c>
      <c r="I610" s="72"/>
      <c r="J610" s="72"/>
      <c r="K610" s="72"/>
      <c r="L610" s="72"/>
      <c r="M610" s="72"/>
      <c r="N610" s="72"/>
      <c r="O610" s="72" t="s">
        <v>1591</v>
      </c>
      <c r="P610" s="72" t="s">
        <v>3709</v>
      </c>
      <c r="Q610" s="72" t="s">
        <v>3710</v>
      </c>
      <c r="R610" s="72" t="s">
        <v>3711</v>
      </c>
      <c r="S610" s="72" t="s">
        <v>1523</v>
      </c>
    </row>
    <row r="611" spans="1:19" x14ac:dyDescent="0.25">
      <c r="A611" s="72" t="s">
        <v>1043</v>
      </c>
      <c r="B611" s="72" t="s">
        <v>812</v>
      </c>
      <c r="C611" s="72" t="s">
        <v>96</v>
      </c>
      <c r="D611" s="72" t="s">
        <v>1202</v>
      </c>
      <c r="E611" s="72" t="s">
        <v>1043</v>
      </c>
      <c r="F611" s="72" t="s">
        <v>1044</v>
      </c>
      <c r="G611" s="72" t="s">
        <v>19</v>
      </c>
      <c r="H611" s="72" t="s">
        <v>983</v>
      </c>
      <c r="I611" s="72"/>
      <c r="J611" s="72"/>
      <c r="K611" s="72"/>
      <c r="L611" s="72"/>
      <c r="M611" s="72"/>
      <c r="N611" s="72"/>
      <c r="O611" s="72" t="s">
        <v>2148</v>
      </c>
      <c r="P611" s="72" t="s">
        <v>3587</v>
      </c>
      <c r="Q611" s="72" t="s">
        <v>3712</v>
      </c>
      <c r="R611" s="72" t="s">
        <v>3713</v>
      </c>
      <c r="S611" s="72" t="s">
        <v>19</v>
      </c>
    </row>
    <row r="612" spans="1:19" x14ac:dyDescent="0.25">
      <c r="A612" s="72" t="s">
        <v>536</v>
      </c>
      <c r="B612" s="72" t="s">
        <v>812</v>
      </c>
      <c r="C612" s="72" t="s">
        <v>96</v>
      </c>
      <c r="D612" s="72" t="s">
        <v>535</v>
      </c>
      <c r="E612" s="72" t="s">
        <v>536</v>
      </c>
      <c r="F612" s="72" t="s">
        <v>537</v>
      </c>
      <c r="G612" s="72" t="s">
        <v>19</v>
      </c>
      <c r="H612" s="72" t="s">
        <v>15</v>
      </c>
      <c r="I612" s="72"/>
      <c r="J612" s="72"/>
      <c r="K612" s="72"/>
      <c r="L612" s="72"/>
      <c r="M612" s="72"/>
      <c r="N612" s="72"/>
      <c r="O612" s="72" t="s">
        <v>1711</v>
      </c>
      <c r="P612" s="72" t="s">
        <v>3714</v>
      </c>
      <c r="Q612" s="72" t="s">
        <v>3715</v>
      </c>
      <c r="R612" s="72" t="s">
        <v>3716</v>
      </c>
      <c r="S612" s="72" t="s">
        <v>19</v>
      </c>
    </row>
    <row r="613" spans="1:19" x14ac:dyDescent="0.25">
      <c r="A613" s="72" t="s">
        <v>1045</v>
      </c>
      <c r="B613" s="72" t="s">
        <v>812</v>
      </c>
      <c r="C613" s="72" t="s">
        <v>96</v>
      </c>
      <c r="D613" s="72" t="s">
        <v>880</v>
      </c>
      <c r="E613" s="72" t="s">
        <v>1045</v>
      </c>
      <c r="F613" s="72" t="s">
        <v>1046</v>
      </c>
      <c r="G613" s="72" t="s">
        <v>14</v>
      </c>
      <c r="H613" s="72" t="s">
        <v>983</v>
      </c>
      <c r="I613" s="72"/>
      <c r="J613" s="72"/>
      <c r="K613" s="72"/>
      <c r="L613" s="72"/>
      <c r="M613" s="72"/>
      <c r="N613" s="72"/>
      <c r="O613" s="72" t="s">
        <v>1530</v>
      </c>
      <c r="P613" s="72" t="s">
        <v>3587</v>
      </c>
      <c r="Q613" s="72" t="s">
        <v>3717</v>
      </c>
      <c r="R613" s="72" t="s">
        <v>3718</v>
      </c>
      <c r="S613" s="72" t="s">
        <v>1523</v>
      </c>
    </row>
    <row r="614" spans="1:19" x14ac:dyDescent="0.25">
      <c r="A614" s="72" t="s">
        <v>121</v>
      </c>
      <c r="B614" s="72" t="s">
        <v>812</v>
      </c>
      <c r="C614" s="72" t="s">
        <v>119</v>
      </c>
      <c r="D614" s="72" t="s">
        <v>120</v>
      </c>
      <c r="E614" s="72" t="s">
        <v>121</v>
      </c>
      <c r="F614" s="72" t="s">
        <v>122</v>
      </c>
      <c r="G614" s="72" t="s">
        <v>37</v>
      </c>
      <c r="H614" s="72" t="s">
        <v>308</v>
      </c>
      <c r="I614" s="72"/>
      <c r="J614" s="72"/>
      <c r="K614" s="72"/>
      <c r="L614" s="72"/>
      <c r="M614" s="72"/>
      <c r="N614" s="72"/>
      <c r="O614" s="72" t="s">
        <v>1417</v>
      </c>
      <c r="P614" s="72" t="s">
        <v>3719</v>
      </c>
      <c r="Q614" s="72" t="s">
        <v>3720</v>
      </c>
      <c r="R614" s="72" t="s">
        <v>3721</v>
      </c>
      <c r="S614" s="72" t="s">
        <v>37</v>
      </c>
    </row>
    <row r="615" spans="1:19" x14ac:dyDescent="0.25">
      <c r="A615" s="72" t="s">
        <v>1401</v>
      </c>
      <c r="B615" s="72" t="s">
        <v>812</v>
      </c>
      <c r="C615" s="72" t="s">
        <v>119</v>
      </c>
      <c r="D615" s="72" t="s">
        <v>129</v>
      </c>
      <c r="E615" s="72" t="s">
        <v>1401</v>
      </c>
      <c r="F615" s="72" t="s">
        <v>294</v>
      </c>
      <c r="G615" s="72" t="s">
        <v>37</v>
      </c>
      <c r="H615" s="72" t="s">
        <v>123</v>
      </c>
      <c r="I615" s="72"/>
      <c r="J615" s="72"/>
      <c r="K615" s="72"/>
      <c r="L615" s="72"/>
      <c r="M615" s="72"/>
      <c r="N615" s="72"/>
      <c r="O615" s="72" t="s">
        <v>1424</v>
      </c>
      <c r="P615" s="72" t="s">
        <v>3722</v>
      </c>
      <c r="Q615" s="72" t="s">
        <v>3723</v>
      </c>
      <c r="R615" s="72" t="s">
        <v>3724</v>
      </c>
      <c r="S615" s="72" t="s">
        <v>37</v>
      </c>
    </row>
    <row r="616" spans="1:19" x14ac:dyDescent="0.25">
      <c r="A616" s="72" t="s">
        <v>300</v>
      </c>
      <c r="B616" s="72" t="s">
        <v>812</v>
      </c>
      <c r="C616" s="72" t="s">
        <v>119</v>
      </c>
      <c r="D616" s="72" t="s">
        <v>163</v>
      </c>
      <c r="E616" s="72" t="s">
        <v>300</v>
      </c>
      <c r="F616" s="72" t="s">
        <v>301</v>
      </c>
      <c r="G616" s="72" t="s">
        <v>37</v>
      </c>
      <c r="H616" s="72" t="s">
        <v>132</v>
      </c>
      <c r="I616" s="72"/>
      <c r="J616" s="72"/>
      <c r="K616" s="72"/>
      <c r="L616" s="72"/>
      <c r="M616" s="72"/>
      <c r="N616" s="72"/>
      <c r="O616" s="72" t="s">
        <v>1427</v>
      </c>
      <c r="P616" s="72" t="s">
        <v>3725</v>
      </c>
      <c r="Q616" s="72" t="s">
        <v>3726</v>
      </c>
      <c r="R616" s="72" t="s">
        <v>3727</v>
      </c>
      <c r="S616" s="72" t="s">
        <v>37</v>
      </c>
    </row>
    <row r="617" spans="1:19" x14ac:dyDescent="0.25">
      <c r="A617" s="72" t="s">
        <v>1047</v>
      </c>
      <c r="B617" s="72" t="s">
        <v>812</v>
      </c>
      <c r="C617" s="72" t="s">
        <v>119</v>
      </c>
      <c r="D617" s="72" t="s">
        <v>136</v>
      </c>
      <c r="E617" s="72" t="s">
        <v>1047</v>
      </c>
      <c r="F617" s="72" t="s">
        <v>1048</v>
      </c>
      <c r="G617" s="72" t="s">
        <v>37</v>
      </c>
      <c r="H617" s="72" t="s">
        <v>136</v>
      </c>
      <c r="I617" s="72"/>
      <c r="J617" s="72"/>
      <c r="K617" s="72"/>
      <c r="L617" s="72"/>
      <c r="M617" s="72"/>
      <c r="N617" s="72"/>
      <c r="O617" s="72" t="s">
        <v>1132</v>
      </c>
      <c r="P617" s="72" t="s">
        <v>3728</v>
      </c>
      <c r="Q617" s="72" t="s">
        <v>3729</v>
      </c>
      <c r="R617" s="72" t="s">
        <v>3728</v>
      </c>
      <c r="S617" s="72" t="s">
        <v>37</v>
      </c>
    </row>
    <row r="618" spans="1:19" x14ac:dyDescent="0.25">
      <c r="A618" s="72" t="s">
        <v>304</v>
      </c>
      <c r="B618" s="72" t="s">
        <v>812</v>
      </c>
      <c r="C618" s="72" t="s">
        <v>159</v>
      </c>
      <c r="D618" s="72" t="s">
        <v>160</v>
      </c>
      <c r="E618" s="72" t="s">
        <v>304</v>
      </c>
      <c r="F618" s="72" t="s">
        <v>305</v>
      </c>
      <c r="G618" s="72" t="s">
        <v>37</v>
      </c>
      <c r="H618" s="72" t="s">
        <v>793</v>
      </c>
      <c r="I618" s="72"/>
      <c r="J618" s="72"/>
      <c r="K618" s="72"/>
      <c r="L618" s="72"/>
      <c r="M618" s="72"/>
      <c r="N618" s="72"/>
      <c r="O618" s="72" t="s">
        <v>1413</v>
      </c>
      <c r="P618" s="72" t="s">
        <v>3730</v>
      </c>
      <c r="Q618" s="72" t="s">
        <v>3731</v>
      </c>
      <c r="R618" s="72" t="s">
        <v>3732</v>
      </c>
      <c r="S618" s="72" t="s">
        <v>37</v>
      </c>
    </row>
    <row r="619" spans="1:19" x14ac:dyDescent="0.25">
      <c r="A619" s="72" t="s">
        <v>126</v>
      </c>
      <c r="B619" s="72" t="s">
        <v>812</v>
      </c>
      <c r="C619" s="72" t="s">
        <v>119</v>
      </c>
      <c r="D619" s="72" t="s">
        <v>34</v>
      </c>
      <c r="E619" s="72" t="s">
        <v>126</v>
      </c>
      <c r="F619" s="72" t="s">
        <v>127</v>
      </c>
      <c r="G619" s="72" t="s">
        <v>37</v>
      </c>
      <c r="H619" s="72" t="s">
        <v>38</v>
      </c>
      <c r="I619" s="72"/>
      <c r="J619" s="72"/>
      <c r="K619" s="72"/>
      <c r="L619" s="72"/>
      <c r="M619" s="72"/>
      <c r="N619" s="72"/>
      <c r="O619" s="72" t="s">
        <v>1581</v>
      </c>
      <c r="P619" s="72" t="s">
        <v>3733</v>
      </c>
      <c r="Q619" s="72" t="s">
        <v>3734</v>
      </c>
      <c r="R619" s="72" t="s">
        <v>3735</v>
      </c>
      <c r="S619" s="72" t="s">
        <v>37</v>
      </c>
    </row>
    <row r="620" spans="1:19" x14ac:dyDescent="0.25">
      <c r="A620" s="72" t="s">
        <v>274</v>
      </c>
      <c r="B620" s="72" t="s">
        <v>812</v>
      </c>
      <c r="C620" s="72" t="s">
        <v>119</v>
      </c>
      <c r="D620" s="72" t="s">
        <v>180</v>
      </c>
      <c r="E620" s="72" t="s">
        <v>274</v>
      </c>
      <c r="F620" s="72" t="s">
        <v>275</v>
      </c>
      <c r="G620" s="72" t="s">
        <v>37</v>
      </c>
      <c r="H620" s="72" t="s">
        <v>42</v>
      </c>
      <c r="I620" s="72"/>
      <c r="J620" s="72"/>
      <c r="K620" s="72"/>
      <c r="L620" s="72"/>
      <c r="M620" s="72"/>
      <c r="N620" s="72"/>
      <c r="O620" s="72" t="s">
        <v>1583</v>
      </c>
      <c r="P620" s="72" t="s">
        <v>3736</v>
      </c>
      <c r="Q620" s="72" t="s">
        <v>3737</v>
      </c>
      <c r="R620" s="72" t="s">
        <v>3738</v>
      </c>
      <c r="S620" s="72" t="s">
        <v>37</v>
      </c>
    </row>
    <row r="621" spans="1:19" x14ac:dyDescent="0.25">
      <c r="A621" s="72" t="s">
        <v>185</v>
      </c>
      <c r="B621" s="72" t="s">
        <v>812</v>
      </c>
      <c r="C621" s="72" t="s">
        <v>119</v>
      </c>
      <c r="D621" s="72" t="s">
        <v>39</v>
      </c>
      <c r="E621" s="72" t="s">
        <v>185</v>
      </c>
      <c r="F621" s="72" t="s">
        <v>186</v>
      </c>
      <c r="G621" s="72" t="s">
        <v>37</v>
      </c>
      <c r="H621" s="72" t="s">
        <v>38</v>
      </c>
      <c r="I621" s="72"/>
      <c r="J621" s="72"/>
      <c r="K621" s="72"/>
      <c r="L621" s="72"/>
      <c r="M621" s="72"/>
      <c r="N621" s="72"/>
      <c r="O621" s="72" t="s">
        <v>1424</v>
      </c>
      <c r="P621" s="72" t="s">
        <v>3733</v>
      </c>
      <c r="Q621" s="72" t="s">
        <v>3723</v>
      </c>
      <c r="R621" s="72" t="s">
        <v>3739</v>
      </c>
      <c r="S621" s="72" t="s">
        <v>37</v>
      </c>
    </row>
    <row r="622" spans="1:19" x14ac:dyDescent="0.25">
      <c r="A622" s="72" t="s">
        <v>1049</v>
      </c>
      <c r="B622" s="72" t="s">
        <v>812</v>
      </c>
      <c r="C622" s="72" t="s">
        <v>140</v>
      </c>
      <c r="D622" s="72" t="s">
        <v>868</v>
      </c>
      <c r="E622" s="72" t="s">
        <v>1049</v>
      </c>
      <c r="F622" s="72" t="s">
        <v>1050</v>
      </c>
      <c r="G622" s="72" t="s">
        <v>19</v>
      </c>
      <c r="H622" s="72" t="s">
        <v>61</v>
      </c>
      <c r="I622" s="72"/>
      <c r="J622" s="72"/>
      <c r="K622" s="72"/>
      <c r="L622" s="72"/>
      <c r="M622" s="72"/>
      <c r="N622" s="72"/>
      <c r="O622" s="72" t="s">
        <v>1590</v>
      </c>
      <c r="P622" s="72" t="s">
        <v>3740</v>
      </c>
      <c r="Q622" s="72" t="s">
        <v>3741</v>
      </c>
      <c r="R622" s="72" t="s">
        <v>3742</v>
      </c>
      <c r="S622" s="72" t="s">
        <v>19</v>
      </c>
    </row>
    <row r="623" spans="1:19" x14ac:dyDescent="0.25">
      <c r="A623" s="72" t="s">
        <v>1478</v>
      </c>
      <c r="B623" s="72" t="s">
        <v>812</v>
      </c>
      <c r="C623" s="72" t="s">
        <v>10</v>
      </c>
      <c r="D623" s="72" t="s">
        <v>811</v>
      </c>
      <c r="E623" s="72" t="s">
        <v>1478</v>
      </c>
      <c r="F623" s="72" t="s">
        <v>347</v>
      </c>
      <c r="G623" s="72" t="s">
        <v>19</v>
      </c>
      <c r="H623" s="72" t="s">
        <v>237</v>
      </c>
      <c r="I623" s="72"/>
      <c r="J623" s="72"/>
      <c r="K623" s="72"/>
      <c r="L623" s="72"/>
      <c r="M623" s="72"/>
      <c r="N623" s="72"/>
      <c r="O623" s="72" t="s">
        <v>2023</v>
      </c>
      <c r="P623" s="72" t="s">
        <v>3743</v>
      </c>
      <c r="Q623" s="72" t="s">
        <v>3744</v>
      </c>
      <c r="R623" s="72" t="s">
        <v>3745</v>
      </c>
      <c r="S623" s="72" t="s">
        <v>19</v>
      </c>
    </row>
    <row r="624" spans="1:19" x14ac:dyDescent="0.25">
      <c r="A624" s="72" t="s">
        <v>1051</v>
      </c>
      <c r="B624" s="72" t="s">
        <v>812</v>
      </c>
      <c r="C624" s="72" t="s">
        <v>47</v>
      </c>
      <c r="D624" s="72" t="s">
        <v>914</v>
      </c>
      <c r="E624" s="72" t="s">
        <v>1051</v>
      </c>
      <c r="F624" s="72" t="s">
        <v>1052</v>
      </c>
      <c r="G624" s="72" t="s">
        <v>19</v>
      </c>
      <c r="H624" s="72" t="s">
        <v>15</v>
      </c>
      <c r="I624" s="72"/>
      <c r="J624" s="72"/>
      <c r="K624" s="72"/>
      <c r="L624" s="72"/>
      <c r="M624" s="72"/>
      <c r="N624" s="72"/>
      <c r="O624" s="72" t="s">
        <v>1711</v>
      </c>
      <c r="P624" s="72" t="s">
        <v>3746</v>
      </c>
      <c r="Q624" s="72" t="s">
        <v>3747</v>
      </c>
      <c r="R624" s="72" t="s">
        <v>3748</v>
      </c>
      <c r="S624" s="72" t="s">
        <v>19</v>
      </c>
    </row>
    <row r="625" spans="1:19" x14ac:dyDescent="0.25">
      <c r="A625" s="72" t="s">
        <v>1053</v>
      </c>
      <c r="B625" s="72" t="s">
        <v>812</v>
      </c>
      <c r="C625" s="72" t="s">
        <v>96</v>
      </c>
      <c r="D625" s="72" t="s">
        <v>831</v>
      </c>
      <c r="E625" s="72" t="s">
        <v>1053</v>
      </c>
      <c r="F625" s="72" t="s">
        <v>680</v>
      </c>
      <c r="G625" s="72" t="s">
        <v>19</v>
      </c>
      <c r="H625" s="72" t="s">
        <v>983</v>
      </c>
      <c r="I625" s="72"/>
      <c r="J625" s="72"/>
      <c r="K625" s="72"/>
      <c r="L625" s="72"/>
      <c r="M625" s="72"/>
      <c r="N625" s="72"/>
      <c r="O625" s="72" t="s">
        <v>1803</v>
      </c>
      <c r="P625" s="72" t="s">
        <v>3587</v>
      </c>
      <c r="Q625" s="72" t="s">
        <v>3749</v>
      </c>
      <c r="R625" s="72" t="s">
        <v>3750</v>
      </c>
      <c r="S625" s="72" t="s">
        <v>19</v>
      </c>
    </row>
    <row r="626" spans="1:19" x14ac:dyDescent="0.25">
      <c r="A626" s="72" t="s">
        <v>1056</v>
      </c>
      <c r="B626" s="72" t="s">
        <v>812</v>
      </c>
      <c r="C626" s="72" t="s">
        <v>140</v>
      </c>
      <c r="D626" s="72" t="s">
        <v>786</v>
      </c>
      <c r="E626" s="72" t="s">
        <v>1056</v>
      </c>
      <c r="F626" s="72" t="s">
        <v>1057</v>
      </c>
      <c r="G626" s="72" t="s">
        <v>14</v>
      </c>
      <c r="H626" s="72" t="s">
        <v>1457</v>
      </c>
      <c r="I626" s="72"/>
      <c r="J626" s="72"/>
      <c r="K626" s="72"/>
      <c r="L626" s="72"/>
      <c r="M626" s="72"/>
      <c r="N626" s="72"/>
      <c r="O626" s="72" t="s">
        <v>3159</v>
      </c>
      <c r="P626" s="72" t="s">
        <v>3751</v>
      </c>
      <c r="Q626" s="72" t="s">
        <v>3752</v>
      </c>
      <c r="R626" s="72" t="s">
        <v>3753</v>
      </c>
      <c r="S626" s="72" t="s">
        <v>1523</v>
      </c>
    </row>
    <row r="627" spans="1:19" x14ac:dyDescent="0.25">
      <c r="A627" s="72" t="s">
        <v>1058</v>
      </c>
      <c r="B627" s="72" t="s">
        <v>812</v>
      </c>
      <c r="C627" s="72" t="s">
        <v>140</v>
      </c>
      <c r="D627" s="72" t="s">
        <v>802</v>
      </c>
      <c r="E627" s="72" t="s">
        <v>1058</v>
      </c>
      <c r="F627" s="72" t="s">
        <v>1059</v>
      </c>
      <c r="G627" s="72" t="s">
        <v>14</v>
      </c>
      <c r="H627" s="72" t="s">
        <v>1458</v>
      </c>
      <c r="I627" s="72"/>
      <c r="J627" s="72"/>
      <c r="K627" s="72"/>
      <c r="L627" s="72"/>
      <c r="M627" s="72"/>
      <c r="N627" s="72"/>
      <c r="O627" s="72" t="s">
        <v>1825</v>
      </c>
      <c r="P627" s="72" t="s">
        <v>3754</v>
      </c>
      <c r="Q627" s="72" t="s">
        <v>3755</v>
      </c>
      <c r="R627" s="72" t="s">
        <v>3756</v>
      </c>
      <c r="S627" s="72" t="s">
        <v>1523</v>
      </c>
    </row>
    <row r="628" spans="1:19" x14ac:dyDescent="0.25">
      <c r="A628" s="72" t="s">
        <v>1060</v>
      </c>
      <c r="B628" s="72" t="s">
        <v>812</v>
      </c>
      <c r="C628" s="72" t="s">
        <v>140</v>
      </c>
      <c r="D628" s="72" t="s">
        <v>890</v>
      </c>
      <c r="E628" s="72" t="s">
        <v>1060</v>
      </c>
      <c r="F628" s="72" t="s">
        <v>1061</v>
      </c>
      <c r="G628" s="72" t="s">
        <v>14</v>
      </c>
      <c r="H628" s="72" t="s">
        <v>1674</v>
      </c>
      <c r="I628" s="72"/>
      <c r="J628" s="72"/>
      <c r="K628" s="72"/>
      <c r="L628" s="72"/>
      <c r="M628" s="72"/>
      <c r="N628" s="72"/>
      <c r="O628" s="72" t="s">
        <v>1831</v>
      </c>
      <c r="P628" s="72" t="s">
        <v>3757</v>
      </c>
      <c r="Q628" s="72" t="s">
        <v>3758</v>
      </c>
      <c r="R628" s="72" t="s">
        <v>3759</v>
      </c>
      <c r="S628" s="72" t="s">
        <v>1523</v>
      </c>
    </row>
    <row r="629" spans="1:19" x14ac:dyDescent="0.25">
      <c r="A629" s="72" t="s">
        <v>252</v>
      </c>
      <c r="B629" s="72" t="s">
        <v>812</v>
      </c>
      <c r="C629" s="72" t="s">
        <v>140</v>
      </c>
      <c r="D629" s="72" t="s">
        <v>919</v>
      </c>
      <c r="E629" s="72" t="s">
        <v>252</v>
      </c>
      <c r="F629" s="72" t="s">
        <v>253</v>
      </c>
      <c r="G629" s="72" t="s">
        <v>19</v>
      </c>
      <c r="H629" s="72" t="s">
        <v>83</v>
      </c>
      <c r="I629" s="72"/>
      <c r="J629" s="72"/>
      <c r="K629" s="72"/>
      <c r="L629" s="72"/>
      <c r="M629" s="72"/>
      <c r="N629" s="72"/>
      <c r="O629" s="72" t="s">
        <v>2071</v>
      </c>
      <c r="P629" s="72" t="s">
        <v>3760</v>
      </c>
      <c r="Q629" s="72" t="s">
        <v>3761</v>
      </c>
      <c r="R629" s="72" t="s">
        <v>3762</v>
      </c>
      <c r="S629" s="72" t="s">
        <v>19</v>
      </c>
    </row>
    <row r="630" spans="1:19" x14ac:dyDescent="0.25">
      <c r="A630" s="72" t="s">
        <v>1064</v>
      </c>
      <c r="B630" s="72" t="s">
        <v>812</v>
      </c>
      <c r="C630" s="72" t="s">
        <v>10</v>
      </c>
      <c r="D630" s="72" t="s">
        <v>904</v>
      </c>
      <c r="E630" s="72" t="s">
        <v>1064</v>
      </c>
      <c r="F630" s="72" t="s">
        <v>1065</v>
      </c>
      <c r="G630" s="72" t="s">
        <v>28</v>
      </c>
      <c r="H630" s="72" t="s">
        <v>87</v>
      </c>
      <c r="I630" s="72"/>
      <c r="J630" s="72"/>
      <c r="K630" s="72"/>
      <c r="L630" s="72"/>
      <c r="M630" s="72"/>
      <c r="N630" s="72"/>
      <c r="O630" s="72" t="s">
        <v>1579</v>
      </c>
      <c r="P630" s="72" t="s">
        <v>3763</v>
      </c>
      <c r="Q630" s="72" t="s">
        <v>3764</v>
      </c>
      <c r="R630" s="72" t="s">
        <v>3765</v>
      </c>
      <c r="S630" s="72" t="s">
        <v>28</v>
      </c>
    </row>
    <row r="631" spans="1:19" x14ac:dyDescent="0.25">
      <c r="A631" s="72" t="s">
        <v>380</v>
      </c>
      <c r="B631" s="72" t="s">
        <v>812</v>
      </c>
      <c r="C631" s="72" t="s">
        <v>140</v>
      </c>
      <c r="D631" s="72" t="s">
        <v>785</v>
      </c>
      <c r="E631" s="72" t="s">
        <v>380</v>
      </c>
      <c r="F631" s="72" t="s">
        <v>381</v>
      </c>
      <c r="G631" s="72" t="s">
        <v>19</v>
      </c>
      <c r="H631" s="72" t="s">
        <v>287</v>
      </c>
      <c r="I631" s="72"/>
      <c r="J631" s="72"/>
      <c r="K631" s="72"/>
      <c r="L631" s="72"/>
      <c r="M631" s="72"/>
      <c r="N631" s="72"/>
      <c r="O631" s="72" t="s">
        <v>1782</v>
      </c>
      <c r="P631" s="72" t="s">
        <v>3766</v>
      </c>
      <c r="Q631" s="72" t="s">
        <v>3767</v>
      </c>
      <c r="R631" s="72" t="s">
        <v>3595</v>
      </c>
      <c r="S631" s="72" t="s">
        <v>19</v>
      </c>
    </row>
    <row r="632" spans="1:19" x14ac:dyDescent="0.25">
      <c r="A632" s="72" t="s">
        <v>134</v>
      </c>
      <c r="B632" s="72" t="s">
        <v>812</v>
      </c>
      <c r="C632" s="72" t="s">
        <v>962</v>
      </c>
      <c r="D632" s="72" t="s">
        <v>133</v>
      </c>
      <c r="E632" s="72" t="s">
        <v>134</v>
      </c>
      <c r="F632" s="72" t="s">
        <v>135</v>
      </c>
      <c r="G632" s="72" t="s">
        <v>37</v>
      </c>
      <c r="H632" s="72" t="s">
        <v>132</v>
      </c>
      <c r="I632" s="72"/>
      <c r="J632" s="72"/>
      <c r="K632" s="72"/>
      <c r="L632" s="72"/>
      <c r="M632" s="72"/>
      <c r="N632" s="72"/>
      <c r="O632" s="72" t="s">
        <v>1584</v>
      </c>
      <c r="P632" s="72" t="s">
        <v>3768</v>
      </c>
      <c r="Q632" s="72" t="s">
        <v>3769</v>
      </c>
      <c r="R632" s="72" t="s">
        <v>3770</v>
      </c>
      <c r="S632" s="72" t="s">
        <v>37</v>
      </c>
    </row>
    <row r="633" spans="1:19" x14ac:dyDescent="0.25">
      <c r="A633" s="72" t="s">
        <v>1410</v>
      </c>
      <c r="B633" s="72" t="s">
        <v>812</v>
      </c>
      <c r="C633" s="72" t="s">
        <v>159</v>
      </c>
      <c r="D633" s="72" t="s">
        <v>120</v>
      </c>
      <c r="E633" s="72" t="s">
        <v>1410</v>
      </c>
      <c r="F633" s="72" t="s">
        <v>179</v>
      </c>
      <c r="G633" s="72" t="s">
        <v>37</v>
      </c>
      <c r="H633" s="72" t="s">
        <v>123</v>
      </c>
      <c r="I633" s="72"/>
      <c r="J633" s="72"/>
      <c r="K633" s="72"/>
      <c r="L633" s="72"/>
      <c r="M633" s="72"/>
      <c r="N633" s="72"/>
      <c r="O633" s="72" t="s">
        <v>1575</v>
      </c>
      <c r="P633" s="72" t="s">
        <v>3771</v>
      </c>
      <c r="Q633" s="72" t="s">
        <v>3772</v>
      </c>
      <c r="R633" s="72" t="s">
        <v>3773</v>
      </c>
      <c r="S633" s="72" t="s">
        <v>37</v>
      </c>
    </row>
    <row r="634" spans="1:19" x14ac:dyDescent="0.25">
      <c r="A634" s="72" t="s">
        <v>270</v>
      </c>
      <c r="B634" s="72" t="s">
        <v>812</v>
      </c>
      <c r="C634" s="72" t="s">
        <v>159</v>
      </c>
      <c r="D634" s="72" t="s">
        <v>163</v>
      </c>
      <c r="E634" s="72" t="s">
        <v>270</v>
      </c>
      <c r="F634" s="72" t="s">
        <v>271</v>
      </c>
      <c r="G634" s="72" t="s">
        <v>37</v>
      </c>
      <c r="H634" s="72" t="s">
        <v>793</v>
      </c>
      <c r="I634" s="72"/>
      <c r="J634" s="72"/>
      <c r="K634" s="72"/>
      <c r="L634" s="72"/>
      <c r="M634" s="72"/>
      <c r="N634" s="72"/>
      <c r="O634" s="72" t="s">
        <v>1418</v>
      </c>
      <c r="P634" s="72" t="s">
        <v>3730</v>
      </c>
      <c r="Q634" s="72" t="s">
        <v>3774</v>
      </c>
      <c r="R634" s="72" t="s">
        <v>3775</v>
      </c>
      <c r="S634" s="72" t="s">
        <v>37</v>
      </c>
    </row>
    <row r="635" spans="1:19" x14ac:dyDescent="0.25">
      <c r="A635" s="72" t="s">
        <v>168</v>
      </c>
      <c r="B635" s="72" t="s">
        <v>812</v>
      </c>
      <c r="C635" s="72" t="s">
        <v>159</v>
      </c>
      <c r="D635" s="72" t="s">
        <v>34</v>
      </c>
      <c r="E635" s="72" t="s">
        <v>168</v>
      </c>
      <c r="F635" s="72" t="s">
        <v>427</v>
      </c>
      <c r="G635" s="72" t="s">
        <v>37</v>
      </c>
      <c r="H635" s="72" t="s">
        <v>38</v>
      </c>
      <c r="I635" s="72"/>
      <c r="J635" s="72"/>
      <c r="K635" s="72"/>
      <c r="L635" s="72"/>
      <c r="M635" s="72"/>
      <c r="N635" s="72"/>
      <c r="O635" s="72" t="s">
        <v>1576</v>
      </c>
      <c r="P635" s="72" t="s">
        <v>3776</v>
      </c>
      <c r="Q635" s="72" t="s">
        <v>3777</v>
      </c>
      <c r="R635" s="72" t="s">
        <v>3778</v>
      </c>
      <c r="S635" s="72" t="s">
        <v>37</v>
      </c>
    </row>
    <row r="636" spans="1:19" x14ac:dyDescent="0.25">
      <c r="A636" s="72" t="s">
        <v>302</v>
      </c>
      <c r="B636" s="72" t="s">
        <v>812</v>
      </c>
      <c r="C636" s="72" t="s">
        <v>159</v>
      </c>
      <c r="D636" s="72" t="s">
        <v>180</v>
      </c>
      <c r="E636" s="72" t="s">
        <v>302</v>
      </c>
      <c r="F636" s="72" t="s">
        <v>303</v>
      </c>
      <c r="G636" s="72" t="s">
        <v>37</v>
      </c>
      <c r="H636" s="72" t="s">
        <v>132</v>
      </c>
      <c r="I636" s="72"/>
      <c r="J636" s="72"/>
      <c r="K636" s="72"/>
      <c r="L636" s="72"/>
      <c r="M636" s="72"/>
      <c r="N636" s="72"/>
      <c r="O636" s="72" t="s">
        <v>1862</v>
      </c>
      <c r="P636" s="72" t="s">
        <v>3779</v>
      </c>
      <c r="Q636" s="72" t="s">
        <v>3780</v>
      </c>
      <c r="R636" s="72" t="s">
        <v>3781</v>
      </c>
      <c r="S636" s="72" t="s">
        <v>37</v>
      </c>
    </row>
    <row r="637" spans="1:19" x14ac:dyDescent="0.25">
      <c r="A637" s="72" t="s">
        <v>130</v>
      </c>
      <c r="B637" s="72" t="s">
        <v>812</v>
      </c>
      <c r="C637" s="72" t="s">
        <v>159</v>
      </c>
      <c r="D637" s="72" t="s">
        <v>129</v>
      </c>
      <c r="E637" s="72" t="s">
        <v>130</v>
      </c>
      <c r="F637" s="72" t="s">
        <v>131</v>
      </c>
      <c r="G637" s="72" t="s">
        <v>37</v>
      </c>
      <c r="H637" s="72" t="s">
        <v>42</v>
      </c>
      <c r="I637" s="72"/>
      <c r="J637" s="72"/>
      <c r="K637" s="72"/>
      <c r="L637" s="72"/>
      <c r="M637" s="72"/>
      <c r="N637" s="72"/>
      <c r="O637" s="72" t="s">
        <v>1581</v>
      </c>
      <c r="P637" s="72" t="s">
        <v>3782</v>
      </c>
      <c r="Q637" s="72" t="s">
        <v>3783</v>
      </c>
      <c r="R637" s="72" t="s">
        <v>3784</v>
      </c>
      <c r="S637" s="72" t="s">
        <v>37</v>
      </c>
    </row>
    <row r="638" spans="1:19" x14ac:dyDescent="0.25">
      <c r="A638" s="72" t="s">
        <v>306</v>
      </c>
      <c r="B638" s="72" t="s">
        <v>812</v>
      </c>
      <c r="C638" s="72" t="s">
        <v>159</v>
      </c>
      <c r="D638" s="72" t="s">
        <v>39</v>
      </c>
      <c r="E638" s="72" t="s">
        <v>306</v>
      </c>
      <c r="F638" s="72" t="s">
        <v>307</v>
      </c>
      <c r="G638" s="72" t="s">
        <v>37</v>
      </c>
      <c r="H638" s="72" t="s">
        <v>38</v>
      </c>
      <c r="I638" s="72"/>
      <c r="J638" s="72"/>
      <c r="K638" s="72"/>
      <c r="L638" s="72"/>
      <c r="M638" s="72"/>
      <c r="N638" s="72"/>
      <c r="O638" s="72" t="s">
        <v>1582</v>
      </c>
      <c r="P638" s="72" t="s">
        <v>3776</v>
      </c>
      <c r="Q638" s="72" t="s">
        <v>3785</v>
      </c>
      <c r="R638" s="72" t="s">
        <v>3786</v>
      </c>
      <c r="S638" s="72" t="s">
        <v>37</v>
      </c>
    </row>
    <row r="639" spans="1:19" x14ac:dyDescent="0.25">
      <c r="A639" s="72" t="s">
        <v>183</v>
      </c>
      <c r="B639" s="72" t="s">
        <v>812</v>
      </c>
      <c r="C639" s="72" t="s">
        <v>119</v>
      </c>
      <c r="D639" s="72" t="s">
        <v>160</v>
      </c>
      <c r="E639" s="72" t="s">
        <v>183</v>
      </c>
      <c r="F639" s="72" t="s">
        <v>184</v>
      </c>
      <c r="G639" s="72" t="s">
        <v>37</v>
      </c>
      <c r="H639" s="72" t="s">
        <v>308</v>
      </c>
      <c r="I639" s="72"/>
      <c r="J639" s="72"/>
      <c r="K639" s="72"/>
      <c r="L639" s="72"/>
      <c r="M639" s="72"/>
      <c r="N639" s="72"/>
      <c r="O639" s="72" t="s">
        <v>1862</v>
      </c>
      <c r="P639" s="72" t="s">
        <v>3719</v>
      </c>
      <c r="Q639" s="72" t="s">
        <v>3787</v>
      </c>
      <c r="R639" s="72" t="s">
        <v>3788</v>
      </c>
      <c r="S639" s="72" t="s">
        <v>37</v>
      </c>
    </row>
    <row r="640" spans="1:19" x14ac:dyDescent="0.25">
      <c r="A640" s="72" t="s">
        <v>1066</v>
      </c>
      <c r="B640" s="72" t="s">
        <v>812</v>
      </c>
      <c r="C640" s="72" t="s">
        <v>140</v>
      </c>
      <c r="D640" s="72" t="s">
        <v>794</v>
      </c>
      <c r="E640" s="72" t="s">
        <v>1066</v>
      </c>
      <c r="F640" s="72" t="s">
        <v>1067</v>
      </c>
      <c r="G640" s="72" t="s">
        <v>14</v>
      </c>
      <c r="H640" s="72" t="s">
        <v>983</v>
      </c>
      <c r="I640" s="72"/>
      <c r="J640" s="72"/>
      <c r="K640" s="72"/>
      <c r="L640" s="72"/>
      <c r="M640" s="72"/>
      <c r="N640" s="72"/>
      <c r="O640" s="72" t="s">
        <v>1530</v>
      </c>
      <c r="P640" s="72" t="s">
        <v>3599</v>
      </c>
      <c r="Q640" s="72" t="s">
        <v>3789</v>
      </c>
      <c r="R640" s="72" t="s">
        <v>3790</v>
      </c>
      <c r="S640" s="72" t="s">
        <v>1523</v>
      </c>
    </row>
    <row r="641" spans="1:19" x14ac:dyDescent="0.25">
      <c r="A641" s="72" t="s">
        <v>124</v>
      </c>
      <c r="B641" s="72" t="s">
        <v>812</v>
      </c>
      <c r="C641" s="72" t="s">
        <v>978</v>
      </c>
      <c r="D641" s="72" t="s">
        <v>39</v>
      </c>
      <c r="E641" s="72" t="s">
        <v>124</v>
      </c>
      <c r="F641" s="72" t="s">
        <v>125</v>
      </c>
      <c r="G641" s="72" t="s">
        <v>37</v>
      </c>
      <c r="H641" s="72" t="s">
        <v>38</v>
      </c>
      <c r="I641" s="72"/>
      <c r="J641" s="72"/>
      <c r="K641" s="72"/>
      <c r="L641" s="72"/>
      <c r="M641" s="72"/>
      <c r="N641" s="72"/>
      <c r="O641" s="72" t="s">
        <v>1575</v>
      </c>
      <c r="P641" s="72" t="s">
        <v>3791</v>
      </c>
      <c r="Q641" s="72" t="s">
        <v>3792</v>
      </c>
      <c r="R641" s="72" t="s">
        <v>3793</v>
      </c>
      <c r="S641" s="72" t="s">
        <v>37</v>
      </c>
    </row>
    <row r="642" spans="1:19" x14ac:dyDescent="0.25">
      <c r="A642" s="72" t="s">
        <v>1068</v>
      </c>
      <c r="B642" s="72" t="s">
        <v>812</v>
      </c>
      <c r="C642" s="72" t="s">
        <v>968</v>
      </c>
      <c r="D642" s="72" t="s">
        <v>136</v>
      </c>
      <c r="E642" s="72" t="s">
        <v>1068</v>
      </c>
      <c r="F642" s="72" t="s">
        <v>1069</v>
      </c>
      <c r="G642" s="72" t="s">
        <v>37</v>
      </c>
      <c r="H642" s="72" t="s">
        <v>136</v>
      </c>
      <c r="I642" s="72"/>
      <c r="J642" s="72"/>
      <c r="K642" s="72"/>
      <c r="L642" s="72"/>
      <c r="M642" s="72"/>
      <c r="N642" s="72"/>
      <c r="O642" s="72" t="s">
        <v>3370</v>
      </c>
      <c r="P642" s="72" t="s">
        <v>3794</v>
      </c>
      <c r="Q642" s="72" t="s">
        <v>3795</v>
      </c>
      <c r="R642" s="72" t="s">
        <v>3794</v>
      </c>
      <c r="S642" s="72" t="s">
        <v>37</v>
      </c>
    </row>
    <row r="643" spans="1:19" x14ac:dyDescent="0.25">
      <c r="A643" s="72" t="s">
        <v>425</v>
      </c>
      <c r="B643" s="72" t="s">
        <v>812</v>
      </c>
      <c r="C643" s="72" t="s">
        <v>128</v>
      </c>
      <c r="D643" s="72" t="s">
        <v>180</v>
      </c>
      <c r="E643" s="72" t="s">
        <v>425</v>
      </c>
      <c r="F643" s="72" t="s">
        <v>426</v>
      </c>
      <c r="G643" s="72" t="s">
        <v>37</v>
      </c>
      <c r="H643" s="72" t="s">
        <v>132</v>
      </c>
      <c r="I643" s="72"/>
      <c r="J643" s="72"/>
      <c r="K643" s="72"/>
      <c r="L643" s="72"/>
      <c r="M643" s="72"/>
      <c r="N643" s="72"/>
      <c r="O643" s="72" t="s">
        <v>1411</v>
      </c>
      <c r="P643" s="72" t="s">
        <v>3610</v>
      </c>
      <c r="Q643" s="72" t="s">
        <v>3796</v>
      </c>
      <c r="R643" s="72" t="s">
        <v>3797</v>
      </c>
      <c r="S643" s="72" t="s">
        <v>37</v>
      </c>
    </row>
    <row r="644" spans="1:19" x14ac:dyDescent="0.25">
      <c r="A644" s="72" t="s">
        <v>300</v>
      </c>
      <c r="B644" s="72" t="s">
        <v>812</v>
      </c>
      <c r="C644" s="72" t="s">
        <v>128</v>
      </c>
      <c r="D644" s="72" t="s">
        <v>163</v>
      </c>
      <c r="E644" s="72" t="s">
        <v>300</v>
      </c>
      <c r="F644" s="72" t="s">
        <v>301</v>
      </c>
      <c r="G644" s="72" t="s">
        <v>37</v>
      </c>
      <c r="H644" s="72" t="s">
        <v>308</v>
      </c>
      <c r="I644" s="72"/>
      <c r="J644" s="72"/>
      <c r="K644" s="72"/>
      <c r="L644" s="72"/>
      <c r="M644" s="72"/>
      <c r="N644" s="72"/>
      <c r="O644" s="72" t="s">
        <v>1427</v>
      </c>
      <c r="P644" s="72" t="s">
        <v>3798</v>
      </c>
      <c r="Q644" s="72" t="s">
        <v>3799</v>
      </c>
      <c r="R644" s="72" t="s">
        <v>3800</v>
      </c>
      <c r="S644" s="72" t="s">
        <v>37</v>
      </c>
    </row>
    <row r="645" spans="1:19" x14ac:dyDescent="0.25">
      <c r="A645" s="72" t="s">
        <v>1070</v>
      </c>
      <c r="B645" s="72" t="s">
        <v>812</v>
      </c>
      <c r="C645" s="72" t="s">
        <v>128</v>
      </c>
      <c r="D645" s="72" t="s">
        <v>136</v>
      </c>
      <c r="E645" s="72" t="s">
        <v>1070</v>
      </c>
      <c r="F645" s="72" t="s">
        <v>271</v>
      </c>
      <c r="G645" s="72" t="s">
        <v>37</v>
      </c>
      <c r="H645" s="72" t="s">
        <v>136</v>
      </c>
      <c r="I645" s="72"/>
      <c r="J645" s="72"/>
      <c r="K645" s="72"/>
      <c r="L645" s="72"/>
      <c r="M645" s="72"/>
      <c r="N645" s="72"/>
      <c r="O645" s="72" t="s">
        <v>1418</v>
      </c>
      <c r="P645" s="72" t="s">
        <v>3801</v>
      </c>
      <c r="Q645" s="72" t="s">
        <v>3802</v>
      </c>
      <c r="R645" s="72" t="s">
        <v>3801</v>
      </c>
      <c r="S645" s="72" t="s">
        <v>37</v>
      </c>
    </row>
    <row r="646" spans="1:19" x14ac:dyDescent="0.25">
      <c r="A646" s="72" t="s">
        <v>304</v>
      </c>
      <c r="B646" s="72" t="s">
        <v>812</v>
      </c>
      <c r="C646" s="72" t="s">
        <v>128</v>
      </c>
      <c r="D646" s="72" t="s">
        <v>160</v>
      </c>
      <c r="E646" s="72" t="s">
        <v>304</v>
      </c>
      <c r="F646" s="72" t="s">
        <v>305</v>
      </c>
      <c r="G646" s="72" t="s">
        <v>37</v>
      </c>
      <c r="H646" s="72" t="s">
        <v>308</v>
      </c>
      <c r="I646" s="72"/>
      <c r="J646" s="72"/>
      <c r="K646" s="72"/>
      <c r="L646" s="72"/>
      <c r="M646" s="72"/>
      <c r="N646" s="72"/>
      <c r="O646" s="72" t="s">
        <v>1413</v>
      </c>
      <c r="P646" s="72" t="s">
        <v>3798</v>
      </c>
      <c r="Q646" s="72" t="s">
        <v>3803</v>
      </c>
      <c r="R646" s="72" t="s">
        <v>3804</v>
      </c>
      <c r="S646" s="72" t="s">
        <v>37</v>
      </c>
    </row>
    <row r="647" spans="1:19" x14ac:dyDescent="0.25">
      <c r="A647" s="72" t="s">
        <v>173</v>
      </c>
      <c r="B647" s="72" t="s">
        <v>812</v>
      </c>
      <c r="C647" s="72" t="s">
        <v>128</v>
      </c>
      <c r="D647" s="72" t="s">
        <v>120</v>
      </c>
      <c r="E647" s="72" t="s">
        <v>173</v>
      </c>
      <c r="F647" s="72" t="s">
        <v>174</v>
      </c>
      <c r="G647" s="72" t="s">
        <v>37</v>
      </c>
      <c r="H647" s="72" t="s">
        <v>123</v>
      </c>
      <c r="I647" s="72"/>
      <c r="J647" s="72"/>
      <c r="K647" s="72"/>
      <c r="L647" s="72"/>
      <c r="M647" s="72"/>
      <c r="N647" s="72"/>
      <c r="O647" s="72" t="s">
        <v>1580</v>
      </c>
      <c r="P647" s="72" t="s">
        <v>3805</v>
      </c>
      <c r="Q647" s="72" t="s">
        <v>3806</v>
      </c>
      <c r="R647" s="72" t="s">
        <v>3807</v>
      </c>
      <c r="S647" s="72" t="s">
        <v>37</v>
      </c>
    </row>
    <row r="648" spans="1:19" x14ac:dyDescent="0.25">
      <c r="A648" s="72" t="s">
        <v>203</v>
      </c>
      <c r="B648" s="72" t="s">
        <v>812</v>
      </c>
      <c r="C648" s="72" t="s">
        <v>177</v>
      </c>
      <c r="D648" s="72" t="s">
        <v>34</v>
      </c>
      <c r="E648" s="72" t="s">
        <v>203</v>
      </c>
      <c r="F648" s="72" t="s">
        <v>204</v>
      </c>
      <c r="G648" s="72" t="s">
        <v>37</v>
      </c>
      <c r="H648" s="72" t="s">
        <v>38</v>
      </c>
      <c r="I648" s="72"/>
      <c r="J648" s="72"/>
      <c r="K648" s="72"/>
      <c r="L648" s="72"/>
      <c r="M648" s="72"/>
      <c r="N648" s="72"/>
      <c r="O648" s="72" t="s">
        <v>1582</v>
      </c>
      <c r="P648" s="72" t="s">
        <v>3808</v>
      </c>
      <c r="Q648" s="72" t="s">
        <v>3809</v>
      </c>
      <c r="R648" s="72" t="s">
        <v>3810</v>
      </c>
      <c r="S648" s="72" t="s">
        <v>37</v>
      </c>
    </row>
    <row r="649" spans="1:19" x14ac:dyDescent="0.25">
      <c r="A649" s="72" t="s">
        <v>40</v>
      </c>
      <c r="B649" s="72" t="s">
        <v>812</v>
      </c>
      <c r="C649" s="72" t="s">
        <v>128</v>
      </c>
      <c r="D649" s="72" t="s">
        <v>39</v>
      </c>
      <c r="E649" s="72" t="s">
        <v>40</v>
      </c>
      <c r="F649" s="72" t="s">
        <v>41</v>
      </c>
      <c r="G649" s="72" t="s">
        <v>37</v>
      </c>
      <c r="H649" s="72" t="s">
        <v>38</v>
      </c>
      <c r="I649" s="72"/>
      <c r="J649" s="72"/>
      <c r="K649" s="72"/>
      <c r="L649" s="72"/>
      <c r="M649" s="72"/>
      <c r="N649" s="72"/>
      <c r="O649" s="72" t="s">
        <v>1582</v>
      </c>
      <c r="P649" s="72" t="s">
        <v>3811</v>
      </c>
      <c r="Q649" s="72" t="s">
        <v>3812</v>
      </c>
      <c r="R649" s="72" t="s">
        <v>3813</v>
      </c>
      <c r="S649" s="72" t="s">
        <v>37</v>
      </c>
    </row>
    <row r="650" spans="1:19" x14ac:dyDescent="0.25">
      <c r="A650" s="72" t="s">
        <v>430</v>
      </c>
      <c r="B650" s="72" t="s">
        <v>812</v>
      </c>
      <c r="C650" s="72" t="s">
        <v>1071</v>
      </c>
      <c r="D650" s="72" t="s">
        <v>133</v>
      </c>
      <c r="E650" s="72" t="s">
        <v>430</v>
      </c>
      <c r="F650" s="72" t="s">
        <v>431</v>
      </c>
      <c r="G650" s="72" t="s">
        <v>37</v>
      </c>
      <c r="H650" s="72" t="s">
        <v>132</v>
      </c>
      <c r="I650" s="72"/>
      <c r="J650" s="72"/>
      <c r="K650" s="72"/>
      <c r="L650" s="72"/>
      <c r="M650" s="72"/>
      <c r="N650" s="72"/>
      <c r="O650" s="72" t="s">
        <v>1418</v>
      </c>
      <c r="P650" s="72" t="s">
        <v>3814</v>
      </c>
      <c r="Q650" s="72" t="s">
        <v>3815</v>
      </c>
      <c r="R650" s="72" t="s">
        <v>3816</v>
      </c>
      <c r="S650" s="72" t="s">
        <v>37</v>
      </c>
    </row>
    <row r="651" spans="1:19" x14ac:dyDescent="0.25">
      <c r="A651" s="72" t="s">
        <v>423</v>
      </c>
      <c r="B651" s="72" t="s">
        <v>812</v>
      </c>
      <c r="C651" s="72" t="s">
        <v>128</v>
      </c>
      <c r="D651" s="72" t="s">
        <v>133</v>
      </c>
      <c r="E651" s="72" t="s">
        <v>423</v>
      </c>
      <c r="F651" s="72" t="s">
        <v>424</v>
      </c>
      <c r="G651" s="72" t="s">
        <v>37</v>
      </c>
      <c r="H651" s="72" t="s">
        <v>132</v>
      </c>
      <c r="I651" s="72"/>
      <c r="J651" s="72"/>
      <c r="K651" s="72"/>
      <c r="L651" s="72"/>
      <c r="M651" s="72"/>
      <c r="N651" s="72"/>
      <c r="O651" s="72" t="s">
        <v>1548</v>
      </c>
      <c r="P651" s="72" t="s">
        <v>3610</v>
      </c>
      <c r="Q651" s="72" t="s">
        <v>3817</v>
      </c>
      <c r="R651" s="72" t="s">
        <v>3818</v>
      </c>
      <c r="S651" s="72" t="s">
        <v>37</v>
      </c>
    </row>
    <row r="652" spans="1:19" x14ac:dyDescent="0.25">
      <c r="A652" s="72" t="s">
        <v>161</v>
      </c>
      <c r="B652" s="72" t="s">
        <v>812</v>
      </c>
      <c r="C652" s="72" t="s">
        <v>177</v>
      </c>
      <c r="D652" s="72" t="s">
        <v>160</v>
      </c>
      <c r="E652" s="72" t="s">
        <v>161</v>
      </c>
      <c r="F652" s="72" t="s">
        <v>162</v>
      </c>
      <c r="G652" s="72" t="s">
        <v>37</v>
      </c>
      <c r="H652" s="72" t="s">
        <v>308</v>
      </c>
      <c r="I652" s="72"/>
      <c r="J652" s="72"/>
      <c r="K652" s="72"/>
      <c r="L652" s="72"/>
      <c r="M652" s="72"/>
      <c r="N652" s="72"/>
      <c r="O652" s="72" t="s">
        <v>1548</v>
      </c>
      <c r="P652" s="72" t="s">
        <v>3819</v>
      </c>
      <c r="Q652" s="72" t="s">
        <v>3820</v>
      </c>
      <c r="R652" s="72" t="s">
        <v>3821</v>
      </c>
      <c r="S652" s="72" t="s">
        <v>37</v>
      </c>
    </row>
    <row r="653" spans="1:19" x14ac:dyDescent="0.25">
      <c r="A653" s="72" t="s">
        <v>1072</v>
      </c>
      <c r="B653" s="72" t="s">
        <v>812</v>
      </c>
      <c r="C653" s="72" t="s">
        <v>128</v>
      </c>
      <c r="D653" s="72" t="s">
        <v>823</v>
      </c>
      <c r="E653" s="72" t="s">
        <v>1072</v>
      </c>
      <c r="F653" s="72" t="s">
        <v>1073</v>
      </c>
      <c r="G653" s="72" t="s">
        <v>37</v>
      </c>
      <c r="H653" s="72" t="s">
        <v>308</v>
      </c>
      <c r="I653" s="72"/>
      <c r="J653" s="72"/>
      <c r="K653" s="72"/>
      <c r="L653" s="72"/>
      <c r="M653" s="72"/>
      <c r="N653" s="72"/>
      <c r="O653" s="72" t="s">
        <v>1412</v>
      </c>
      <c r="P653" s="72" t="s">
        <v>3798</v>
      </c>
      <c r="Q653" s="72" t="s">
        <v>3822</v>
      </c>
      <c r="R653" s="72" t="s">
        <v>3823</v>
      </c>
      <c r="S653" s="72" t="s">
        <v>37</v>
      </c>
    </row>
    <row r="654" spans="1:19" x14ac:dyDescent="0.25">
      <c r="A654" s="72" t="s">
        <v>1410</v>
      </c>
      <c r="B654" s="72" t="s">
        <v>812</v>
      </c>
      <c r="C654" s="72" t="s">
        <v>177</v>
      </c>
      <c r="D654" s="72" t="s">
        <v>120</v>
      </c>
      <c r="E654" s="72" t="s">
        <v>1410</v>
      </c>
      <c r="F654" s="72" t="s">
        <v>179</v>
      </c>
      <c r="G654" s="72" t="s">
        <v>37</v>
      </c>
      <c r="H654" s="72" t="s">
        <v>123</v>
      </c>
      <c r="I654" s="72"/>
      <c r="J654" s="72"/>
      <c r="K654" s="72"/>
      <c r="L654" s="72"/>
      <c r="M654" s="72"/>
      <c r="N654" s="72"/>
      <c r="O654" s="72" t="s">
        <v>1575</v>
      </c>
      <c r="P654" s="72" t="s">
        <v>3824</v>
      </c>
      <c r="Q654" s="72" t="s">
        <v>3825</v>
      </c>
      <c r="R654" s="72" t="s">
        <v>3826</v>
      </c>
      <c r="S654" s="72" t="s">
        <v>37</v>
      </c>
    </row>
    <row r="655" spans="1:19" x14ac:dyDescent="0.25">
      <c r="A655" s="72" t="s">
        <v>181</v>
      </c>
      <c r="B655" s="72" t="s">
        <v>812</v>
      </c>
      <c r="C655" s="72" t="s">
        <v>177</v>
      </c>
      <c r="D655" s="72" t="s">
        <v>180</v>
      </c>
      <c r="E655" s="72" t="s">
        <v>181</v>
      </c>
      <c r="F655" s="72" t="s">
        <v>182</v>
      </c>
      <c r="G655" s="72" t="s">
        <v>37</v>
      </c>
      <c r="H655" s="72" t="s">
        <v>42</v>
      </c>
      <c r="I655" s="72"/>
      <c r="J655" s="72"/>
      <c r="K655" s="72"/>
      <c r="L655" s="72"/>
      <c r="M655" s="72"/>
      <c r="N655" s="72"/>
      <c r="O655" s="72" t="s">
        <v>1576</v>
      </c>
      <c r="P655" s="72" t="s">
        <v>3827</v>
      </c>
      <c r="Q655" s="72" t="s">
        <v>3828</v>
      </c>
      <c r="R655" s="72" t="s">
        <v>3829</v>
      </c>
      <c r="S655" s="72" t="s">
        <v>37</v>
      </c>
    </row>
    <row r="656" spans="1:19" x14ac:dyDescent="0.25">
      <c r="A656" s="72" t="s">
        <v>272</v>
      </c>
      <c r="B656" s="72" t="s">
        <v>812</v>
      </c>
      <c r="C656" s="72" t="s">
        <v>128</v>
      </c>
      <c r="D656" s="72" t="s">
        <v>34</v>
      </c>
      <c r="E656" s="72" t="s">
        <v>272</v>
      </c>
      <c r="F656" s="72" t="s">
        <v>273</v>
      </c>
      <c r="G656" s="72" t="s">
        <v>37</v>
      </c>
      <c r="H656" s="72" t="s">
        <v>38</v>
      </c>
      <c r="I656" s="72"/>
      <c r="J656" s="72"/>
      <c r="K656" s="72"/>
      <c r="L656" s="72"/>
      <c r="M656" s="72"/>
      <c r="N656" s="72"/>
      <c r="O656" s="72" t="s">
        <v>1862</v>
      </c>
      <c r="P656" s="72" t="s">
        <v>3811</v>
      </c>
      <c r="Q656" s="72" t="s">
        <v>3830</v>
      </c>
      <c r="R656" s="72" t="s">
        <v>3831</v>
      </c>
      <c r="S656" s="72" t="s">
        <v>37</v>
      </c>
    </row>
    <row r="657" spans="1:19" x14ac:dyDescent="0.25">
      <c r="A657" s="72" t="s">
        <v>295</v>
      </c>
      <c r="B657" s="72" t="s">
        <v>812</v>
      </c>
      <c r="C657" s="72" t="s">
        <v>177</v>
      </c>
      <c r="D657" s="72" t="s">
        <v>133</v>
      </c>
      <c r="E657" s="72" t="s">
        <v>295</v>
      </c>
      <c r="F657" s="72" t="s">
        <v>296</v>
      </c>
      <c r="G657" s="72" t="s">
        <v>37</v>
      </c>
      <c r="H657" s="72" t="s">
        <v>132</v>
      </c>
      <c r="I657" s="72"/>
      <c r="J657" s="72"/>
      <c r="K657" s="72"/>
      <c r="L657" s="72"/>
      <c r="M657" s="72"/>
      <c r="N657" s="72"/>
      <c r="O657" s="72" t="s">
        <v>1849</v>
      </c>
      <c r="P657" s="72" t="s">
        <v>3832</v>
      </c>
      <c r="Q657" s="72" t="s">
        <v>3833</v>
      </c>
      <c r="R657" s="72" t="s">
        <v>3834</v>
      </c>
      <c r="S657" s="72" t="s">
        <v>37</v>
      </c>
    </row>
    <row r="658" spans="1:19" x14ac:dyDescent="0.25">
      <c r="A658" s="72" t="s">
        <v>201</v>
      </c>
      <c r="B658" s="72" t="s">
        <v>812</v>
      </c>
      <c r="C658" s="72" t="s">
        <v>177</v>
      </c>
      <c r="D658" s="72" t="s">
        <v>163</v>
      </c>
      <c r="E658" s="72" t="s">
        <v>201</v>
      </c>
      <c r="F658" s="72" t="s">
        <v>202</v>
      </c>
      <c r="G658" s="72" t="s">
        <v>37</v>
      </c>
      <c r="H658" s="72" t="s">
        <v>132</v>
      </c>
      <c r="I658" s="72"/>
      <c r="J658" s="72"/>
      <c r="K658" s="72"/>
      <c r="L658" s="72"/>
      <c r="M658" s="72"/>
      <c r="N658" s="72"/>
      <c r="O658" s="72" t="s">
        <v>1580</v>
      </c>
      <c r="P658" s="72" t="s">
        <v>3832</v>
      </c>
      <c r="Q658" s="72" t="s">
        <v>3835</v>
      </c>
      <c r="R658" s="72" t="s">
        <v>3836</v>
      </c>
      <c r="S658" s="72" t="s">
        <v>37</v>
      </c>
    </row>
    <row r="659" spans="1:19" x14ac:dyDescent="0.25">
      <c r="A659" s="72" t="s">
        <v>309</v>
      </c>
      <c r="B659" s="72" t="s">
        <v>812</v>
      </c>
      <c r="C659" s="72" t="s">
        <v>177</v>
      </c>
      <c r="D659" s="72" t="s">
        <v>129</v>
      </c>
      <c r="E659" s="72" t="s">
        <v>309</v>
      </c>
      <c r="F659" s="72" t="s">
        <v>310</v>
      </c>
      <c r="G659" s="72" t="s">
        <v>37</v>
      </c>
      <c r="H659" s="72" t="s">
        <v>793</v>
      </c>
      <c r="I659" s="72"/>
      <c r="J659" s="72"/>
      <c r="K659" s="72"/>
      <c r="L659" s="72"/>
      <c r="M659" s="72"/>
      <c r="N659" s="72"/>
      <c r="O659" s="72" t="s">
        <v>1583</v>
      </c>
      <c r="P659" s="72" t="s">
        <v>3837</v>
      </c>
      <c r="Q659" s="72" t="s">
        <v>3838</v>
      </c>
      <c r="R659" s="72" t="s">
        <v>3839</v>
      </c>
      <c r="S659" s="72" t="s">
        <v>37</v>
      </c>
    </row>
    <row r="660" spans="1:19" x14ac:dyDescent="0.25">
      <c r="A660" s="72" t="s">
        <v>1074</v>
      </c>
      <c r="B660" s="72" t="s">
        <v>812</v>
      </c>
      <c r="C660" s="72" t="s">
        <v>177</v>
      </c>
      <c r="D660" s="72" t="s">
        <v>823</v>
      </c>
      <c r="E660" s="72" t="s">
        <v>1074</v>
      </c>
      <c r="F660" s="72" t="s">
        <v>1075</v>
      </c>
      <c r="G660" s="72" t="s">
        <v>37</v>
      </c>
      <c r="H660" s="72" t="s">
        <v>793</v>
      </c>
      <c r="I660" s="72"/>
      <c r="J660" s="72"/>
      <c r="K660" s="72"/>
      <c r="L660" s="72"/>
      <c r="M660" s="72"/>
      <c r="N660" s="72"/>
      <c r="O660" s="72" t="s">
        <v>1412</v>
      </c>
      <c r="P660" s="72" t="s">
        <v>3837</v>
      </c>
      <c r="Q660" s="72" t="s">
        <v>3840</v>
      </c>
      <c r="R660" s="72" t="s">
        <v>3841</v>
      </c>
      <c r="S660" s="72" t="s">
        <v>37</v>
      </c>
    </row>
    <row r="661" spans="1:19" x14ac:dyDescent="0.25">
      <c r="A661" s="72" t="s">
        <v>1080</v>
      </c>
      <c r="B661" s="72" t="s">
        <v>812</v>
      </c>
      <c r="C661" s="72" t="s">
        <v>159</v>
      </c>
      <c r="D661" s="72" t="s">
        <v>823</v>
      </c>
      <c r="E661" s="72" t="s">
        <v>1080</v>
      </c>
      <c r="F661" s="72" t="s">
        <v>1081</v>
      </c>
      <c r="G661" s="72" t="s">
        <v>37</v>
      </c>
      <c r="H661" s="72" t="s">
        <v>136</v>
      </c>
      <c r="I661" s="72"/>
      <c r="J661" s="72"/>
      <c r="K661" s="72"/>
      <c r="L661" s="72"/>
      <c r="M661" s="72"/>
      <c r="N661" s="72"/>
      <c r="O661" s="72" t="s">
        <v>3190</v>
      </c>
      <c r="P661" s="72" t="s">
        <v>3842</v>
      </c>
      <c r="Q661" s="72" t="s">
        <v>3843</v>
      </c>
      <c r="R661" s="72" t="s">
        <v>3844</v>
      </c>
      <c r="S661" s="72" t="s">
        <v>37</v>
      </c>
    </row>
    <row r="662" spans="1:19" x14ac:dyDescent="0.25">
      <c r="A662" s="72" t="s">
        <v>1197</v>
      </c>
      <c r="B662" s="72" t="s">
        <v>812</v>
      </c>
      <c r="C662" s="72" t="s">
        <v>10</v>
      </c>
      <c r="D662" s="72" t="s">
        <v>1179</v>
      </c>
      <c r="E662" s="72" t="s">
        <v>1197</v>
      </c>
      <c r="F662" s="72" t="s">
        <v>1198</v>
      </c>
      <c r="G662" s="72" t="s">
        <v>1523</v>
      </c>
      <c r="H662" s="72" t="s">
        <v>983</v>
      </c>
      <c r="I662" s="72"/>
      <c r="J662" s="72"/>
      <c r="K662" s="72"/>
      <c r="L662" s="72"/>
      <c r="M662" s="72"/>
      <c r="N662" s="72"/>
      <c r="O662" s="72" t="s">
        <v>1587</v>
      </c>
      <c r="P662" s="72" t="s">
        <v>3613</v>
      </c>
      <c r="Q662" s="72" t="s">
        <v>3845</v>
      </c>
      <c r="R662" s="72" t="s">
        <v>3846</v>
      </c>
      <c r="S662" s="72" t="s">
        <v>1523</v>
      </c>
    </row>
    <row r="663" spans="1:19" x14ac:dyDescent="0.25">
      <c r="A663" s="72" t="s">
        <v>1209</v>
      </c>
      <c r="B663" s="72" t="s">
        <v>812</v>
      </c>
      <c r="C663" s="72" t="s">
        <v>47</v>
      </c>
      <c r="D663" s="72" t="s">
        <v>1179</v>
      </c>
      <c r="E663" s="72" t="s">
        <v>1209</v>
      </c>
      <c r="F663" s="72" t="s">
        <v>1210</v>
      </c>
      <c r="G663" s="72" t="s">
        <v>1523</v>
      </c>
      <c r="H663" s="72" t="s">
        <v>983</v>
      </c>
      <c r="I663" s="72"/>
      <c r="J663" s="72"/>
      <c r="K663" s="72"/>
      <c r="L663" s="72"/>
      <c r="M663" s="72"/>
      <c r="N663" s="72"/>
      <c r="O663" s="72" t="s">
        <v>1558</v>
      </c>
      <c r="P663" s="72" t="s">
        <v>3561</v>
      </c>
      <c r="Q663" s="72" t="s">
        <v>3847</v>
      </c>
      <c r="R663" s="72" t="s">
        <v>3848</v>
      </c>
      <c r="S663" s="72" t="s">
        <v>1523</v>
      </c>
    </row>
    <row r="664" spans="1:19" x14ac:dyDescent="0.25">
      <c r="A664" s="72" t="s">
        <v>1221</v>
      </c>
      <c r="B664" s="72" t="s">
        <v>812</v>
      </c>
      <c r="C664" s="72" t="s">
        <v>1191</v>
      </c>
      <c r="D664" s="72" t="s">
        <v>1182</v>
      </c>
      <c r="E664" s="72" t="s">
        <v>1221</v>
      </c>
      <c r="F664" s="72" t="s">
        <v>1222</v>
      </c>
      <c r="G664" s="72" t="s">
        <v>1523</v>
      </c>
      <c r="H664" s="72" t="s">
        <v>983</v>
      </c>
      <c r="I664" s="72"/>
      <c r="J664" s="72"/>
      <c r="K664" s="72"/>
      <c r="L664" s="72"/>
      <c r="M664" s="72"/>
      <c r="N664" s="72"/>
      <c r="O664" s="72" t="s">
        <v>1567</v>
      </c>
      <c r="P664" s="72" t="s">
        <v>3849</v>
      </c>
      <c r="Q664" s="72" t="s">
        <v>3850</v>
      </c>
      <c r="R664" s="72" t="s">
        <v>3851</v>
      </c>
      <c r="S664" s="72" t="s">
        <v>1523</v>
      </c>
    </row>
    <row r="665" spans="1:19" x14ac:dyDescent="0.25">
      <c r="A665" s="72" t="s">
        <v>1470</v>
      </c>
      <c r="B665" s="72" t="s">
        <v>812</v>
      </c>
      <c r="C665" s="72" t="s">
        <v>140</v>
      </c>
      <c r="D665" s="72" t="s">
        <v>1524</v>
      </c>
      <c r="E665" s="72" t="s">
        <v>1470</v>
      </c>
      <c r="F665" s="72" t="s">
        <v>1471</v>
      </c>
      <c r="G665" s="72" t="s">
        <v>14</v>
      </c>
      <c r="H665" s="72" t="s">
        <v>983</v>
      </c>
      <c r="I665" s="72"/>
      <c r="J665" s="72"/>
      <c r="K665" s="72"/>
      <c r="L665" s="72"/>
      <c r="M665" s="72"/>
      <c r="N665" s="72"/>
      <c r="O665" s="72" t="s">
        <v>2041</v>
      </c>
      <c r="P665" s="72" t="s">
        <v>3599</v>
      </c>
      <c r="Q665" s="72" t="s">
        <v>3852</v>
      </c>
      <c r="R665" s="72" t="s">
        <v>3853</v>
      </c>
      <c r="S665" s="72" t="s">
        <v>1523</v>
      </c>
    </row>
    <row r="666" spans="1:19" x14ac:dyDescent="0.25">
      <c r="A666" s="72" t="s">
        <v>1468</v>
      </c>
      <c r="B666" s="72" t="s">
        <v>812</v>
      </c>
      <c r="C666" s="72" t="s">
        <v>96</v>
      </c>
      <c r="D666" s="72" t="s">
        <v>1524</v>
      </c>
      <c r="E666" s="72" t="s">
        <v>1468</v>
      </c>
      <c r="F666" s="72" t="s">
        <v>1469</v>
      </c>
      <c r="G666" s="72" t="s">
        <v>14</v>
      </c>
      <c r="H666" s="72" t="s">
        <v>983</v>
      </c>
      <c r="I666" s="72"/>
      <c r="J666" s="72"/>
      <c r="K666" s="72"/>
      <c r="L666" s="72"/>
      <c r="M666" s="72"/>
      <c r="N666" s="72"/>
      <c r="O666" s="72" t="s">
        <v>2041</v>
      </c>
      <c r="P666" s="72" t="s">
        <v>3587</v>
      </c>
      <c r="Q666" s="72" t="s">
        <v>3854</v>
      </c>
      <c r="R666" s="72" t="s">
        <v>3855</v>
      </c>
      <c r="S666" s="72" t="s">
        <v>1523</v>
      </c>
    </row>
    <row r="667" spans="1:19" x14ac:dyDescent="0.25">
      <c r="A667" s="72" t="s">
        <v>358</v>
      </c>
      <c r="B667" s="72" t="s">
        <v>812</v>
      </c>
      <c r="C667" s="72" t="s">
        <v>10</v>
      </c>
      <c r="D667" s="72" t="s">
        <v>508</v>
      </c>
      <c r="E667" s="72" t="s">
        <v>358</v>
      </c>
      <c r="F667" s="72" t="s">
        <v>1212</v>
      </c>
      <c r="G667" s="72" t="s">
        <v>19</v>
      </c>
      <c r="H667" s="72" t="s">
        <v>24</v>
      </c>
      <c r="I667" s="72"/>
      <c r="J667" s="72"/>
      <c r="K667" s="72"/>
      <c r="L667" s="72"/>
      <c r="M667" s="72"/>
      <c r="N667" s="72"/>
      <c r="O667" s="72" t="s">
        <v>2303</v>
      </c>
      <c r="P667" s="72" t="s">
        <v>3856</v>
      </c>
      <c r="Q667" s="72" t="s">
        <v>3857</v>
      </c>
      <c r="R667" s="72" t="s">
        <v>3858</v>
      </c>
      <c r="S667" s="72" t="s">
        <v>19</v>
      </c>
    </row>
    <row r="668" spans="1:19" x14ac:dyDescent="0.25">
      <c r="A668" s="72" t="s">
        <v>285</v>
      </c>
      <c r="B668" s="72" t="s">
        <v>812</v>
      </c>
      <c r="C668" s="72" t="s">
        <v>96</v>
      </c>
      <c r="D668" s="72" t="s">
        <v>284</v>
      </c>
      <c r="E668" s="72" t="s">
        <v>285</v>
      </c>
      <c r="F668" s="72" t="s">
        <v>286</v>
      </c>
      <c r="G668" s="72" t="s">
        <v>19</v>
      </c>
      <c r="H668" s="72" t="s">
        <v>91</v>
      </c>
      <c r="I668" s="72"/>
      <c r="J668" s="72"/>
      <c r="K668" s="72"/>
      <c r="L668" s="72"/>
      <c r="M668" s="72"/>
      <c r="N668" s="72"/>
      <c r="O668" s="72" t="s">
        <v>2325</v>
      </c>
      <c r="P668" s="72" t="s">
        <v>3859</v>
      </c>
      <c r="Q668" s="72" t="s">
        <v>3860</v>
      </c>
      <c r="R668" s="72" t="s">
        <v>3861</v>
      </c>
      <c r="S668" s="72" t="s">
        <v>19</v>
      </c>
    </row>
    <row r="669" spans="1:19" x14ac:dyDescent="0.25">
      <c r="A669" s="72" t="s">
        <v>230</v>
      </c>
      <c r="B669" s="72" t="s">
        <v>812</v>
      </c>
      <c r="C669" s="72" t="s">
        <v>96</v>
      </c>
      <c r="D669" s="72" t="s">
        <v>229</v>
      </c>
      <c r="E669" s="72" t="s">
        <v>230</v>
      </c>
      <c r="F669" s="72" t="s">
        <v>231</v>
      </c>
      <c r="G669" s="72" t="s">
        <v>19</v>
      </c>
      <c r="H669" s="72" t="s">
        <v>55</v>
      </c>
      <c r="I669" s="72"/>
      <c r="J669" s="72"/>
      <c r="K669" s="72"/>
      <c r="L669" s="72"/>
      <c r="M669" s="72"/>
      <c r="N669" s="72"/>
      <c r="O669" s="72" t="s">
        <v>2148</v>
      </c>
      <c r="P669" s="72" t="s">
        <v>3693</v>
      </c>
      <c r="Q669" s="72" t="s">
        <v>3712</v>
      </c>
      <c r="R669" s="72" t="s">
        <v>3862</v>
      </c>
      <c r="S669" s="72" t="s">
        <v>19</v>
      </c>
    </row>
    <row r="670" spans="1:19" x14ac:dyDescent="0.25">
      <c r="A670" s="72" t="s">
        <v>474</v>
      </c>
      <c r="B670" s="72" t="s">
        <v>812</v>
      </c>
      <c r="C670" s="72" t="s">
        <v>47</v>
      </c>
      <c r="D670" s="72" t="s">
        <v>229</v>
      </c>
      <c r="E670" s="72" t="s">
        <v>474</v>
      </c>
      <c r="F670" s="72" t="s">
        <v>475</v>
      </c>
      <c r="G670" s="72" t="s">
        <v>19</v>
      </c>
      <c r="H670" s="72" t="s">
        <v>55</v>
      </c>
      <c r="I670" s="72"/>
      <c r="J670" s="72"/>
      <c r="K670" s="72"/>
      <c r="L670" s="72"/>
      <c r="M670" s="72"/>
      <c r="N670" s="72"/>
      <c r="O670" s="72" t="s">
        <v>2560</v>
      </c>
      <c r="P670" s="72" t="s">
        <v>3863</v>
      </c>
      <c r="Q670" s="72" t="s">
        <v>3864</v>
      </c>
      <c r="R670" s="72" t="s">
        <v>3865</v>
      </c>
      <c r="S670" s="72" t="s">
        <v>19</v>
      </c>
    </row>
    <row r="671" spans="1:19" x14ac:dyDescent="0.25">
      <c r="A671" s="72" t="s">
        <v>715</v>
      </c>
      <c r="B671" s="72" t="s">
        <v>812</v>
      </c>
      <c r="C671" s="72" t="s">
        <v>10</v>
      </c>
      <c r="D671" s="72" t="s">
        <v>229</v>
      </c>
      <c r="E671" s="72" t="s">
        <v>715</v>
      </c>
      <c r="F671" s="72" t="s">
        <v>716</v>
      </c>
      <c r="G671" s="72" t="s">
        <v>19</v>
      </c>
      <c r="H671" s="72" t="s">
        <v>79</v>
      </c>
      <c r="I671" s="72"/>
      <c r="J671" s="72"/>
      <c r="K671" s="72"/>
      <c r="L671" s="72"/>
      <c r="M671" s="72"/>
      <c r="N671" s="72"/>
      <c r="O671" s="72" t="s">
        <v>2816</v>
      </c>
      <c r="P671" s="72" t="s">
        <v>3866</v>
      </c>
      <c r="Q671" s="72" t="s">
        <v>3867</v>
      </c>
      <c r="R671" s="72" t="s">
        <v>3868</v>
      </c>
      <c r="S671" s="72" t="s">
        <v>19</v>
      </c>
    </row>
    <row r="672" spans="1:19" x14ac:dyDescent="0.25">
      <c r="A672" s="72" t="s">
        <v>563</v>
      </c>
      <c r="B672" s="72" t="s">
        <v>812</v>
      </c>
      <c r="C672" s="72" t="s">
        <v>10</v>
      </c>
      <c r="D672" s="72" t="s">
        <v>276</v>
      </c>
      <c r="E672" s="72" t="s">
        <v>563</v>
      </c>
      <c r="F672" s="72" t="s">
        <v>564</v>
      </c>
      <c r="G672" s="72" t="s">
        <v>19</v>
      </c>
      <c r="H672" s="72" t="s">
        <v>24</v>
      </c>
      <c r="I672" s="72"/>
      <c r="J672" s="72"/>
      <c r="K672" s="72"/>
      <c r="L672" s="72"/>
      <c r="M672" s="72"/>
      <c r="N672" s="72"/>
      <c r="O672" s="72" t="s">
        <v>1590</v>
      </c>
      <c r="P672" s="72" t="s">
        <v>3856</v>
      </c>
      <c r="Q672" s="72" t="s">
        <v>3869</v>
      </c>
      <c r="R672" s="72" t="s">
        <v>3870</v>
      </c>
      <c r="S672" s="72" t="s">
        <v>19</v>
      </c>
    </row>
    <row r="673" spans="1:19" x14ac:dyDescent="0.25">
      <c r="A673" s="72" t="s">
        <v>588</v>
      </c>
      <c r="B673" s="72" t="s">
        <v>812</v>
      </c>
      <c r="C673" s="72" t="s">
        <v>140</v>
      </c>
      <c r="D673" s="72" t="s">
        <v>276</v>
      </c>
      <c r="E673" s="72" t="s">
        <v>588</v>
      </c>
      <c r="F673" s="72" t="s">
        <v>589</v>
      </c>
      <c r="G673" s="72" t="s">
        <v>19</v>
      </c>
      <c r="H673" s="72" t="s">
        <v>87</v>
      </c>
      <c r="I673" s="72"/>
      <c r="J673" s="72"/>
      <c r="K673" s="72"/>
      <c r="L673" s="72"/>
      <c r="M673" s="72"/>
      <c r="N673" s="72"/>
      <c r="O673" s="72" t="s">
        <v>1564</v>
      </c>
      <c r="P673" s="72" t="s">
        <v>3494</v>
      </c>
      <c r="Q673" s="72" t="s">
        <v>3871</v>
      </c>
      <c r="R673" s="72" t="s">
        <v>3872</v>
      </c>
      <c r="S673" s="72" t="s">
        <v>19</v>
      </c>
    </row>
    <row r="674" spans="1:19" x14ac:dyDescent="0.25">
      <c r="A674" s="72" t="s">
        <v>1173</v>
      </c>
      <c r="B674" s="72" t="s">
        <v>812</v>
      </c>
      <c r="C674" s="72" t="s">
        <v>47</v>
      </c>
      <c r="D674" s="72" t="s">
        <v>276</v>
      </c>
      <c r="E674" s="72" t="s">
        <v>1173</v>
      </c>
      <c r="F674" s="72" t="s">
        <v>1174</v>
      </c>
      <c r="G674" s="72" t="s">
        <v>19</v>
      </c>
      <c r="H674" s="72" t="s">
        <v>79</v>
      </c>
      <c r="I674" s="72"/>
      <c r="J674" s="72"/>
      <c r="K674" s="72"/>
      <c r="L674" s="72"/>
      <c r="M674" s="72"/>
      <c r="N674" s="72"/>
      <c r="O674" s="72" t="s">
        <v>1534</v>
      </c>
      <c r="P674" s="72" t="s">
        <v>3873</v>
      </c>
      <c r="Q674" s="72" t="s">
        <v>3874</v>
      </c>
      <c r="R674" s="72" t="s">
        <v>3875</v>
      </c>
      <c r="S674" s="72" t="s">
        <v>19</v>
      </c>
    </row>
    <row r="675" spans="1:19" x14ac:dyDescent="0.25">
      <c r="A675" s="72" t="s">
        <v>1252</v>
      </c>
      <c r="B675" s="72" t="s">
        <v>812</v>
      </c>
      <c r="C675" s="72" t="s">
        <v>96</v>
      </c>
      <c r="D675" s="72" t="s">
        <v>276</v>
      </c>
      <c r="E675" s="72" t="s">
        <v>1252</v>
      </c>
      <c r="F675" s="72" t="s">
        <v>1491</v>
      </c>
      <c r="G675" s="72" t="s">
        <v>19</v>
      </c>
      <c r="H675" s="72" t="s">
        <v>87</v>
      </c>
      <c r="I675" s="72"/>
      <c r="J675" s="72"/>
      <c r="K675" s="72"/>
      <c r="L675" s="72"/>
      <c r="M675" s="72"/>
      <c r="N675" s="72"/>
      <c r="O675" s="72" t="s">
        <v>1564</v>
      </c>
      <c r="P675" s="72" t="s">
        <v>3876</v>
      </c>
      <c r="Q675" s="72" t="s">
        <v>3877</v>
      </c>
      <c r="R675" s="72" t="s">
        <v>3878</v>
      </c>
      <c r="S675" s="72" t="s">
        <v>19</v>
      </c>
    </row>
    <row r="676" spans="1:19" x14ac:dyDescent="0.25">
      <c r="A676" s="72" t="s">
        <v>211</v>
      </c>
      <c r="B676" s="72" t="s">
        <v>812</v>
      </c>
      <c r="C676" s="72" t="s">
        <v>47</v>
      </c>
      <c r="D676" s="72" t="s">
        <v>210</v>
      </c>
      <c r="E676" s="72" t="s">
        <v>211</v>
      </c>
      <c r="F676" s="72" t="s">
        <v>212</v>
      </c>
      <c r="G676" s="72" t="s">
        <v>19</v>
      </c>
      <c r="H676" s="72" t="s">
        <v>87</v>
      </c>
      <c r="I676" s="72"/>
      <c r="J676" s="72"/>
      <c r="K676" s="72"/>
      <c r="L676" s="72"/>
      <c r="M676" s="72"/>
      <c r="N676" s="72"/>
      <c r="O676" s="72" t="s">
        <v>1831</v>
      </c>
      <c r="P676" s="72" t="s">
        <v>3879</v>
      </c>
      <c r="Q676" s="72" t="s">
        <v>3880</v>
      </c>
      <c r="R676" s="72"/>
      <c r="S676" s="72"/>
    </row>
    <row r="677" spans="1:19" x14ac:dyDescent="0.25">
      <c r="A677" s="72" t="s">
        <v>635</v>
      </c>
      <c r="B677" s="72" t="s">
        <v>812</v>
      </c>
      <c r="C677" s="72" t="s">
        <v>140</v>
      </c>
      <c r="D677" s="72" t="s">
        <v>210</v>
      </c>
      <c r="E677" s="72" t="s">
        <v>635</v>
      </c>
      <c r="F677" s="72" t="s">
        <v>1527</v>
      </c>
      <c r="G677" s="72" t="s">
        <v>14</v>
      </c>
      <c r="H677" s="72" t="s">
        <v>87</v>
      </c>
      <c r="I677" s="72"/>
      <c r="J677" s="72"/>
      <c r="K677" s="72"/>
      <c r="L677" s="72"/>
      <c r="M677" s="72"/>
      <c r="N677" s="72"/>
      <c r="O677" s="72" t="s">
        <v>1776</v>
      </c>
      <c r="P677" s="72" t="s">
        <v>3494</v>
      </c>
      <c r="Q677" s="72" t="s">
        <v>3881</v>
      </c>
      <c r="R677" s="72"/>
      <c r="S677" s="72"/>
    </row>
    <row r="678" spans="1:19" x14ac:dyDescent="0.25">
      <c r="A678" s="72" t="s">
        <v>679</v>
      </c>
      <c r="B678" s="72" t="s">
        <v>812</v>
      </c>
      <c r="C678" s="72" t="s">
        <v>47</v>
      </c>
      <c r="D678" s="72" t="s">
        <v>3882</v>
      </c>
      <c r="E678" s="72" t="s">
        <v>679</v>
      </c>
      <c r="F678" s="72" t="s">
        <v>3883</v>
      </c>
      <c r="G678" s="72" t="s">
        <v>19</v>
      </c>
      <c r="H678" s="72" t="s">
        <v>87</v>
      </c>
      <c r="I678" s="72"/>
      <c r="J678" s="72"/>
      <c r="K678" s="72"/>
      <c r="L678" s="72"/>
      <c r="M678" s="72"/>
      <c r="N678" s="72"/>
      <c r="O678" s="72" t="s">
        <v>2023</v>
      </c>
      <c r="P678" s="72" t="s">
        <v>3879</v>
      </c>
      <c r="Q678" s="72" t="s">
        <v>3884</v>
      </c>
      <c r="R678" s="72"/>
      <c r="S678" s="72"/>
    </row>
    <row r="679" spans="1:19" x14ac:dyDescent="0.25">
      <c r="A679" s="72" t="s">
        <v>22</v>
      </c>
      <c r="B679" s="72" t="s">
        <v>812</v>
      </c>
      <c r="C679" s="72" t="s">
        <v>96</v>
      </c>
      <c r="D679" s="72" t="s">
        <v>3529</v>
      </c>
      <c r="E679" s="72" t="s">
        <v>22</v>
      </c>
      <c r="F679" s="72" t="s">
        <v>1009</v>
      </c>
      <c r="G679" s="72" t="s">
        <v>19</v>
      </c>
      <c r="H679" s="72" t="s">
        <v>83</v>
      </c>
      <c r="I679" s="72"/>
      <c r="J679" s="72"/>
      <c r="K679" s="72"/>
      <c r="L679" s="72"/>
      <c r="M679" s="72"/>
      <c r="N679" s="72"/>
      <c r="O679" s="72" t="s">
        <v>1803</v>
      </c>
      <c r="P679" s="72" t="s">
        <v>3885</v>
      </c>
      <c r="Q679" s="72" t="s">
        <v>3749</v>
      </c>
      <c r="R679" s="72"/>
      <c r="S679" s="72"/>
    </row>
    <row r="680" spans="1:19" x14ac:dyDescent="0.25">
      <c r="A680" s="72" t="s">
        <v>449</v>
      </c>
      <c r="B680" s="72" t="s">
        <v>781</v>
      </c>
      <c r="C680" s="72" t="s">
        <v>47</v>
      </c>
      <c r="D680" s="72" t="s">
        <v>52</v>
      </c>
      <c r="E680" s="72" t="s">
        <v>449</v>
      </c>
      <c r="F680" s="72" t="s">
        <v>3886</v>
      </c>
      <c r="G680" s="72" t="s">
        <v>1523</v>
      </c>
      <c r="H680" s="72" t="s">
        <v>55</v>
      </c>
      <c r="I680" s="72"/>
      <c r="J680" s="72"/>
      <c r="K680" s="72"/>
      <c r="L680" s="72"/>
      <c r="M680" s="72"/>
      <c r="N680" s="72"/>
      <c r="O680" s="72" t="s">
        <v>1592</v>
      </c>
      <c r="P680" s="72" t="s">
        <v>3509</v>
      </c>
      <c r="Q680" s="72" t="s">
        <v>3887</v>
      </c>
      <c r="R680" s="72"/>
      <c r="S680" s="72"/>
    </row>
    <row r="681" spans="1:19" x14ac:dyDescent="0.25">
      <c r="A681" s="72" t="s">
        <v>1631</v>
      </c>
      <c r="B681" s="72" t="s">
        <v>812</v>
      </c>
      <c r="C681" s="72" t="s">
        <v>96</v>
      </c>
      <c r="D681" s="72" t="s">
        <v>3540</v>
      </c>
      <c r="E681" s="72" t="s">
        <v>1631</v>
      </c>
      <c r="F681" s="72" t="s">
        <v>1632</v>
      </c>
      <c r="G681" s="72" t="s">
        <v>14</v>
      </c>
      <c r="H681" s="72" t="s">
        <v>1662</v>
      </c>
      <c r="I681" s="72"/>
      <c r="J681" s="72"/>
      <c r="K681" s="72"/>
      <c r="L681" s="72"/>
      <c r="M681" s="72"/>
      <c r="N681" s="72"/>
      <c r="O681" s="72" t="s">
        <v>1591</v>
      </c>
      <c r="P681" s="72" t="s">
        <v>3709</v>
      </c>
      <c r="Q681" s="72" t="s">
        <v>3710</v>
      </c>
      <c r="R681" s="72"/>
      <c r="S681" s="72"/>
    </row>
    <row r="682" spans="1:19" x14ac:dyDescent="0.25">
      <c r="A682" s="72" t="s">
        <v>1625</v>
      </c>
      <c r="B682" s="72" t="s">
        <v>812</v>
      </c>
      <c r="C682" s="72" t="s">
        <v>10</v>
      </c>
      <c r="D682" s="72" t="s">
        <v>3540</v>
      </c>
      <c r="E682" s="72" t="s">
        <v>1625</v>
      </c>
      <c r="F682" s="72" t="s">
        <v>1626</v>
      </c>
      <c r="G682" s="72" t="s">
        <v>14</v>
      </c>
      <c r="H682" s="72" t="s">
        <v>241</v>
      </c>
      <c r="I682" s="72"/>
      <c r="J682" s="72"/>
      <c r="K682" s="72"/>
      <c r="L682" s="72"/>
      <c r="M682" s="72"/>
      <c r="N682" s="72"/>
      <c r="O682" s="72" t="s">
        <v>3267</v>
      </c>
      <c r="P682" s="72" t="s">
        <v>3888</v>
      </c>
      <c r="Q682" s="72" t="s">
        <v>3889</v>
      </c>
      <c r="R682" s="72"/>
      <c r="S682" s="72"/>
    </row>
    <row r="683" spans="1:19" x14ac:dyDescent="0.25">
      <c r="A683" s="72" t="s">
        <v>1629</v>
      </c>
      <c r="B683" s="72" t="s">
        <v>812</v>
      </c>
      <c r="C683" s="72" t="s">
        <v>47</v>
      </c>
      <c r="D683" s="72" t="s">
        <v>3540</v>
      </c>
      <c r="E683" s="72" t="s">
        <v>1629</v>
      </c>
      <c r="F683" s="72" t="s">
        <v>1630</v>
      </c>
      <c r="G683" s="72" t="s">
        <v>14</v>
      </c>
      <c r="H683" s="72" t="s">
        <v>70</v>
      </c>
      <c r="I683" s="72"/>
      <c r="J683" s="72"/>
      <c r="K683" s="72"/>
      <c r="L683" s="72"/>
      <c r="M683" s="72"/>
      <c r="N683" s="72"/>
      <c r="O683" s="72" t="s">
        <v>3267</v>
      </c>
      <c r="P683" s="72" t="s">
        <v>3890</v>
      </c>
      <c r="Q683" s="72" t="s">
        <v>3891</v>
      </c>
      <c r="R683" s="72"/>
      <c r="S683" s="72"/>
    </row>
    <row r="684" spans="1:19" x14ac:dyDescent="0.25">
      <c r="A684" s="72" t="s">
        <v>188</v>
      </c>
      <c r="B684" s="72" t="s">
        <v>812</v>
      </c>
      <c r="C684" s="72" t="s">
        <v>96</v>
      </c>
      <c r="D684" s="72" t="s">
        <v>187</v>
      </c>
      <c r="E684" s="72" t="s">
        <v>188</v>
      </c>
      <c r="F684" s="72" t="s">
        <v>3892</v>
      </c>
      <c r="G684" s="72" t="s">
        <v>19</v>
      </c>
      <c r="H684" s="72" t="s">
        <v>55</v>
      </c>
      <c r="I684" s="72"/>
      <c r="J684" s="72"/>
      <c r="K684" s="72"/>
      <c r="L684" s="72"/>
      <c r="M684" s="72"/>
      <c r="N684" s="72"/>
      <c r="O684" s="72" t="s">
        <v>1534</v>
      </c>
      <c r="P684" s="72" t="s">
        <v>3693</v>
      </c>
      <c r="Q684" s="72" t="s">
        <v>3893</v>
      </c>
      <c r="R684" s="72"/>
      <c r="S684" s="72"/>
    </row>
    <row r="685" spans="1:19" x14ac:dyDescent="0.25">
      <c r="A685" s="72" t="s">
        <v>1214</v>
      </c>
      <c r="B685" s="72" t="s">
        <v>812</v>
      </c>
      <c r="C685" s="72" t="s">
        <v>140</v>
      </c>
      <c r="D685" s="72" t="s">
        <v>187</v>
      </c>
      <c r="E685" s="72" t="s">
        <v>1214</v>
      </c>
      <c r="F685" s="72" t="s">
        <v>1494</v>
      </c>
      <c r="G685" s="72" t="s">
        <v>19</v>
      </c>
      <c r="H685" s="72" t="s">
        <v>79</v>
      </c>
      <c r="I685" s="72"/>
      <c r="J685" s="72"/>
      <c r="K685" s="72"/>
      <c r="L685" s="72"/>
      <c r="M685" s="72"/>
      <c r="N685" s="72"/>
      <c r="O685" s="72" t="s">
        <v>1599</v>
      </c>
      <c r="P685" s="72" t="s">
        <v>3583</v>
      </c>
      <c r="Q685" s="72" t="s">
        <v>3894</v>
      </c>
      <c r="R685" s="72"/>
      <c r="S685" s="72"/>
    </row>
    <row r="686" spans="1:19" x14ac:dyDescent="0.25">
      <c r="A686" s="72" t="s">
        <v>1446</v>
      </c>
      <c r="B686" s="72" t="s">
        <v>812</v>
      </c>
      <c r="C686" s="72" t="s">
        <v>96</v>
      </c>
      <c r="D686" s="72" t="s">
        <v>3550</v>
      </c>
      <c r="E686" s="72" t="s">
        <v>1446</v>
      </c>
      <c r="F686" s="72" t="s">
        <v>1447</v>
      </c>
      <c r="G686" s="72" t="s">
        <v>19</v>
      </c>
      <c r="H686" s="72" t="s">
        <v>983</v>
      </c>
      <c r="I686" s="72"/>
      <c r="J686" s="72"/>
      <c r="K686" s="72"/>
      <c r="L686" s="72"/>
      <c r="M686" s="72"/>
      <c r="N686" s="72"/>
      <c r="O686" s="72" t="s">
        <v>3027</v>
      </c>
      <c r="P686" s="72" t="s">
        <v>3587</v>
      </c>
      <c r="Q686" s="72" t="s">
        <v>3895</v>
      </c>
      <c r="R686" s="72"/>
      <c r="S686" s="72"/>
    </row>
    <row r="687" spans="1:19" x14ac:dyDescent="0.25">
      <c r="A687" s="72" t="s">
        <v>1448</v>
      </c>
      <c r="B687" s="72" t="s">
        <v>812</v>
      </c>
      <c r="C687" s="72" t="s">
        <v>140</v>
      </c>
      <c r="D687" s="72" t="s">
        <v>3550</v>
      </c>
      <c r="E687" s="72" t="s">
        <v>1448</v>
      </c>
      <c r="F687" s="72" t="s">
        <v>1449</v>
      </c>
      <c r="G687" s="72" t="s">
        <v>19</v>
      </c>
      <c r="H687" s="72" t="s">
        <v>983</v>
      </c>
      <c r="I687" s="72"/>
      <c r="J687" s="72"/>
      <c r="K687" s="72"/>
      <c r="L687" s="72"/>
      <c r="M687" s="72"/>
      <c r="N687" s="72"/>
      <c r="O687" s="72" t="s">
        <v>1803</v>
      </c>
      <c r="P687" s="72" t="s">
        <v>3599</v>
      </c>
      <c r="Q687" s="72" t="s">
        <v>3896</v>
      </c>
      <c r="R687" s="72"/>
      <c r="S687" s="72"/>
    </row>
    <row r="688" spans="1:19" x14ac:dyDescent="0.25">
      <c r="A688" s="72" t="s">
        <v>1416</v>
      </c>
      <c r="B688" s="72" t="s">
        <v>812</v>
      </c>
      <c r="C688" s="72" t="s">
        <v>119</v>
      </c>
      <c r="D688" s="72" t="s">
        <v>136</v>
      </c>
      <c r="E688" s="72" t="s">
        <v>1416</v>
      </c>
      <c r="F688" s="72" t="s">
        <v>3897</v>
      </c>
      <c r="G688" s="72" t="s">
        <v>37</v>
      </c>
      <c r="H688" s="72" t="s">
        <v>136</v>
      </c>
      <c r="I688" s="72"/>
      <c r="J688" s="72"/>
      <c r="K688" s="72"/>
      <c r="L688" s="72"/>
      <c r="M688" s="72"/>
      <c r="N688" s="72"/>
      <c r="O688" s="72" t="s">
        <v>1575</v>
      </c>
      <c r="P688" s="72" t="s">
        <v>3728</v>
      </c>
      <c r="Q688" s="72" t="s">
        <v>3898</v>
      </c>
      <c r="R688" s="72"/>
      <c r="S688" s="72"/>
    </row>
    <row r="689" spans="1:19" x14ac:dyDescent="0.25">
      <c r="A689" s="72" t="s">
        <v>1637</v>
      </c>
      <c r="B689" s="72" t="s">
        <v>812</v>
      </c>
      <c r="C689" s="72" t="s">
        <v>96</v>
      </c>
      <c r="D689" s="72" t="s">
        <v>3554</v>
      </c>
      <c r="E689" s="72" t="s">
        <v>1637</v>
      </c>
      <c r="F689" s="72" t="s">
        <v>740</v>
      </c>
      <c r="G689" s="72" t="s">
        <v>14</v>
      </c>
      <c r="H689" s="72" t="s">
        <v>1460</v>
      </c>
      <c r="I689" s="72"/>
      <c r="J689" s="72"/>
      <c r="K689" s="72"/>
      <c r="L689" s="72"/>
      <c r="M689" s="72"/>
      <c r="N689" s="72"/>
      <c r="O689" s="72" t="s">
        <v>2498</v>
      </c>
      <c r="P689" s="72" t="s">
        <v>3899</v>
      </c>
      <c r="Q689" s="72" t="s">
        <v>3900</v>
      </c>
      <c r="R689" s="72"/>
      <c r="S689" s="72"/>
    </row>
    <row r="690" spans="1:19" x14ac:dyDescent="0.25">
      <c r="A690" s="72" t="s">
        <v>1640</v>
      </c>
      <c r="B690" s="72" t="s">
        <v>812</v>
      </c>
      <c r="C690" s="72" t="s">
        <v>47</v>
      </c>
      <c r="D690" s="72" t="s">
        <v>3554</v>
      </c>
      <c r="E690" s="72" t="s">
        <v>1640</v>
      </c>
      <c r="F690" s="72" t="s">
        <v>258</v>
      </c>
      <c r="G690" s="72" t="s">
        <v>14</v>
      </c>
      <c r="H690" s="72" t="s">
        <v>3556</v>
      </c>
      <c r="I690" s="72"/>
      <c r="J690" s="72"/>
      <c r="K690" s="72"/>
      <c r="L690" s="72"/>
      <c r="M690" s="72"/>
      <c r="N690" s="72"/>
      <c r="O690" s="72" t="s">
        <v>2498</v>
      </c>
      <c r="P690" s="72" t="s">
        <v>3901</v>
      </c>
      <c r="Q690" s="72" t="s">
        <v>3902</v>
      </c>
      <c r="R690" s="72"/>
      <c r="S690" s="72"/>
    </row>
    <row r="691" spans="1:19" x14ac:dyDescent="0.25">
      <c r="A691" s="72" t="s">
        <v>1643</v>
      </c>
      <c r="B691" s="72" t="s">
        <v>812</v>
      </c>
      <c r="C691" s="72" t="s">
        <v>10</v>
      </c>
      <c r="D691" s="72" t="s">
        <v>3554</v>
      </c>
      <c r="E691" s="72" t="s">
        <v>1643</v>
      </c>
      <c r="F691" s="72" t="s">
        <v>1644</v>
      </c>
      <c r="G691" s="72" t="s">
        <v>1523</v>
      </c>
      <c r="H691" s="72" t="s">
        <v>3556</v>
      </c>
      <c r="I691" s="72"/>
      <c r="J691" s="72"/>
      <c r="K691" s="72"/>
      <c r="L691" s="72"/>
      <c r="M691" s="72"/>
      <c r="N691" s="72"/>
      <c r="O691" s="72" t="s">
        <v>2498</v>
      </c>
      <c r="P691" s="72" t="s">
        <v>3903</v>
      </c>
      <c r="Q691" s="72" t="s">
        <v>3904</v>
      </c>
      <c r="R691" s="72"/>
      <c r="S691" s="72"/>
    </row>
    <row r="692" spans="1:19" x14ac:dyDescent="0.25">
      <c r="A692" s="72" t="s">
        <v>319</v>
      </c>
      <c r="B692" s="72" t="s">
        <v>812</v>
      </c>
      <c r="C692" s="72" t="s">
        <v>47</v>
      </c>
      <c r="D692" s="72"/>
      <c r="E692" s="72" t="s">
        <v>319</v>
      </c>
      <c r="F692" s="72" t="s">
        <v>320</v>
      </c>
      <c r="G692" s="72"/>
      <c r="H692" s="72" t="s">
        <v>983</v>
      </c>
      <c r="I692" s="72"/>
      <c r="J692" s="72"/>
      <c r="K692" s="72"/>
      <c r="L692" s="72"/>
      <c r="M692" s="72"/>
      <c r="N692" s="72"/>
      <c r="O692" s="72" t="s">
        <v>1106</v>
      </c>
      <c r="P692" s="72"/>
      <c r="Q692" s="72"/>
      <c r="R692" s="72"/>
      <c r="S692" s="72"/>
    </row>
    <row r="693" spans="1:19" x14ac:dyDescent="0.25">
      <c r="A693" s="72" t="s">
        <v>1652</v>
      </c>
      <c r="B693" s="72" t="s">
        <v>812</v>
      </c>
      <c r="C693" s="72" t="s">
        <v>140</v>
      </c>
      <c r="D693" s="72"/>
      <c r="E693" s="72" t="s">
        <v>1652</v>
      </c>
      <c r="F693" s="72" t="s">
        <v>1653</v>
      </c>
      <c r="G693" s="72"/>
      <c r="H693" s="72" t="s">
        <v>983</v>
      </c>
      <c r="I693" s="72"/>
      <c r="J693" s="72"/>
      <c r="K693" s="72"/>
      <c r="L693" s="72"/>
      <c r="M693" s="72"/>
      <c r="N693" s="72"/>
      <c r="O693" s="72" t="s">
        <v>1819</v>
      </c>
      <c r="P693" s="72"/>
      <c r="Q693" s="72"/>
      <c r="R693" s="72"/>
      <c r="S693" s="72"/>
    </row>
    <row r="694" spans="1:19" x14ac:dyDescent="0.25">
      <c r="A694" s="72" t="s">
        <v>232</v>
      </c>
      <c r="B694" s="72" t="s">
        <v>812</v>
      </c>
      <c r="C694" s="72" t="s">
        <v>96</v>
      </c>
      <c r="D694" s="72"/>
      <c r="E694" s="72" t="s">
        <v>232</v>
      </c>
      <c r="F694" s="72" t="s">
        <v>233</v>
      </c>
      <c r="G694" s="72"/>
      <c r="H694" s="72" t="s">
        <v>983</v>
      </c>
      <c r="I694" s="72"/>
      <c r="J694" s="72"/>
      <c r="K694" s="72"/>
      <c r="L694" s="72"/>
      <c r="M694" s="72"/>
      <c r="N694" s="72"/>
      <c r="O694" s="72" t="s">
        <v>1591</v>
      </c>
      <c r="P694" s="72"/>
      <c r="Q694" s="72"/>
      <c r="R694" s="72"/>
      <c r="S694" s="72"/>
    </row>
    <row r="695" spans="1:19" x14ac:dyDescent="0.25">
      <c r="A695" s="72" t="s">
        <v>1675</v>
      </c>
      <c r="B695" s="72" t="s">
        <v>812</v>
      </c>
      <c r="C695" s="72" t="s">
        <v>47</v>
      </c>
      <c r="D695" s="72"/>
      <c r="E695" s="72" t="s">
        <v>1675</v>
      </c>
      <c r="F695" s="72" t="s">
        <v>3905</v>
      </c>
      <c r="G695" s="72"/>
      <c r="H695" s="72" t="s">
        <v>983</v>
      </c>
      <c r="I695" s="72"/>
      <c r="J695" s="72"/>
      <c r="K695" s="72"/>
      <c r="L695" s="72"/>
      <c r="M695" s="72"/>
      <c r="N695" s="72"/>
      <c r="O695" s="72" t="s">
        <v>2041</v>
      </c>
      <c r="P695" s="72"/>
      <c r="Q695" s="72"/>
      <c r="R695" s="72"/>
      <c r="S695" s="72"/>
    </row>
    <row r="696" spans="1:19" x14ac:dyDescent="0.25">
      <c r="A696" s="72" t="s">
        <v>1604</v>
      </c>
      <c r="B696" s="72" t="s">
        <v>781</v>
      </c>
      <c r="C696" s="72" t="s">
        <v>140</v>
      </c>
      <c r="D696" s="72"/>
      <c r="E696" s="72" t="s">
        <v>1604</v>
      </c>
      <c r="F696" s="72" t="s">
        <v>1620</v>
      </c>
      <c r="G696" s="72"/>
      <c r="H696" s="72" t="s">
        <v>983</v>
      </c>
      <c r="I696" s="72"/>
      <c r="J696" s="72"/>
      <c r="K696" s="72"/>
      <c r="L696" s="72"/>
      <c r="M696" s="72"/>
      <c r="N696" s="72"/>
      <c r="O696" s="72" t="s">
        <v>1819</v>
      </c>
      <c r="P696" s="72"/>
      <c r="Q696" s="72"/>
      <c r="R696" s="72"/>
      <c r="S696" s="72"/>
    </row>
    <row r="697" spans="1:19" x14ac:dyDescent="0.25">
      <c r="A697" s="72" t="s">
        <v>689</v>
      </c>
      <c r="B697" s="72" t="s">
        <v>812</v>
      </c>
      <c r="C697" s="72" t="s">
        <v>47</v>
      </c>
      <c r="D697" s="72" t="s">
        <v>688</v>
      </c>
      <c r="E697" s="72" t="s">
        <v>689</v>
      </c>
      <c r="F697" s="72" t="s">
        <v>690</v>
      </c>
      <c r="G697" s="72"/>
      <c r="H697" s="72" t="s">
        <v>87</v>
      </c>
      <c r="I697" s="72"/>
      <c r="J697" s="72"/>
      <c r="K697" s="72"/>
      <c r="L697" s="72"/>
      <c r="M697" s="72"/>
      <c r="N697" s="72"/>
      <c r="O697" s="72" t="s">
        <v>2587</v>
      </c>
      <c r="P697" s="72"/>
      <c r="Q697" s="72"/>
      <c r="R697" s="72"/>
      <c r="S697" s="72"/>
    </row>
  </sheetData>
  <autoFilter ref="A1:S697" xr:uid="{00000000-0001-0000-21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5"/>
  <sheetViews>
    <sheetView topLeftCell="D1" workbookViewId="0">
      <selection activeCell="G8" sqref="G8"/>
    </sheetView>
  </sheetViews>
  <sheetFormatPr defaultRowHeight="15" x14ac:dyDescent="0.25"/>
  <cols>
    <col min="1" max="1" width="9.42578125" hidden="1" customWidth="1"/>
    <col min="2" max="3" width="8.7109375" hidden="1" customWidth="1"/>
    <col min="5" max="5" width="12.42578125" bestFit="1" customWidth="1"/>
    <col min="6" max="6" width="30.5703125" bestFit="1" customWidth="1"/>
    <col min="7" max="7" width="58.85546875" bestFit="1" customWidth="1"/>
    <col min="9" max="9" width="31.7109375" bestFit="1" customWidth="1"/>
  </cols>
  <sheetData>
    <row r="1" spans="1:9" ht="15.6" customHeight="1" x14ac:dyDescent="0.25">
      <c r="D1" s="93" t="s">
        <v>0</v>
      </c>
      <c r="E1" s="91"/>
      <c r="F1" s="91"/>
      <c r="G1" s="91"/>
      <c r="H1" s="91"/>
      <c r="I1" s="92"/>
    </row>
    <row r="2" spans="1:9" ht="15.6" customHeight="1" x14ac:dyDescent="0.25">
      <c r="D2" s="93" t="s">
        <v>3906</v>
      </c>
      <c r="E2" s="91"/>
      <c r="F2" s="91"/>
      <c r="G2" s="91"/>
      <c r="H2" s="91"/>
      <c r="I2" s="92"/>
    </row>
    <row r="3" spans="1:9" ht="15.6" customHeight="1" x14ac:dyDescent="0.25">
      <c r="D3" s="60" t="s">
        <v>2</v>
      </c>
      <c r="E3" s="60" t="s">
        <v>3</v>
      </c>
      <c r="F3" s="60" t="s">
        <v>5</v>
      </c>
      <c r="G3" s="60" t="s">
        <v>6</v>
      </c>
      <c r="H3" s="60" t="s">
        <v>8</v>
      </c>
      <c r="I3" s="60" t="s">
        <v>1093</v>
      </c>
    </row>
    <row r="4" spans="1:9" ht="15.6" customHeight="1" x14ac:dyDescent="0.25">
      <c r="D4" s="35"/>
      <c r="E4" s="35"/>
      <c r="F4" s="36" t="s">
        <v>1435</v>
      </c>
      <c r="G4" s="36"/>
      <c r="H4" s="35"/>
      <c r="I4" s="35"/>
    </row>
    <row r="5" spans="1:9" ht="15.6" customHeight="1" x14ac:dyDescent="0.25">
      <c r="A5" s="34" t="str">
        <f t="shared" ref="A5:A11" si="0">F5</f>
        <v>EHS223</v>
      </c>
      <c r="B5" s="34" t="str">
        <f t="shared" ref="B5:B11" si="1">$D5&amp;$E5&amp;$F$4</f>
        <v>Wed12:30-02:30YEAR ONE SEMESTER ONE</v>
      </c>
      <c r="C5" s="34" t="str">
        <f t="shared" ref="C5:C11" si="2">F5&amp;":"&amp;G5</f>
        <v>EHS223:Occupational Health and Safety</v>
      </c>
      <c r="D5" s="56" t="s">
        <v>56</v>
      </c>
      <c r="E5" s="57" t="s">
        <v>96</v>
      </c>
      <c r="F5" s="57" t="s">
        <v>406</v>
      </c>
      <c r="G5" s="57" t="s">
        <v>23</v>
      </c>
      <c r="H5" s="57" t="s">
        <v>70</v>
      </c>
      <c r="I5" s="57" t="s">
        <v>1561</v>
      </c>
    </row>
    <row r="6" spans="1:9" ht="15.6" customHeight="1" x14ac:dyDescent="0.25">
      <c r="A6" s="34" t="str">
        <f t="shared" si="0"/>
        <v>BPH221</v>
      </c>
      <c r="B6" s="34" t="str">
        <f t="shared" si="1"/>
        <v>Thu08:00-10:00YEAR ONE SEMESTER ONE</v>
      </c>
      <c r="C6" s="34" t="str">
        <f t="shared" si="2"/>
        <v>BPH221:Public Health in Emergency Situations</v>
      </c>
      <c r="D6" s="56" t="s">
        <v>66</v>
      </c>
      <c r="E6" s="57" t="s">
        <v>10</v>
      </c>
      <c r="F6" s="57" t="s">
        <v>590</v>
      </c>
      <c r="G6" s="57" t="s">
        <v>591</v>
      </c>
      <c r="H6" s="57" t="s">
        <v>267</v>
      </c>
      <c r="I6" s="57" t="s">
        <v>1570</v>
      </c>
    </row>
    <row r="7" spans="1:9" ht="15.6" customHeight="1" x14ac:dyDescent="0.25">
      <c r="A7" s="34" t="str">
        <f t="shared" si="0"/>
        <v>RSC001-B</v>
      </c>
      <c r="B7" s="34" t="str">
        <f t="shared" si="1"/>
        <v>Fri10:15-12:15YEAR ONE SEMESTER ONE</v>
      </c>
      <c r="C7" s="34" t="str">
        <f t="shared" si="2"/>
        <v>RSC001-B:Research Methodology</v>
      </c>
      <c r="D7" s="56" t="s">
        <v>216</v>
      </c>
      <c r="E7" s="57" t="s">
        <v>47</v>
      </c>
      <c r="F7" s="57" t="s">
        <v>677</v>
      </c>
      <c r="G7" s="57" t="s">
        <v>646</v>
      </c>
      <c r="H7" s="57" t="s">
        <v>20</v>
      </c>
      <c r="I7" s="57" t="s">
        <v>3907</v>
      </c>
    </row>
    <row r="8" spans="1:9" ht="15.6" customHeight="1" x14ac:dyDescent="0.25">
      <c r="A8" s="34" t="str">
        <f t="shared" si="0"/>
        <v>BPH224</v>
      </c>
      <c r="B8" s="34" t="str">
        <f t="shared" si="1"/>
        <v>Fri02:45-04:45YEAR ONE SEMESTER ONE</v>
      </c>
      <c r="C8" s="34" t="str">
        <f t="shared" si="2"/>
        <v>BPH224:Health Policies and Laws</v>
      </c>
      <c r="D8" s="56" t="s">
        <v>216</v>
      </c>
      <c r="E8" s="57" t="s">
        <v>140</v>
      </c>
      <c r="F8" s="57" t="s">
        <v>1232</v>
      </c>
      <c r="G8" s="57" t="s">
        <v>687</v>
      </c>
      <c r="H8" s="57" t="s">
        <v>70</v>
      </c>
      <c r="I8" s="57" t="s">
        <v>1544</v>
      </c>
    </row>
    <row r="9" spans="1:9" ht="15.6" customHeight="1" x14ac:dyDescent="0.25">
      <c r="A9" s="34" t="str">
        <f t="shared" si="0"/>
        <v>BPH222</v>
      </c>
      <c r="B9" s="34" t="str">
        <f t="shared" si="1"/>
        <v>Fri12:30-02:30YEAR ONE SEMESTER ONE</v>
      </c>
      <c r="C9" s="34" t="str">
        <f t="shared" si="2"/>
        <v>BPH222:Principles of Health Education and Advocacy</v>
      </c>
      <c r="D9" s="56" t="s">
        <v>216</v>
      </c>
      <c r="E9" s="57" t="s">
        <v>96</v>
      </c>
      <c r="F9" s="57" t="s">
        <v>361</v>
      </c>
      <c r="G9" s="57" t="s">
        <v>362</v>
      </c>
      <c r="H9" s="57" t="s">
        <v>91</v>
      </c>
      <c r="I9" s="59" t="s">
        <v>1569</v>
      </c>
    </row>
    <row r="10" spans="1:9" ht="15.6" customHeight="1" x14ac:dyDescent="0.25">
      <c r="A10" s="34">
        <f t="shared" si="0"/>
        <v>0</v>
      </c>
      <c r="B10" s="34" t="str">
        <f t="shared" si="1"/>
        <v>YEAR ONE SEMESTER ONE</v>
      </c>
      <c r="C10" s="34" t="str">
        <f t="shared" si="2"/>
        <v>:</v>
      </c>
      <c r="D10" s="56"/>
      <c r="E10" s="57"/>
      <c r="F10" s="57"/>
      <c r="G10" s="57"/>
      <c r="H10" s="57"/>
      <c r="I10" s="59"/>
    </row>
    <row r="11" spans="1:9" ht="15.6" customHeight="1" x14ac:dyDescent="0.25">
      <c r="A11" s="34">
        <f t="shared" si="0"/>
        <v>0</v>
      </c>
      <c r="B11" s="34" t="str">
        <f t="shared" si="1"/>
        <v>YEAR ONE SEMESTER ONE</v>
      </c>
      <c r="C11" s="34" t="str">
        <f t="shared" si="2"/>
        <v>:</v>
      </c>
    </row>
    <row r="12" spans="1:9" s="52" customFormat="1" ht="15.6" customHeight="1" x14ac:dyDescent="0.2">
      <c r="A12" s="44"/>
      <c r="B12" s="34"/>
      <c r="C12" s="34"/>
      <c r="D12" s="43"/>
      <c r="E12" s="43"/>
      <c r="F12" s="43"/>
      <c r="G12" s="43"/>
      <c r="H12" s="43"/>
      <c r="I12" s="43"/>
    </row>
    <row r="13" spans="1:9" s="52" customFormat="1" ht="15.6" customHeight="1" x14ac:dyDescent="0.2">
      <c r="A13" s="44"/>
      <c r="B13" s="34"/>
      <c r="C13" s="34"/>
      <c r="D13" s="43"/>
      <c r="E13" s="43"/>
      <c r="F13" s="43"/>
      <c r="G13" s="43"/>
      <c r="H13" s="43"/>
      <c r="I13" s="43"/>
    </row>
    <row r="14" spans="1:9" s="52" customFormat="1" ht="15.6" customHeight="1" x14ac:dyDescent="0.2">
      <c r="A14" s="44"/>
      <c r="B14" s="34"/>
      <c r="C14" s="34"/>
      <c r="D14" s="43"/>
      <c r="E14" s="43"/>
      <c r="F14" s="43"/>
      <c r="G14" s="43"/>
      <c r="H14" s="43"/>
      <c r="I14" s="43"/>
    </row>
    <row r="15" spans="1:9" s="52" customFormat="1" ht="15.6" customHeight="1" x14ac:dyDescent="0.2">
      <c r="A15" s="44"/>
      <c r="B15" s="34"/>
      <c r="C15" s="34"/>
      <c r="D15" s="43"/>
      <c r="E15" s="43"/>
      <c r="F15" s="43"/>
      <c r="G15" s="43"/>
      <c r="H15" s="43"/>
      <c r="I15" s="43"/>
    </row>
  </sheetData>
  <mergeCells count="2">
    <mergeCell ref="D1:I1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Combined-All</vt:lpstr>
      <vt:lpstr>Yr 1</vt:lpstr>
      <vt:lpstr>Attendance</vt:lpstr>
      <vt:lpstr>TT-WKD (2)</vt:lpstr>
      <vt:lpstr>Sheet1</vt:lpstr>
      <vt:lpstr>Sheet3</vt:lpstr>
      <vt:lpstr>Validations</vt:lpstr>
      <vt:lpstr>BIT</vt:lpstr>
      <vt:lpstr>ROOMS</vt:lpstr>
      <vt:lpstr>Combined TT</vt:lpstr>
      <vt:lpstr>DD</vt:lpstr>
      <vt:lpstr>ROOMS!Print_Area</vt:lpstr>
      <vt:lpstr>'Yr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Simon Manas</cp:lastModifiedBy>
  <cp:lastPrinted>2026-02-13T12:33:56Z</cp:lastPrinted>
  <dcterms:created xsi:type="dcterms:W3CDTF">2017-11-08T15:22:56Z</dcterms:created>
  <dcterms:modified xsi:type="dcterms:W3CDTF">2026-03-04T16:39:55Z</dcterms:modified>
</cp:coreProperties>
</file>